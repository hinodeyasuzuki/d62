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26.xml" ContentType="application/vnd.openxmlformats-officedocument.spreadsheetml.worksheet+xml"/>
  <Override PartName="/xl/worksheets/sheet13.xml" ContentType="application/vnd.openxmlformats-officedocument.spreadsheetml.worksheet+xml"/>
  <Override PartName="/xl/worksheets/sheet25.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24.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1" activeTab="7"/>
  </bookViews>
  <sheets>
    <sheet name="考え方" sheetId="1" state="hidden" r:id="rId3"/>
    <sheet name="readme" sheetId="2" state="visible" r:id="rId4"/>
    <sheet name="Field" sheetId="3" state="visible" r:id="rId5"/>
    <sheet name="クラス" sheetId="4" state="visible" r:id="rId6"/>
    <sheet name="消費量クラス" sheetId="5" state="hidden" r:id="rId7"/>
    <sheet name="Iems" sheetId="6" state="visible" r:id="rId8"/>
    <sheet name="Measures" sheetId="7" state="visible" r:id="rId9"/>
    <sheet name="Input" sheetId="8" state="visible" r:id="rId10"/>
    <sheet name="Language" sheetId="9" state="visible" r:id="rId11"/>
    <sheet name="Area" sheetId="10" state="visible" r:id="rId12"/>
    <sheet name="Equipment" sheetId="11" state="visible" r:id="rId13"/>
    <sheet name="pics" sheetId="12" state="visible" r:id="rId14"/>
    <sheet name="error check" sheetId="13" state="visible" r:id="rId15"/>
    <sheet name="matrix-Measure" sheetId="14" state="visible" r:id="rId16"/>
    <sheet name="matrix-Input" sheetId="15" state="visible" r:id="rId17"/>
    <sheet name="consMap" sheetId="16" state="visible" r:id="rId18"/>
    <sheet name="eqCode機器のサイズ" sheetId="17" state="hidden" r:id="rId19"/>
    <sheet name="D6function" sheetId="18" state="visible" r:id="rId20"/>
    <sheet name="electricity" sheetId="19" state="visible" r:id="rId21"/>
    <sheet name="prefecture" sheetId="20" state="visible" r:id="rId22"/>
    <sheet name="うちエコ入力値" sheetId="21" state="hidden" r:id="rId23"/>
    <sheet name="うちエコ関数タイミング" sheetId="22" state="hidden" r:id="rId24"/>
    <sheet name="うちエコ関数返り値" sheetId="23" state="hidden" r:id="rId25"/>
    <sheet name="部屋名" sheetId="24" state="hidden" r:id="rId26"/>
    <sheet name="クラス関連" sheetId="25" state="hidden" r:id="rId27"/>
    <sheet name="互換性レポート" sheetId="26" state="hidden" r:id="rId28"/>
  </sheets>
  <definedNames>
    <definedName function="false" hidden="false" localSheetId="20" name="_xlnm.Print_Titles" vbProcedure="false">うちエコ入力値!$6:$7</definedName>
    <definedName function="false" hidden="false" localSheetId="7" name="_ftn1" vbProcedure="false">input!#ref!</definedName>
    <definedName function="false" hidden="false" localSheetId="7" name="_ftnref1" vbProcedure="false">input!#ref!</definedName>
    <definedName function="false" hidden="false" localSheetId="7" name="_xlnm.Print_Titles" vbProcedure="false">input!#ref!</definedName>
    <definedName function="false" hidden="false" localSheetId="20" name="_ftn1" vbProcedure="false">うちエコ入力値!$C$304</definedName>
    <definedName function="false" hidden="false" localSheetId="20" name="_ftnref1" vbProcedure="false">うちエコ入力値!$C$294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<sst xmlns="http://schemas.openxmlformats.org/spreadsheetml/2006/main" count="10547" uniqueCount="4221">
  <si>
    <t xml:space="preserve">計算クラスと、量クラスを区分する</t>
  </si>
  <si>
    <t xml:space="preserve">例：テレビの買いかえ計算クラス　－　消費量クラス（インスタンスはテレビ買い替えn台目）</t>
  </si>
  <si>
    <t xml:space="preserve">設定値は計算クラスに設定</t>
  </si>
  <si>
    <t xml:space="preserve">例：テレビの価格、テレビの性能等</t>
  </si>
  <si>
    <t xml:space="preserve">対策計算では、なるべく「削減率」を通じて削減計算をする</t>
  </si>
  <si>
    <t xml:space="preserve">関数があればそれを選ぶ</t>
  </si>
  <si>
    <t xml:space="preserve">削減率の配列があればそれを選ぶ（Consで計算）</t>
  </si>
  <si>
    <t xml:space="preserve">設定値があればそれを選ぶ（ConsStrategy固定値）</t>
  </si>
  <si>
    <t xml:space="preserve">消費量と対策を一括して計算をする</t>
  </si>
  <si>
    <t xml:space="preserve">消費量は確定している状態で、対策の計算を一括で行う</t>
  </si>
  <si>
    <t xml:space="preserve">分野の追加をする（追加をして、他の入力の追加も対応する）</t>
  </si>
  <si>
    <t xml:space="preserve">cons</t>
  </si>
  <si>
    <t xml:space="preserve">calc</t>
  </si>
  <si>
    <t xml:space="preserve">calcCO2</t>
  </si>
  <si>
    <t xml:space="preserve">measures</t>
  </si>
  <si>
    <t xml:space="preserve">calcCO2Change</t>
  </si>
  <si>
    <t xml:space="preserve">dispDetail</t>
  </si>
  <si>
    <t xml:space="preserve">対策ごとに、詳細について値を得ることができる</t>
  </si>
  <si>
    <t xml:space="preserve">PHPとActionscriptの両方に対応</t>
  </si>
  <si>
    <t xml:space="preserve">消費量クラスでASかPHPかの記述を変更可能</t>
  </si>
  <si>
    <t xml:space="preserve">PHP</t>
  </si>
  <si>
    <t xml:space="preserve">AS</t>
  </si>
  <si>
    <t xml:space="preserve">Home Energy Diagnosis system language definition sheets</t>
  </si>
  <si>
    <t xml:space="preserve">use this sheets to magage parameters and translation </t>
  </si>
  <si>
    <t xml:space="preserve">please translate right color cell to left one.</t>
  </si>
  <si>
    <t xml:space="preserve">Fill cells of this color</t>
  </si>
  <si>
    <t xml:space="preserve">reference</t>
  </si>
  <si>
    <t xml:space="preserve">fill this sheet and copy "source code" cells to program code.</t>
  </si>
  <si>
    <t xml:space="preserve">sheet name</t>
  </si>
  <si>
    <t xml:space="preserve">target</t>
  </si>
  <si>
    <t xml:space="preserve">source code to paste</t>
  </si>
  <si>
    <t xml:space="preserve">Field</t>
  </si>
  <si>
    <t xml:space="preserve">"Field Name" and "Input field name"</t>
  </si>
  <si>
    <t xml:space="preserve">not use</t>
  </si>
  <si>
    <t xml:space="preserve">Items</t>
  </si>
  <si>
    <t xml:space="preserve">fill "Language set"</t>
  </si>
  <si>
    <t xml:space="preserve">d6/logic_**/senarofix.js</t>
  </si>
  <si>
    <t xml:space="preserve">Measures</t>
  </si>
  <si>
    <t xml:space="preserve">title, title short, easyness, subsidy, advice, </t>
  </si>
  <si>
    <t xml:space="preserve">d6/logic_**/senaroset.js</t>
  </si>
  <si>
    <t xml:space="preserve">Input</t>
  </si>
  <si>
    <t xml:space="preserve">title, unit, text, Input type, display value, save data</t>
  </si>
  <si>
    <t xml:space="preserve">Language</t>
  </si>
  <si>
    <t xml:space="preserve">language/lang_**.php</t>
  </si>
  <si>
    <t xml:space="preserve">Area</t>
  </si>
  <si>
    <t xml:space="preserve">Place/Area, average templature(summer, winter)</t>
  </si>
  <si>
    <t xml:space="preserve">d6/logic_**/senaroset.js manual setting</t>
  </si>
  <si>
    <t xml:space="preserve">ver 2.1</t>
  </si>
  <si>
    <t xml:space="preserve">create this readme sheet</t>
  </si>
  <si>
    <t xml:space="preserve">Measures:change name hojoGov to subsidy</t>
  </si>
  <si>
    <t xml:space="preserve">Input: insert action valuation parameters</t>
  </si>
  <si>
    <t xml:space="preserve">Input: insert action valuation questions</t>
  </si>
  <si>
    <t xml:space="preserve">Items: add season</t>
  </si>
  <si>
    <t xml:space="preserve">Language: countfix_pre_after</t>
  </si>
  <si>
    <t xml:space="preserve">Ver3.0</t>
  </si>
  <si>
    <t xml:space="preserve">not use js Language set combined to PHP</t>
  </si>
  <si>
    <t xml:space="preserve">other　misspelling</t>
  </si>
  <si>
    <t xml:space="preserve">use Equipment list</t>
  </si>
  <si>
    <t xml:space="preserve">Field Code</t>
  </si>
  <si>
    <t xml:space="preserve">ID</t>
  </si>
  <si>
    <t xml:space="preserve">Field name</t>
  </si>
  <si>
    <t xml:space="preserve">Input field name</t>
  </si>
  <si>
    <t xml:space="preserve">code</t>
  </si>
  <si>
    <t xml:space="preserve">reference name</t>
  </si>
  <si>
    <t xml:space="preserve">reference input</t>
  </si>
  <si>
    <t xml:space="preserve">太陽光・契約</t>
  </si>
  <si>
    <t xml:space="preserve">家庭全般</t>
  </si>
  <si>
    <t xml:space="preserve">TO</t>
  </si>
  <si>
    <t xml:space="preserve">給湯・水道</t>
  </si>
  <si>
    <t xml:space="preserve">HW</t>
  </si>
  <si>
    <t xml:space="preserve">冷暖房</t>
  </si>
  <si>
    <t xml:space="preserve">AC</t>
  </si>
  <si>
    <t xml:space="preserve">調理</t>
  </si>
  <si>
    <t xml:space="preserve">CK</t>
  </si>
  <si>
    <t xml:space="preserve">洗濯・衣類乾燥</t>
  </si>
  <si>
    <t xml:space="preserve">洗濯・乾燥</t>
  </si>
  <si>
    <t xml:space="preserve">DR</t>
  </si>
  <si>
    <t xml:space="preserve">照明</t>
  </si>
  <si>
    <t xml:space="preserve">LI</t>
  </si>
  <si>
    <t xml:space="preserve">テレビ</t>
  </si>
  <si>
    <t xml:space="preserve">テレビ・オーディオ</t>
  </si>
  <si>
    <t xml:space="preserve">TV</t>
  </si>
  <si>
    <t xml:space="preserve">冷蔵庫</t>
  </si>
  <si>
    <t xml:space="preserve">RF</t>
  </si>
  <si>
    <t xml:space="preserve">自家用車</t>
  </si>
  <si>
    <t xml:space="preserve">CR</t>
  </si>
  <si>
    <t xml:space="preserve">待機電力・その他</t>
  </si>
  <si>
    <t xml:space="preserve">OT</t>
  </si>
  <si>
    <t xml:space="preserve">暖房</t>
  </si>
  <si>
    <t xml:space="preserve">HT</t>
  </si>
  <si>
    <t xml:space="preserve">冷房</t>
  </si>
  <si>
    <t xml:space="preserve">CO</t>
  </si>
  <si>
    <t xml:space="preserve">Input Code</t>
  </si>
  <si>
    <t xml:space="preserve">range 100 is field ID</t>
  </si>
  <si>
    <t xml:space="preserve">ex.</t>
  </si>
  <si>
    <t xml:space="preserve">In100</t>
  </si>
  <si>
    <t xml:space="preserve">measure Code</t>
  </si>
  <si>
    <t xml:space="preserve">code name is "m" + fieldcode + name</t>
  </si>
  <si>
    <t xml:space="preserve">mLIExchange</t>
  </si>
  <si>
    <t xml:space="preserve">Diagnosis</t>
  </si>
  <si>
    <t xml:space="preserve">全てのクラス実体の保持。計算実行。</t>
  </si>
  <si>
    <t xml:space="preserve">コンストラクタ</t>
  </si>
  <si>
    <t xml:space="preserve">setSenario</t>
  </si>
  <si>
    <t xml:space="preserve">初期構造設定</t>
  </si>
  <si>
    <t xml:space="preserve">消費量計算クラスの実装</t>
  </si>
  <si>
    <t xml:space="preserve">消費量クラスの実装</t>
  </si>
  <si>
    <t xml:space="preserve">消費量クラスの関連構造設定</t>
  </si>
  <si>
    <t xml:space="preserve">対策クラスの実装（addMeasureAllCons）</t>
  </si>
  <si>
    <t xml:space="preserve">入力変数の展開</t>
  </si>
  <si>
    <t xml:space="preserve">質問リストの作成</t>
  </si>
  <si>
    <t xml:space="preserve">addMeasureAllCons</t>
  </si>
  <si>
    <t xml:space="preserve">対策クラスの実装</t>
  </si>
  <si>
    <t xml:space="preserve">addMeasureOneConsを複数回呼び出す</t>
  </si>
  <si>
    <t xml:space="preserve">addMeasureOneCons</t>
  </si>
  <si>
    <t xml:space="preserve">対策１個の追加</t>
  </si>
  <si>
    <t xml:space="preserve">addCons</t>
  </si>
  <si>
    <t xml:space="preserve">分野の追加</t>
  </si>
  <si>
    <t xml:space="preserve">addMeasureOneConsを呼び出して対策を追加する</t>
  </si>
  <si>
    <t xml:space="preserve">変数の追加</t>
  </si>
  <si>
    <t xml:space="preserve">calcConsAdjust</t>
  </si>
  <si>
    <t xml:space="preserve">消費量計算の整合性</t>
  </si>
  <si>
    <t xml:space="preserve">補正率の算出</t>
  </si>
  <si>
    <t xml:space="preserve">cons::calcAdjustの呼び出し</t>
  </si>
  <si>
    <t xml:space="preserve">calcCons</t>
  </si>
  <si>
    <t xml:space="preserve">消費量計算</t>
  </si>
  <si>
    <t xml:space="preserve">世帯人数・地域設定</t>
  </si>
  <si>
    <t xml:space="preserve">初期計算</t>
  </si>
  <si>
    <t xml:space="preserve">分野間関連計算</t>
  </si>
  <si>
    <t xml:space="preserve">消費量計算の整合性（calcConsAdjust)</t>
  </si>
  <si>
    <t xml:space="preserve">価格計算</t>
  </si>
  <si>
    <t xml:space="preserve">calcMeasures</t>
  </si>
  <si>
    <t xml:space="preserve">対策自動計算</t>
  </si>
  <si>
    <t xml:space="preserve">選択状態の保存</t>
  </si>
  <si>
    <t xml:space="preserve">選択状態のクリア</t>
  </si>
  <si>
    <t xml:space="preserve">１つずつ追加しての計算　cons.addReduction()</t>
  </si>
  <si>
    <t xml:space="preserve">選択条件を戻す</t>
  </si>
  <si>
    <t xml:space="preserve">calcMeasuresLifestyle</t>
  </si>
  <si>
    <t xml:space="preserve">ライフスタイル対策のみ自動計算</t>
  </si>
  <si>
    <t xml:space="preserve">calcMeasuresOne</t>
  </si>
  <si>
    <t xml:space="preserve">現状の対策計算</t>
  </si>
  <si>
    <t xml:space="preserve">現状状態で１回だけ計算をする</t>
  </si>
  <si>
    <t xml:space="preserve">measureAdd</t>
  </si>
  <si>
    <t xml:space="preserve">対策選択を追加</t>
  </si>
  <si>
    <t xml:space="preserve">フラグの設定</t>
  </si>
  <si>
    <t xml:space="preserve">calcMeasuresOneの実行</t>
  </si>
  <si>
    <t xml:space="preserve">measureDelete</t>
  </si>
  <si>
    <t xml:space="preserve">対策選択を削除</t>
  </si>
  <si>
    <t xml:space="preserve">積み上げ直しcalcMeasuresの実行</t>
  </si>
  <si>
    <t xml:space="preserve">clearSelectedMeasures</t>
  </si>
  <si>
    <t xml:space="preserve">全対策を削除</t>
  </si>
  <si>
    <t xml:space="preserve">フラグをすべて解除</t>
  </si>
  <si>
    <t xml:space="preserve">rankIn100</t>
  </si>
  <si>
    <t xml:space="preserve">100世帯中順位</t>
  </si>
  <si>
    <t xml:space="preserve">順位計算</t>
  </si>
  <si>
    <t xml:space="preserve">Cons extended Energy</t>
  </si>
  <si>
    <t xml:space="preserve">消費量値の実体、計算指示はこの実体に対して行われるが、計算は計算クラスに渡される。</t>
  </si>
  <si>
    <t xml:space="preserve">diagnosisクラスに配列として保持されている</t>
  </si>
  <si>
    <t xml:space="preserve">energy</t>
  </si>
  <si>
    <t xml:space="preserve">エネルギー種別の消費量</t>
  </si>
  <si>
    <t xml:space="preserve">value</t>
  </si>
  <si>
    <t xml:space="preserve">対策計算等で使われる変数の保持</t>
  </si>
  <si>
    <t xml:space="preserve">logic</t>
  </si>
  <si>
    <t xml:space="preserve">計算クラスへのリンク</t>
  </si>
  <si>
    <t xml:space="preserve">linkMeasure</t>
  </si>
  <si>
    <t xml:space="preserve">対策クラスの配列へのリンク</t>
  </si>
  <si>
    <t xml:space="preserve">計算クラスを呼び出す</t>
  </si>
  <si>
    <t xml:space="preserve">calc2nd</t>
  </si>
  <si>
    <t xml:space="preserve">他の分野との整合性</t>
  </si>
  <si>
    <t xml:space="preserve">calcMeasure</t>
  </si>
  <si>
    <t xml:space="preserve">対策の計算</t>
  </si>
  <si>
    <t xml:space="preserve">計算クラスを呼び出す（削減率の計算と設定）</t>
  </si>
  <si>
    <t xml:space="preserve">calcAdjust</t>
  </si>
  <si>
    <t xml:space="preserve">補正実行</t>
  </si>
  <si>
    <t xml:space="preserve">割引の実行</t>
  </si>
  <si>
    <t xml:space="preserve">各消費量ごとにcalcAdjustStrategyを実行</t>
  </si>
  <si>
    <t xml:space="preserve">Cons* extended logicBase</t>
  </si>
  <si>
    <t xml:space="preserve">消費量計算、対策計算の実体</t>
  </si>
  <si>
    <t xml:space="preserve">主にこのクラスの記述をすることで、計算方法を積み上げていく</t>
  </si>
  <si>
    <t xml:space="preserve">消費量の実体</t>
  </si>
  <si>
    <t xml:space="preserve">cvalue</t>
  </si>
  <si>
    <t xml:space="preserve">消費量クラスに保存される値の入れ物（cons.valueと同じ）</t>
  </si>
  <si>
    <t xml:space="preserve">入力値を参考に、消費量の計算、固定の削減率設定</t>
  </si>
  <si>
    <t xml:space="preserve">暖房など他の消費との調整が必要な対策のみ</t>
  </si>
  <si>
    <t xml:space="preserve">削減率の計算</t>
  </si>
  <si>
    <t xml:space="preserve">calcMeasureCommonの実行</t>
  </si>
  <si>
    <t xml:space="preserve">calcMeasureCommon</t>
  </si>
  <si>
    <t xml:space="preserve">削減率計算</t>
  </si>
  <si>
    <t xml:space="preserve">削減率を用いた対策効果計算の一括実行</t>
  </si>
  <si>
    <t xml:space="preserve">Measure extended Energy</t>
  </si>
  <si>
    <t xml:space="preserve">diagnosisクラスに配列として保持されている。</t>
  </si>
  <si>
    <t xml:space="preserve">対策として選択する場合に、個別に関数を実行する。</t>
  </si>
  <si>
    <t xml:space="preserve">対策による効果（CO2、コスト等）を表示する。</t>
  </si>
  <si>
    <t xml:space="preserve">calcSave</t>
  </si>
  <si>
    <t xml:space="preserve">削減量の算出</t>
  </si>
  <si>
    <t xml:space="preserve">現在からの削減量を算出する</t>
  </si>
  <si>
    <t xml:space="preserve">addReduction</t>
  </si>
  <si>
    <t xml:space="preserve">選択による計算</t>
  </si>
  <si>
    <t xml:space="preserve">消費量を書き換えるとともに、関連する分野も削減する</t>
  </si>
  <si>
    <t xml:space="preserve">消費量クラス一覧（ソースコードで設定）</t>
  </si>
  <si>
    <t xml:space="preserve">※addMeasureで変更があったら伝える先</t>
  </si>
  <si>
    <t xml:space="preserve">消費計算クラス実装AS</t>
  </si>
  <si>
    <t xml:space="preserve">消費クラス定義</t>
  </si>
  <si>
    <t xml:space="preserve">AS  { par1:data1, par2:data2…..} PHP ( para1=&gt;data1, para2=&gt;data2…..)</t>
  </si>
  <si>
    <t xml:space="preserve">クラス名</t>
  </si>
  <si>
    <t xml:space="preserve">短縮名</t>
  </si>
  <si>
    <t xml:space="preserve">タイトル</t>
  </si>
  <si>
    <t xml:space="preserve">初期実装数 0は増加できない</t>
  </si>
  <si>
    <t xml:space="preserve">集約クラス1</t>
  </si>
  <si>
    <t xml:space="preserve">関連クラス2</t>
  </si>
  <si>
    <t xml:space="preserve">代替使用クラス</t>
  </si>
  <si>
    <t xml:space="preserve">分野CODE</t>
  </si>
  <si>
    <t xml:space="preserve">色</t>
  </si>
  <si>
    <t xml:space="preserve">簡素レベル</t>
  </si>
  <si>
    <t xml:space="preserve">上記をASにするとActionScript　それ以外はPHP</t>
  </si>
  <si>
    <t xml:space="preserve">不要</t>
  </si>
  <si>
    <t xml:space="preserve">name</t>
  </si>
  <si>
    <t xml:space="preserve">nameCode</t>
  </si>
  <si>
    <t xml:space="preserve">title</t>
  </si>
  <si>
    <t xml:space="preserve">count</t>
  </si>
  <si>
    <t xml:space="preserve">sumClass</t>
  </si>
  <si>
    <t xml:space="preserve">refClass</t>
  </si>
  <si>
    <t xml:space="preserve">substituteClass</t>
  </si>
  <si>
    <t xml:space="preserve">color</t>
  </si>
  <si>
    <t xml:space="preserve">level</t>
  </si>
  <si>
    <t xml:space="preserve">consTotal</t>
  </si>
  <si>
    <t xml:space="preserve">全体</t>
  </si>
  <si>
    <t xml:space="preserve">0xa9a9a9</t>
  </si>
  <si>
    <t xml:space="preserve"> </t>
  </si>
  <si>
    <t xml:space="preserve">consHWsum</t>
  </si>
  <si>
    <t xml:space="preserve">0xffb700</t>
  </si>
  <si>
    <t xml:space="preserve">consHWtub</t>
  </si>
  <si>
    <t xml:space="preserve">浴槽</t>
  </si>
  <si>
    <t xml:space="preserve">consHWshower</t>
  </si>
  <si>
    <t xml:space="preserve">シャワー</t>
  </si>
  <si>
    <t xml:space="preserve">consHWdishwash</t>
  </si>
  <si>
    <t xml:space="preserve">食洗</t>
  </si>
  <si>
    <t xml:space="preserve">consHWdresser</t>
  </si>
  <si>
    <t xml:space="preserve">洗面</t>
  </si>
  <si>
    <t xml:space="preserve">consHWtoilet</t>
  </si>
  <si>
    <t xml:space="preserve">トイレ</t>
  </si>
  <si>
    <t xml:space="preserve">consHTsum</t>
  </si>
  <si>
    <t xml:space="preserve">consHW</t>
  </si>
  <si>
    <t xml:space="preserve">0xff0000</t>
  </si>
  <si>
    <t xml:space="preserve">※床温水暖房など</t>
  </si>
  <si>
    <t xml:space="preserve">consCOsum</t>
  </si>
  <si>
    <t xml:space="preserve">冷房除湿</t>
  </si>
  <si>
    <t xml:space="preserve">0x0000ff</t>
  </si>
  <si>
    <t xml:space="preserve">consAC</t>
  </si>
  <si>
    <t xml:space="preserve">個別冷暖房</t>
  </si>
  <si>
    <t xml:space="preserve">consACheat</t>
  </si>
  <si>
    <t xml:space="preserve">個別暖房</t>
  </si>
  <si>
    <t xml:space="preserve">consACcool</t>
  </si>
  <si>
    <t xml:space="preserve">個別冷房</t>
  </si>
  <si>
    <t xml:space="preserve">consRFsum</t>
  </si>
  <si>
    <t xml:space="preserve">consSum</t>
  </si>
  <si>
    <t xml:space="preserve">0x80ff80</t>
  </si>
  <si>
    <t xml:space="preserve">consRF</t>
  </si>
  <si>
    <t xml:space="preserve">consCKsum</t>
  </si>
  <si>
    <t xml:space="preserve">0xffe4b5</t>
  </si>
  <si>
    <t xml:space="preserve">consCKcook</t>
  </si>
  <si>
    <t xml:space="preserve">consCKplug</t>
  </si>
  <si>
    <t xml:space="preserve">待機</t>
  </si>
  <si>
    <t xml:space="preserve">consCKpot</t>
  </si>
  <si>
    <t xml:space="preserve">ポット</t>
  </si>
  <si>
    <t xml:space="preserve">consCKrice</t>
  </si>
  <si>
    <t xml:space="preserve">炊飯ジャー</t>
  </si>
  <si>
    <t xml:space="preserve">consDRsum</t>
  </si>
  <si>
    <t xml:space="preserve">洗濯乾燥</t>
  </si>
  <si>
    <t xml:space="preserve">0x00ffff</t>
  </si>
  <si>
    <t xml:space="preserve">consDRwash</t>
  </si>
  <si>
    <t xml:space="preserve">洗濯</t>
  </si>
  <si>
    <t xml:space="preserve">consDRdry</t>
  </si>
  <si>
    <t xml:space="preserve">乾燥</t>
  </si>
  <si>
    <t xml:space="preserve">consLIsum</t>
  </si>
  <si>
    <t xml:space="preserve">0xffff00</t>
  </si>
  <si>
    <t xml:space="preserve">consLI</t>
  </si>
  <si>
    <t xml:space="preserve">consTVsum</t>
  </si>
  <si>
    <t xml:space="preserve">0x00ff00</t>
  </si>
  <si>
    <t xml:space="preserve">consTV</t>
  </si>
  <si>
    <t xml:space="preserve">consCRsum</t>
  </si>
  <si>
    <t xml:space="preserve">交通</t>
  </si>
  <si>
    <t xml:space="preserve">0xee82ee</t>
  </si>
  <si>
    <t xml:space="preserve">consCR</t>
  </si>
  <si>
    <t xml:space="preserve">車</t>
  </si>
  <si>
    <t xml:space="preserve">consCRtrip</t>
  </si>
  <si>
    <t xml:space="preserve">consOTsum</t>
  </si>
  <si>
    <t xml:space="preserve">待機・その他</t>
  </si>
  <si>
    <t xml:space="preserve">0xd2691e</t>
  </si>
  <si>
    <t xml:space="preserve">※積み上げのみ</t>
  </si>
  <si>
    <t xml:space="preserve">consOT</t>
  </si>
  <si>
    <t xml:space="preserve">暖房が、各部屋の合計にならない場合には、部屋を1つ追加して「その他差分」を設定しておく。</t>
  </si>
  <si>
    <t xml:space="preserve">各機器まで落とすことができるかどうか</t>
  </si>
  <si>
    <t xml:space="preserve">set in D6/senariofix.js</t>
  </si>
  <si>
    <t xml:space="preserve">language set</t>
  </si>
  <si>
    <t xml:space="preserve">refernce</t>
  </si>
  <si>
    <t xml:space="preserve">D6.consAC.title = </t>
  </si>
  <si>
    <t xml:space="preserve">部屋空調</t>
  </si>
  <si>
    <t xml:space="preserve">room air conditioning</t>
  </si>
  <si>
    <t xml:space="preserve">D6.consAC.countCall = </t>
  </si>
  <si>
    <t xml:space="preserve">部屋目</t>
  </si>
  <si>
    <t xml:space="preserve">room</t>
  </si>
  <si>
    <t xml:space="preserve">D6.consACcool.title = </t>
  </si>
  <si>
    <t xml:space="preserve">部屋冷房</t>
  </si>
  <si>
    <t xml:space="preserve">D6.consACcool.addable = </t>
  </si>
  <si>
    <t xml:space="preserve">冷暖房する部屋</t>
  </si>
  <si>
    <t xml:space="preserve">D6.consACcool.countCall = </t>
  </si>
  <si>
    <t xml:space="preserve">room #</t>
  </si>
  <si>
    <t xml:space="preserve">D6.consACcool.inputGuide = </t>
  </si>
  <si>
    <t xml:space="preserve">部屋ごとの冷房の使い方について</t>
  </si>
  <si>
    <t xml:space="preserve">how to use air conditioning for each room</t>
  </si>
  <si>
    <t xml:space="preserve">D6.consACheat.title = </t>
  </si>
  <si>
    <t xml:space="preserve">部屋暖房</t>
  </si>
  <si>
    <t xml:space="preserve">room heating</t>
  </si>
  <si>
    <t xml:space="preserve">D6.consACheat.addable = </t>
  </si>
  <si>
    <t xml:space="preserve">D6.consACheat.countCall = </t>
  </si>
  <si>
    <t xml:space="preserve">D6.consACheat.inputGuide = </t>
  </si>
  <si>
    <t xml:space="preserve">部屋ごとの暖房の使い方について</t>
  </si>
  <si>
    <t xml:space="preserve">how to use each room heating</t>
  </si>
  <si>
    <t xml:space="preserve">D6.consCKcook.title = </t>
  </si>
  <si>
    <t xml:space="preserve">Cooking</t>
  </si>
  <si>
    <t xml:space="preserve">D6.consCKcook.inputGuide = </t>
  </si>
  <si>
    <t xml:space="preserve">コンロを中心とした調理の使い方について</t>
  </si>
  <si>
    <t xml:space="preserve">How to use cooking to focus on the stove</t>
  </si>
  <si>
    <t xml:space="preserve">D6.consCKpot.title = </t>
  </si>
  <si>
    <t xml:space="preserve">保温</t>
  </si>
  <si>
    <t xml:space="preserve">adiabatic</t>
  </si>
  <si>
    <t xml:space="preserve">D6.consCKpot.inputGuide = </t>
  </si>
  <si>
    <t xml:space="preserve">保温器具の使い方について</t>
  </si>
  <si>
    <t xml:space="preserve">How to use insulation</t>
  </si>
  <si>
    <t xml:space="preserve">D6.consCKrice.title = </t>
  </si>
  <si>
    <t xml:space="preserve">炊飯</t>
  </si>
  <si>
    <t xml:space="preserve">rice cook</t>
  </si>
  <si>
    <t xml:space="preserve">D6.consCKrice.inputGuide = </t>
  </si>
  <si>
    <t xml:space="preserve">炊飯の使い方について</t>
  </si>
  <si>
    <t xml:space="preserve">how to use a rice cooker</t>
  </si>
  <si>
    <t xml:space="preserve">D6.consCKsum.title = </t>
  </si>
  <si>
    <t xml:space="preserve">D6.consCKsum.inputGuide = </t>
  </si>
  <si>
    <t xml:space="preserve">調理関連の使い方について</t>
  </si>
  <si>
    <t xml:space="preserve">How to use cooking related</t>
  </si>
  <si>
    <t xml:space="preserve">D6.consCOsum.title = </t>
  </si>
  <si>
    <t xml:space="preserve">cool</t>
  </si>
  <si>
    <t xml:space="preserve">D6.consCOsum.inputGuide = </t>
  </si>
  <si>
    <t xml:space="preserve">家全体での冷房の使い方について</t>
  </si>
  <si>
    <t xml:space="preserve">how to use air conditioning in the whole house</t>
  </si>
  <si>
    <t xml:space="preserve">D6.consCR.title = </t>
  </si>
  <si>
    <t xml:space="preserve">車両</t>
  </si>
  <si>
    <t xml:space="preserve">vehicle</t>
  </si>
  <si>
    <t xml:space="preserve">D6.consCR.addable = </t>
  </si>
  <si>
    <t xml:space="preserve">D6.consCR.countCall = </t>
  </si>
  <si>
    <t xml:space="preserve">台目</t>
  </si>
  <si>
    <t xml:space="preserve">car #</t>
  </si>
  <si>
    <t xml:space="preserve">D6.consCR.inputGuide = </t>
  </si>
  <si>
    <t xml:space="preserve">保有する車ごとの性能・使い方について</t>
  </si>
  <si>
    <t xml:space="preserve">on the performance and use of each car will be held</t>
  </si>
  <si>
    <t xml:space="preserve">D6.consCRsum.title = </t>
  </si>
  <si>
    <t xml:space="preserve">D6.consCRsum.inputGuide = </t>
  </si>
  <si>
    <t xml:space="preserve">車・バイクの使い方について</t>
  </si>
  <si>
    <t xml:space="preserve">How to use cars, bicycles</t>
  </si>
  <si>
    <t xml:space="preserve">D6.consCRtrip.title = </t>
  </si>
  <si>
    <t xml:space="preserve">移動</t>
  </si>
  <si>
    <t xml:space="preserve">movement</t>
  </si>
  <si>
    <t xml:space="preserve">D6.consCRtrip.countCall = </t>
  </si>
  <si>
    <t xml:space="preserve">ヶ所目</t>
  </si>
  <si>
    <t xml:space="preserve">destination #</t>
  </si>
  <si>
    <t xml:space="preserve">D6.consCRtrip.addable = </t>
  </si>
  <si>
    <t xml:space="preserve">移動先</t>
  </si>
  <si>
    <t xml:space="preserve">destination</t>
  </si>
  <si>
    <t xml:space="preserve">D6.consCRtrip.inputGuide = </t>
  </si>
  <si>
    <t xml:space="preserve">移動先ごとの車等の使い方について</t>
  </si>
  <si>
    <t xml:space="preserve">how to use cars and other destinations</t>
  </si>
  <si>
    <t xml:space="preserve">D6.consDRsum.title = </t>
  </si>
  <si>
    <t xml:space="preserve">掃除洗濯</t>
  </si>
  <si>
    <t xml:space="preserve">laundry washing</t>
  </si>
  <si>
    <t xml:space="preserve">D6.consDRsum.inputGuide = </t>
  </si>
  <si>
    <t xml:space="preserve">掃除機、洗濯機や衣類乾燥機の使い方について</t>
  </si>
  <si>
    <t xml:space="preserve">Clean the vacuum cleaner, how to use the washing machine and clothes dryer</t>
  </si>
  <si>
    <t xml:space="preserve">D6.consEnergy.title = </t>
  </si>
  <si>
    <t xml:space="preserve">全般エネルギー設定</t>
  </si>
  <si>
    <t xml:space="preserve">General Energy Set</t>
  </si>
  <si>
    <t xml:space="preserve">D6.consEnergy.inputGuide = </t>
  </si>
  <si>
    <t xml:space="preserve">家全体でのエネルギーの使い方や、1ヶ月あたりの光熱費について</t>
  </si>
  <si>
    <t xml:space="preserve">the use of the whole house and the energy, monthly electricity bills</t>
  </si>
  <si>
    <t xml:space="preserve">D6.consHTcold.title = </t>
  </si>
  <si>
    <t xml:space="preserve">寒冷地</t>
  </si>
  <si>
    <t xml:space="preserve">In the cold climate</t>
  </si>
  <si>
    <t xml:space="preserve">D6.consHTcold.inputGuide = </t>
  </si>
  <si>
    <t xml:space="preserve">寒冷地での暖房の使い方について</t>
  </si>
  <si>
    <t xml:space="preserve">How to use heating in cold weather</t>
  </si>
  <si>
    <t xml:space="preserve">D6.consHTsum.title = </t>
  </si>
  <si>
    <t xml:space="preserve">heating</t>
  </si>
  <si>
    <t xml:space="preserve">D6.consHTsum.inputGuide = </t>
  </si>
  <si>
    <t xml:space="preserve">家全体での暖房の使い方について</t>
  </si>
  <si>
    <t xml:space="preserve">how to use the whole house heating</t>
  </si>
  <si>
    <t xml:space="preserve">D6.consHWdishwash.title = </t>
  </si>
  <si>
    <t xml:space="preserve">食器洗い</t>
  </si>
  <si>
    <t xml:space="preserve">Wash</t>
  </si>
  <si>
    <t xml:space="preserve">D6.consHWdishwash.inputGuide = </t>
  </si>
  <si>
    <t xml:space="preserve">食器洗いの使い方について</t>
  </si>
  <si>
    <t xml:space="preserve">How to use the dishwasher</t>
  </si>
  <si>
    <t xml:space="preserve">D6.consHWdresser.title = </t>
  </si>
  <si>
    <t xml:space="preserve">wash</t>
  </si>
  <si>
    <t xml:space="preserve">D6.consHWdresser.inputGuide = </t>
  </si>
  <si>
    <t xml:space="preserve">洗面でのお湯の使い方について</t>
  </si>
  <si>
    <t xml:space="preserve">How to wash hot water in the basin</t>
  </si>
  <si>
    <t xml:space="preserve">D6.consHWshower.title = </t>
  </si>
  <si>
    <t xml:space="preserve">shower</t>
  </si>
  <si>
    <t xml:space="preserve">D6.consHWshower.inputGuide = </t>
  </si>
  <si>
    <t xml:space="preserve">シャワーの使い方について</t>
  </si>
  <si>
    <t xml:space="preserve">how to use shower</t>
  </si>
  <si>
    <t xml:space="preserve">D6.consHWsum.title = </t>
  </si>
  <si>
    <t xml:space="preserve">給湯</t>
  </si>
  <si>
    <t xml:space="preserve">hot water supply</t>
  </si>
  <si>
    <t xml:space="preserve">D6.consHWsum.inputGuide = </t>
  </si>
  <si>
    <t xml:space="preserve">給湯全般の使い方について</t>
  </si>
  <si>
    <t xml:space="preserve">how to use hot water supply in general</t>
  </si>
  <si>
    <t xml:space="preserve">D6.consHWtoilet.title = </t>
  </si>
  <si>
    <t xml:space="preserve">toilet</t>
  </si>
  <si>
    <t xml:space="preserve">D6.consHWtoilet.inputGuide = </t>
  </si>
  <si>
    <t xml:space="preserve">トイレの水や保温の使い方について</t>
  </si>
  <si>
    <t xml:space="preserve">How to use toilet water and heat insulation</t>
  </si>
  <si>
    <t xml:space="preserve">D6.consHWtub.title = </t>
  </si>
  <si>
    <t xml:space="preserve">Bath</t>
  </si>
  <si>
    <t xml:space="preserve">D6.consHWtub.inputGuide = </t>
  </si>
  <si>
    <t xml:space="preserve">浴槽のお湯の使い方について</t>
  </si>
  <si>
    <t xml:space="preserve">how to use hot tub</t>
  </si>
  <si>
    <t xml:space="preserve">D6.consLI.title = </t>
  </si>
  <si>
    <t xml:space="preserve">light</t>
  </si>
  <si>
    <t xml:space="preserve">D6.consLI.addable = </t>
  </si>
  <si>
    <t xml:space="preserve">照明する部屋</t>
  </si>
  <si>
    <t xml:space="preserve">room lighting</t>
  </si>
  <si>
    <t xml:space="preserve">D6.consLI.countCall = </t>
  </si>
  <si>
    <t xml:space="preserve">D6.consLI.inputGuide = </t>
  </si>
  <si>
    <t xml:space="preserve">個別部屋の照明の使い方について</t>
  </si>
  <si>
    <t xml:space="preserve">how to use a single room lighting</t>
  </si>
  <si>
    <t xml:space="preserve">D6.consLIsum.title = </t>
  </si>
  <si>
    <t xml:space="preserve">D6.consLIsum.inputGuide = </t>
  </si>
  <si>
    <t xml:space="preserve">家全体での照明の使い方について</t>
  </si>
  <si>
    <t xml:space="preserve">how to use the whole house lighting</t>
  </si>
  <si>
    <t xml:space="preserve">D6.consRF.title = </t>
  </si>
  <si>
    <t xml:space="preserve">refrigerator</t>
  </si>
  <si>
    <t xml:space="preserve">D6.consRF.addable = </t>
  </si>
  <si>
    <t xml:space="preserve">D6.consRF.countCall = </t>
  </si>
  <si>
    <t xml:space="preserve">#</t>
  </si>
  <si>
    <t xml:space="preserve">D6.consRF.inputGuide = </t>
  </si>
  <si>
    <t xml:space="preserve">個別の冷蔵庫の使い方について</t>
  </si>
  <si>
    <t xml:space="preserve">How to use personal refrigerator</t>
  </si>
  <si>
    <t xml:space="preserve">D6.consRFsum.title = </t>
  </si>
  <si>
    <t xml:space="preserve">D6.consRFsum.inputGuide = </t>
  </si>
  <si>
    <t xml:space="preserve">家全体での冷蔵庫の使い方について</t>
  </si>
  <si>
    <t xml:space="preserve">use the refrigerator in the whole house</t>
  </si>
  <si>
    <t xml:space="preserve">D6.consSeason.inputGuide = </t>
  </si>
  <si>
    <t xml:space="preserve">季節ごとの1ヶ月あたりの光熱費について。おおよその値でご記入ください。</t>
  </si>
  <si>
    <t xml:space="preserve">For monthly water and electricity charges per season. Please fill in the approximate value.</t>
  </si>
  <si>
    <t xml:space="preserve">D6.consTotal.title = </t>
  </si>
  <si>
    <t xml:space="preserve">whole</t>
  </si>
  <si>
    <t xml:space="preserve">D6.consTotal.inputGuide = </t>
  </si>
  <si>
    <t xml:space="preserve">地域や家の基本情報について</t>
  </si>
  <si>
    <t xml:space="preserve">Basic information about the area and house</t>
  </si>
  <si>
    <t xml:space="preserve">D6.consTV.title = </t>
  </si>
  <si>
    <t xml:space="preserve">D6.consTV.addable = </t>
  </si>
  <si>
    <t xml:space="preserve">D6.consTV.countCall = </t>
  </si>
  <si>
    <t xml:space="preserve">D6.consTV.inputGuide = </t>
  </si>
  <si>
    <t xml:space="preserve">個別のテレビの使い方について</t>
  </si>
  <si>
    <t xml:space="preserve">How to use personalized TV</t>
  </si>
  <si>
    <t xml:space="preserve">D6.consTVsum.title = </t>
  </si>
  <si>
    <t xml:space="preserve">D6.consTVsum.inputGuide = </t>
  </si>
  <si>
    <t xml:space="preserve">家全体のテレビの使い方について</t>
  </si>
  <si>
    <t xml:space="preserve">how to use the whole house of TV</t>
  </si>
  <si>
    <t xml:space="preserve">D6.consSeason.titleList[1] = </t>
  </si>
  <si>
    <t xml:space="preserve">冬</t>
  </si>
  <si>
    <t xml:space="preserve">winter</t>
  </si>
  <si>
    <t xml:space="preserve">D6.consSeason.titleList[2] = </t>
  </si>
  <si>
    <t xml:space="preserve">春秋</t>
  </si>
  <si>
    <t xml:space="preserve">spring/fall</t>
  </si>
  <si>
    <t xml:space="preserve">D6.consSeason.titleList[3] = </t>
  </si>
  <si>
    <t xml:space="preserve">夏</t>
  </si>
  <si>
    <t xml:space="preserve">summer</t>
  </si>
  <si>
    <t xml:space="preserve">measures definition</t>
  </si>
  <si>
    <t xml:space="preserve">for program source code</t>
  </si>
  <si>
    <t xml:space="preserve">mid</t>
  </si>
  <si>
    <t xml:space="preserve">refCons</t>
  </si>
  <si>
    <t xml:space="preserve">titleShort</t>
  </si>
  <si>
    <t xml:space="preserve">easyness</t>
  </si>
  <si>
    <t xml:space="preserve">figNum</t>
  </si>
  <si>
    <t xml:space="preserve">lifeTime</t>
  </si>
  <si>
    <t xml:space="preserve">price</t>
  </si>
  <si>
    <t xml:space="preserve">roanShow</t>
  </si>
  <si>
    <t xml:space="preserve">standardType</t>
  </si>
  <si>
    <t xml:space="preserve">subsidy </t>
  </si>
  <si>
    <t xml:space="preserve">advice</t>
  </si>
  <si>
    <t xml:space="preserve">lifestyle</t>
  </si>
  <si>
    <t xml:space="preserve">season</t>
  </si>
  <si>
    <t xml:space="preserve">program code in php( not use)</t>
  </si>
  <si>
    <t xml:space="preserve">joyfull</t>
  </si>
  <si>
    <t xml:space="preserve">measure ID</t>
  </si>
  <si>
    <t xml:space="preserve">measure titile(if you want not to show start with # )</t>
  </si>
  <si>
    <t xml:space="preserve">reference(not used)</t>
  </si>
  <si>
    <t xml:space="preserve">target consumption</t>
  </si>
  <si>
    <t xml:space="preserve">short title</t>
  </si>
  <si>
    <t xml:space="preserve">easyness（5easy,1difficult,-1:not show)</t>
  </si>
  <si>
    <t xml:space="preserve">Level(0:always,5:detail only)</t>
  </si>
  <si>
    <t xml:space="preserve">picture ID</t>
  </si>
  <si>
    <t xml:space="preserve">lifetime(year)</t>
  </si>
  <si>
    <t xml:space="preserve">use loan</t>
  </si>
  <si>
    <t xml:space="preserve">compare to standard type</t>
  </si>
  <si>
    <t xml:space="preserve">advice message</t>
  </si>
  <si>
    <t xml:space="preserve">lifestylle</t>
  </si>
  <si>
    <t xml:space="preserve">season(winter,spring,summer)</t>
  </si>
  <si>
    <t xml:space="preserve">program code in senarioset.js</t>
  </si>
  <si>
    <t xml:space="preserve">$defMeasures = [];</t>
  </si>
  <si>
    <t xml:space="preserve">joyfull advice</t>
  </si>
  <si>
    <t xml:space="preserve">mTOsolar</t>
  </si>
  <si>
    <t xml:space="preserve">太陽光発電を設置する</t>
  </si>
  <si>
    <t xml:space="preserve">太陽光発電</t>
  </si>
  <si>
    <t xml:space="preserve">発電で余った電気は、FIT制度により電力会社に買い取ってもらうことができ、2025年10月以降に設置した場合は最初の4年間が1kWhあたり24円、5年目から10年目までが8.3円で買取がされます。パネルを設置するだけで発電がされ、モーターなど稼働する部分がないために寿命が長く、維持管理も比較的少なくて済みます。交流に変換をする「コンディショナー」と呼ばれる装置は10年程度ごとに交換が必要になります。&lt;br&gt;　また、太陽光発電装置を導入すると、電気を売る様子が表示される装置が設置されます。電気をどれだけ発電できたのか、家庭でどれだけ消費したのかが表示され、機種によっては時間帯別に表示されるものもあります。販売できた金額も表示され、より多く販売するために自然と電気の使用量が減る効果も出てきます。</t>
  </si>
  <si>
    <t xml:space="preserve">発電で余った電気は、FIT制度により電力会社に買い取ってもらうことができ、2020年度は1kWhあたり21円になります。パネルを設置するだけで発電がされ、モーターなど稼働する部分がないために寿命が長く、維持管理も比較的少なくて済みます。交流に変換をする「コンディショナー」と呼ばれる装置は10年程度ごとに交換が必要になります。&lt;br&gt;　また、太陽光発電装置を導入すると、電気を売る様子が表示される装置が設置されます。電気をどれだけ発電できたのか、家庭でどれだけ消費したのかが表示され、機種によっては時間帯別に表示されるものもあります。販売できた金額も表示され、より多く販売するために自然と電気の使用量が減る効果も出てきます。</t>
  </si>
  <si>
    <t xml:space="preserve">wss</t>
  </si>
  <si>
    <t xml:space="preserve">いくら省エネしても、エネルギーを使わずに生活できるわけはなく、省エネを進めるほど苦しくなるものです。そんな中、自分で「発電する」ことができれば、いともかんたんにゼロが達成できます。いままで電気代を払っていたものが、電気を生産して売れるというのも楽しいですし、それでいて環境にいいことができているわけです。貯金をするよりも利子がつく計算となり、太陽がふりそそぐ屋根をもっていたら、これを逃す手はありません。</t>
  </si>
  <si>
    <t xml:space="preserve">mTOhems</t>
  </si>
  <si>
    <t xml:space="preserve">HEMS装置を設置する</t>
  </si>
  <si>
    <t xml:space="preserve">HEMS装置</t>
  </si>
  <si>
    <t xml:space="preserve">HEMS(Home Energy Management Sysytem：ヘムス)とは、家庭で使っている電気を時間ごとに細かく把握したり、エアコンなどの家電製品を、省エネのために自動制御したりできるシステムです。電気の使い方などの特徴をチェックすると、どんなことをすれば省エネにつながるか、ポイントが見えてきます。表示されるグラフをもとに、いつ電気の消費が多いのか、何が原因なのか、考えてみてください。</t>
  </si>
  <si>
    <t xml:space="preserve">HEMS(Home Energy Management Sysytem)とは、家庭で使っている電気を時間ごとに細かく把握したり、エアコンなどの家電製品を、省エネのために自動制御したりできるシステムです。電気の使い方などの特徴をチェックすると、どんなことをすれば省エネにつながるか、ポイントが見えてきます。表示されるグラフをもとに、いつ電気の消費が多いのか、何が原因なのか、考えてみてください。</t>
  </si>
  <si>
    <t xml:space="preserve">家庭の消費状況を見えるだけではなく、家電製品を操作することができるのは大きなポイントです。つけっぱなしだったところを、消しに行くのは面倒ですが、設定によっては自動的に消してくれます。賢い召使がいるような感じでしょうか。</t>
  </si>
  <si>
    <t xml:space="preserve">mTOsolarSmall</t>
  </si>
  <si>
    <t xml:space="preserve">ベランダに太陽光パネルを置く</t>
  </si>
  <si>
    <t xml:space="preserve">ベランダ太陽光</t>
  </si>
  <si>
    <t xml:space="preserve">太陽光発電パネルを屋根に設置するのではなく、小型のものをベランダなどに置くことで、一部の照明などの用途に使うことができます。既成品として販売されていることもありますが、自分で部品を購入して作ることもできます。太陽光パネル（20～200W）、充放電コントローラー、車用バッテリー、インバーターを組み合わせることで動作し、インターネット通販やホームセンターなどで調達できます。&lt;br&gt;　晴れた日にはふとんを干すような感覚で、日光にあててバッテリーを充電させ、充電された分で活用することができます。曇りの日などは、電気を使うことができない場合があります。</t>
  </si>
  <si>
    <t xml:space="preserve">太陽光といっても屋根に設置するのではなく、持ち運びできる小型のパネルをベランダなどに置くもので、照明などちょっとした用途に使うことができます。既成品として販売されていることもありますが、自分で作ることもでき、材料は、インターネット通販とホームセンターで調達できます。&lt;br&gt;　晴れた日にはふとんを干すような感覚で、日光にあててバッテリーを充電させ、充電された分で活用することができます。曇りの日などは、電気を使うことができない場合があります。</t>
  </si>
  <si>
    <t xml:space="preserve">なんといっても、自分で発電を組み立てることができるのは楽しみです。大型の家電製品は消費電力が大きいので動きませんが、ちょっとした照明くらいなら利用可能です。晴れた日の太陽の恵みをすぐに実感</t>
  </si>
  <si>
    <t xml:space="preserve">mTOzeh</t>
  </si>
  <si>
    <t xml:space="preserve">ZEHに建て替える</t>
  </si>
  <si>
    <t xml:space="preserve">ZEH</t>
  </si>
  <si>
    <t xml:space="preserve">省エネ基準住宅</t>
  </si>
  <si>
    <t xml:space="preserve">断熱性能を高めて省エネ機器設備を導入した上で、太陽光発電を設置すると、家庭のエネルギー消費を実質まかなうことができます。ネット・ゼロ・エネルギー・ハウス（ZEH：ゼッチ）と呼ばれ、すでに大手ハウスメーカーでは新築の標準になっており、2030年頃にはすべての新築住宅でこのレベルを達成することが求められます。エネルギー面でメリットがあるだけでなく、冬は暖かく、夏は涼しく、快適に過ごすことができ、健康面でもメリットがあることがわかっています。</t>
  </si>
  <si>
    <t xml:space="preserve">mTObattery</t>
  </si>
  <si>
    <t xml:space="preserve">家庭用蓄電池を設置する</t>
  </si>
  <si>
    <t xml:space="preserve">家庭用蓄電池</t>
  </si>
  <si>
    <t xml:space="preserve">太陽光発電装置で発電がされた電気のうち、使い切れない分を蓄電しておくことで、家庭の電気をより多くまかなうことができます。蓄電池がなくても余った電気を売電することができますが、通常は購入する電気代のほうが高く、その分お得になります。また非常時には蓄電された電気を使って、家電製品を動かすこともにも活用できます。</t>
  </si>
  <si>
    <t xml:space="preserve">mTOv2h</t>
  </si>
  <si>
    <t xml:space="preserve">電気自動車を家庭用蓄電池として活用する</t>
  </si>
  <si>
    <t xml:space="preserve">V2H</t>
  </si>
  <si>
    <t xml:space="preserve">太陽光発電装置で発電がされた電気のうち、使い切れない分を蓄電しておくことで、家庭の電気をより多くまかなうことができます。蓄電池がなくても余った電気を売電することができますが、通常は購入する電気代のほうが高く、その分お得になります。また非常時には蓄電された電気を使って、家電製品を動かすこともにも活用できます。電気自動車の容量は大きく、連携する装置を購入することで家庭用の蓄電池としても活用することができます。</t>
  </si>
  <si>
    <t xml:space="preserve">mTOzeroelectricity</t>
  </si>
  <si>
    <t xml:space="preserve">CO2排出係数が0の電気を選ぶ</t>
  </si>
  <si>
    <t xml:space="preserve">脱炭素電力を選ぶ</t>
  </si>
  <si>
    <t xml:space="preserve">電力契約をいろいろな会社から選ぶことができます。一般的な電気ではなく、水力や太陽光発電、風力発電など、CO2排出係数がゼロとなる脱炭素電力のメニューも選べるようになっています。電力会社を変えることで、単価が安くなる場合もあります。</t>
  </si>
  <si>
    <t xml:space="preserve">mHWecocute</t>
  </si>
  <si>
    <t xml:space="preserve">給湯器をエコキュートに買い換える</t>
  </si>
  <si>
    <t xml:space="preserve">エコキュート</t>
  </si>
  <si>
    <t xml:space="preserve">電気温水器</t>
  </si>
  <si>
    <t xml:space="preserve">子育てグリーン住宅支援事業の対象で、他の断熱工事や機器導入を行って補助額が5万円以上になると補助されます。</t>
  </si>
  <si>
    <t xml:space="preserve">エコキュート(R)（自然冷媒ヒートポンプ給湯器）は、エアコンの室外機のような装置がついており、外気の熱を利用してお湯を沸かすため、電気温水器より3倍以上効率がよくなります。貯湯槽にためたお湯を使い切るような、家族人数が多く、毎日欠かさずお風呂に入る家庭にはお勧めです。&lt;br&gt;　また、ふだんのお湯の使い方を考慮して控えめに沸かす設定をすると、さらに省エネにつながります。</t>
  </si>
  <si>
    <t xml:space="preserve">外気の熱を使ってお湯をわかすために、電気の消費は大幅に減ります。ただ貯湯槽の大きさが限られているので、大量にお湯を使う家庭や、盆や正月で人数が急に増えた場合には、湯切れを起こすこともあります。湯切れを起こさないようにと、限られたお湯を大切に使うことも、省エネの基本的な視点です。</t>
  </si>
  <si>
    <t xml:space="preserve">mHWecojoze</t>
  </si>
  <si>
    <t xml:space="preserve">給湯器をエコジョーズ（潜熱回収型ガス給湯器）に買い換える</t>
  </si>
  <si>
    <t xml:space="preserve">給湯器をエコジョーズ（潜熱回収型）に買い換える</t>
  </si>
  <si>
    <t xml:space="preserve">エコジョーズ</t>
  </si>
  <si>
    <t xml:space="preserve">既存型</t>
  </si>
  <si>
    <t xml:space="preserve">エコジョーズ(R)（潜熱回収型）は、水蒸気として逃げていた熱も回収する仕組みのため、既存のガス給湯器に比べて効率が1割以上向上しています。既存のガス給湯器とほぼ同じ形で置き換えが可能です。熱を回収する際に発生する水を流すドレンがついており、マンションなど排水口が近くにない場合には、工事が必要となる場合があります。ガス会社によってはエコジョーズ料金により、ガス代が割り引かれる場合もあります。</t>
  </si>
  <si>
    <t xml:space="preserve">エコジョーズ(R)（潜熱回収型）は、水蒸気として逃げていた熱も回収する仕組みのため、既存のガス給湯器に比べて効率が1割以上向上しています。既存のガス給湯器とほぼ同じ形ですが、熱回収をするために少し大型になっており、また熱を回収する際に発生する水を流すドレンもついています。ガス会社によってはエコジョーズ料金により、ガス代が割り引かれる場合もあります。</t>
  </si>
  <si>
    <t xml:space="preserve">エコジョーズなど新しい給湯器は、省エネ性能が高いだけでなく、細かい制御ができるように改良されているため、お湯の温度変化も小さく、快適です。ガス代としても、給湯にかかる分が1割程度減りますので、金銭的にもお得になります。</t>
  </si>
  <si>
    <t xml:space="preserve">mHWecofeel</t>
  </si>
  <si>
    <t xml:space="preserve">給湯器をエコフィール（潜熱回収型灯油給湯器）に買い換える</t>
  </si>
  <si>
    <t xml:space="preserve">給湯器をエコフィール（潜熱回収型）に買い換える</t>
  </si>
  <si>
    <t xml:space="preserve">エコフィール</t>
  </si>
  <si>
    <t xml:space="preserve">エコフィール(R)（潜熱回収型）は、水蒸気として逃げていた熱も回収する仕組みのため、効率が1割以上向上しています。既存の灯油ボイラーとほぼ同じ形で、交換ができます。灯油ではなくガスのタイプは「エコジョース」といいます。</t>
  </si>
  <si>
    <t xml:space="preserve">エコフィール(R)（潜熱回収型）は、水蒸気として逃げていた熱も回収する仕組みのため、効率が1割以上向上しています。既存の灯油ボイラーとほぼ同じ形ですが、熱回収をするために少し大型になっており、また熱を回収する際に発生する水を流すドレンもついています。灯油ではなくガスのタイプは「エコジョース」といいます。</t>
  </si>
  <si>
    <t xml:space="preserve">灯油を燃料とする高効率給湯としては、エコフィールが唯一です。従来型のボイラーとくらべて、熱のロスを3分の1以下にしています。おおよそ1割減るので、灯油代を比較してみると、成果がみえてくるかもしれません。</t>
  </si>
  <si>
    <t xml:space="preserve">mHWenefarmSOFC</t>
  </si>
  <si>
    <t xml:space="preserve">給湯器をSOFCタイプのエネファーム（燃料電池）に買い換える</t>
  </si>
  <si>
    <t xml:space="preserve">給湯器をエネファーム（燃料電池）に買い換える</t>
  </si>
  <si>
    <t xml:space="preserve">エネファームSOFC</t>
  </si>
  <si>
    <t xml:space="preserve">エネファーム</t>
  </si>
  <si>
    <t xml:space="preserve">エネファーム(R)は、燃料電池で発電をしながらお湯をわかす効率がよい装置です。家庭で消費する電気の分だけ発電を行い、発生した余熱をお湯としてためて利用することができます。電気やお湯をたくさん使う家庭で、大きな省エネ効果が期待できます。SOFCタイプは、さらに発電効率が高くなってり、お湯の発生量が少ないため、比較的お湯を使わない家庭でも効果がでます。発電を行うため、停電時にも一定の電気を取り出すことが可能となっています。</t>
  </si>
  <si>
    <t xml:space="preserve">夢の技術とされた燃料電池が、実用的に広まりつつあります。停電時にも、発電して電気を生み出し使えるというのは、大きなメリットです。</t>
  </si>
  <si>
    <t xml:space="preserve">mHWenefarm</t>
  </si>
  <si>
    <t xml:space="preserve">エネファーム(R)は、燃料電池で発電をしながらお湯をわかす効率がよい装置です。家庭で消費する電気の分だけ発電を行い、発生した余熱をお湯としてためて利用することができます。電気やお湯をたくさん使う家庭で、大きな省エネ効果が期待できます。</t>
  </si>
  <si>
    <t xml:space="preserve">mHWsolarHeater</t>
  </si>
  <si>
    <t xml:space="preserve">太陽熱温水器（自然循環式）を設置して利用する</t>
  </si>
  <si>
    <t xml:space="preserve">太陽熱温水器</t>
  </si>
  <si>
    <t xml:space="preserve">暖かい時期の晴れた日なら、太陽の熱で沸かしたお湯だけでお風呂に入ることができます。冬でも加温することで利用することができ、お湯のエネルギー消費を大幅に減らせます。比較的簡単なしくみでお湯をわかすことができ、有効な温暖化対策として、世界中で利用が拡大しています。</t>
  </si>
  <si>
    <t xml:space="preserve">夏は熱湯が出るほどになる一方、冬場や曇の日には、温度が低めといった、太陽の恵みを実感できる装置です。「今日はおてんと様が照らなかったから、しかたないね」といった、自然を感じる生活が可能です。</t>
  </si>
  <si>
    <t xml:space="preserve">mHWsolarSystem</t>
  </si>
  <si>
    <t xml:space="preserve">ソーラーシステム（強制循環式）を設置して利用する</t>
  </si>
  <si>
    <t xml:space="preserve">ソーラーシステム</t>
  </si>
  <si>
    <t xml:space="preserve">貯湯タンクを地上に置いて利用する太陽熱温水器です。屋根にタンクがないので、負荷がかかりません。暖かい時期の晴れた日なら、太陽の熱で沸かしたお湯だけでお風呂に入ることができます。冬でも加温することで利用することができ、お湯のエネルギー消費を大幅に減らせます。比較的簡単なしくみでお湯をわかすことができ、有効な温暖化対策として、世界中で利用が拡大しています。</t>
  </si>
  <si>
    <t xml:space="preserve">屋根で温めたお湯を、電気温水器のような貯湯槽にためるのですから、便利極まりありません。夏場はお湯が使いたいほうだいですが、本当は冬に使いたいほうだいならいいのですけれどもね。</t>
  </si>
  <si>
    <t xml:space="preserve">mHWshowerHead</t>
  </si>
  <si>
    <t xml:space="preserve">節水シャワーヘッドを取り付けて利用する</t>
  </si>
  <si>
    <t xml:space="preserve">節水シャワーヘッド</t>
  </si>
  <si>
    <t xml:space="preserve">シャワーの持ち手（ヘッド）の部分を取り替えることができるようになっています。お湯が出る穴を小さくしてあり、勢いよくお湯が出てくるほか、手元で止水できるものもあり、3割程度お湯の利用を減らすことができます。ホームセンターや家電量販店などで購入できます。</t>
  </si>
  <si>
    <t xml:space="preserve">化学調味料の販売を増やすために、穴を大きくしたという伝説が伝わっていますが、まさにそれを応用した省エネ手法です。勢いがあるので、快適さはかわりません。&lt;br&gt;　シャワーのお湯は、お湯を流しつづけるために大量のエネルギーが必要で、およそテレビ300台のエネルギーに相当します。節水シャワーヘッドなら、3分の1削減ですから、100台分のテレビを消した効果がでてきます。</t>
  </si>
  <si>
    <t xml:space="preserve">mHWshowerTime</t>
  </si>
  <si>
    <t xml:space="preserve">シャワーの利用を1人1日1分短くする</t>
  </si>
  <si>
    <t xml:space="preserve">シャワー1人1分短縮</t>
  </si>
  <si>
    <t xml:space="preserve">シャワーのエネルギー消費はとても大きく、お湯を出している状態で、テレビ300台分のエネルギーが消費されます。少し止めるだけでも大きな削減になります。身体を洗っているときには止めるなど、利用時間を減らすよう気を付けましょう。</t>
  </si>
  <si>
    <t xml:space="preserve">シャワーを何分使っているかなんて、ちゃんと計測した人はいないかもしれません。プライバシーに大きく関わることですが、一度測ってみてはいかがでしょうか。&lt;br&gt;　シャワーで使うお湯がどれだけなのかは、浴槽が空の状態で栓をして、浴槽のなかでふだんどおりシャワーで洗ってみるとわかります。少し汚いですが、何センチお湯がたまったでしょうか。</t>
  </si>
  <si>
    <t xml:space="preserve">mHWshowerTime30</t>
  </si>
  <si>
    <t xml:space="preserve">シャワーの利用時間を3割短くする</t>
  </si>
  <si>
    <t xml:space="preserve">シャワー3割短縮</t>
  </si>
  <si>
    <t xml:space="preserve">mHWkeep</t>
  </si>
  <si>
    <t xml:space="preserve">風呂に家族が続けて入り追い焚きをしない</t>
  </si>
  <si>
    <t xml:space="preserve">風呂の保温をしない</t>
  </si>
  <si>
    <t xml:space="preserve">追い焚きでは、風呂のお湯をいちど外に出し、給湯器まで送る必要があります。この間に冷えてしまい、余分なエネルギーがかかります。追い焚き機能を使わずに、続けてはいることが大きな削減になります。また浴槽に蓋をすることでも、冷めにくくすることもできます。</t>
  </si>
  <si>
    <t xml:space="preserve">夫婦仲良くいっしょに入っている家庭もあるようです。</t>
  </si>
  <si>
    <t xml:space="preserve">mHWsaveMode</t>
  </si>
  <si>
    <t xml:space="preserve">エコキュートを「節約モード」に設定する</t>
  </si>
  <si>
    <t xml:space="preserve">給湯節約モード</t>
  </si>
  <si>
    <t xml:space="preserve">エコキュートは夜間に沸かす湯量の設定ができるようになっています。お湯切れがないように余裕に沸かすと、保温時のロスが大きくなります。通常の使い方をする日で、特に湯切れなどない場合には、節約モードに設定することで、省エネになります。</t>
  </si>
  <si>
    <t xml:space="preserve">ふだん湯切れしないなら、少し節約側に設定してみてください。好きな方は、次の日にどれだけお湯を使うかを予測して、設定してみることもできます。</t>
  </si>
  <si>
    <t xml:space="preserve">mHWstopAutoKeep</t>
  </si>
  <si>
    <t xml:space="preserve">自動保温を続けるのでなく、次の人が入る直前に沸かし直す</t>
  </si>
  <si>
    <t xml:space="preserve">自動保温をしない</t>
  </si>
  <si>
    <t xml:space="preserve">自動保温では、頻繁に風呂のお湯を屋外の給湯器まで送り出して温めるため、配管部分の熱の無駄が大きくなります。続けて入ることで保温しなくてもすみますが、時間があいて冷めてしまう場合には自動保温をせず、後から入る直前に温め直すことで省エネになります。</t>
  </si>
  <si>
    <t xml:space="preserve">高い温度を維持し続けようとすると、常にエネルギーがかかります。いったん休んでから、必要なときに温めるほうが省エネです。これは人間でも同じかもしれませんね。給湯器さんの立場にたって、考えてみましょう。</t>
  </si>
  <si>
    <t xml:space="preserve">mHWinsulation</t>
  </si>
  <si>
    <t xml:space="preserve">断熱型の浴槽にリフォームする</t>
  </si>
  <si>
    <t xml:space="preserve">断熱浴槽</t>
  </si>
  <si>
    <t xml:space="preserve">普及型</t>
  </si>
  <si>
    <t xml:space="preserve">浴槽が発泡スチロールなどの断熱材で覆われており、お湯が冷めにくくなっているタイプが増えています。浴槽のリフォーム工事が必要になりますが、冷めにくい分、追い焚きをしなくてすみます。あわせて、浴室もユニットバスにすると、浴室全体からの熱も逃げにくくなります。</t>
  </si>
  <si>
    <t xml:space="preserve">これがない時代は、浴槽の底から冷たくなってくるのが感じられました。浴槽の裏側に断熱材をつけただけなので、取り立てて画期的な技術ではないはずですが、とても快適です。</t>
  </si>
  <si>
    <t xml:space="preserve">mHWonlyShower</t>
  </si>
  <si>
    <t xml:space="preserve">夏場はシャワーだけですませて浴槽にお湯を張らない</t>
  </si>
  <si>
    <t xml:space="preserve">夏に浴槽のお湯をためない</t>
  </si>
  <si>
    <t xml:space="preserve">浴槽のお湯の量は、シャワーを使っている時間に換算すると10～20分に相当します。自動湯張りをせずに、浴槽のお湯だけを使って体を洗う使い方ではかえってエネルギー消費が増える場合もありますが、シャワーを併用している場合には浴槽の分が削減になります。</t>
  </si>
  <si>
    <t xml:space="preserve">夏は浴槽につかると暑くなるので、シャワーだけという家庭も多いです。ちなみに、シャワーと浴槽とどっちがお湯の消費が少ないのか聞かれることがありますが、浴槽をためながらシャワーを使う家庭なら、浴槽の分がそのまま削減になります。ただ、シャワーも20分近く使っていると、浴槽1杯分になるので、使う時間には注意が必要です。&lt;br&gt;さあ夏ができるのなら、春秋だってできそうですね。春秋ができたら、冬だってできるのではないでしょうか。（実際にそんな家庭もあります）</t>
  </si>
  <si>
    <t xml:space="preserve">mHWdishTank</t>
  </si>
  <si>
    <t xml:space="preserve">食器洗いでお湯を流しっぱなしにしない</t>
  </si>
  <si>
    <t xml:space="preserve">食器流し洗い</t>
  </si>
  <si>
    <t xml:space="preserve">洗剤で洗っているときにはお湯を止めるなど、なるべくお湯を出す時間を短く工夫してください。油汚れは古布等で先にふき取っておくと、すすぎも早く済みます。</t>
  </si>
  <si>
    <t xml:space="preserve">予洗いとすすぎのときに、お湯を流すだけで大丈夫です。洗剤で洗いながらすすぐと、こびりついたご飯の粒に出くわした時に、時間のロスになります。固まったご飯のかけらに、お湯の洪水は必要ありません。</t>
  </si>
  <si>
    <t xml:space="preserve">mHWdishWater</t>
  </si>
  <si>
    <t xml:space="preserve">水が冷たくない時期には水で食器を洗う</t>
  </si>
  <si>
    <t xml:space="preserve">食器水洗い</t>
  </si>
  <si>
    <t xml:space="preserve">暖かい季節には、お湯を使わなくても十分すすぐことができます。たとえば食器を洗うのにお湯を10分使う場合、約50リットルのお湯が消費されます。油汚れは古布等でふき取っておくなど工夫することで、すすぎも速くすみます。</t>
  </si>
  <si>
    <t xml:space="preserve">さすがに水が冷たい時期では、汚れ落ちも悪いですし、あかぎれもできてしまいます。ちなみに、あかぎれには生味噌をすりこむと痛いですが、実際昔にされいていた民間療法のひとつです。せめてラジオでも聞きながら、楽しく食器洗いしましょう。</t>
  </si>
  <si>
    <t xml:space="preserve">mCKdishWasher</t>
  </si>
  <si>
    <t xml:space="preserve">食器洗い乾燥機を使う</t>
  </si>
  <si>
    <t xml:space="preserve">食器洗浄機</t>
  </si>
  <si>
    <t xml:space="preserve">食器をお湯で流し洗いするのに比べると、お湯をためて洗浄しているため、食器洗浄乾燥機のほうが省エネとなります。なおお湯ではなく水で洗う場合には、食器洗浄機よりも省エネとなります。手洗いで工夫するのも有効な方法です。</t>
  </si>
  <si>
    <t xml:space="preserve">食器洗いは家事の敵だと言われています。横着をしながら、環境負荷を下げられるのが、この食器洗い乾燥機です。ただ工夫して、水で食器を洗っている方の場合には、手洗いのほうが負荷が小さくなります。がんばるか、がんばらないか、ご自由に選んでください。</t>
  </si>
  <si>
    <t xml:space="preserve">mHWtap</t>
  </si>
  <si>
    <t xml:space="preserve">台所・洗面所に節湯水栓を設置する</t>
  </si>
  <si>
    <t xml:space="preserve">節湯水栓</t>
  </si>
  <si>
    <t xml:space="preserve">手元ですぐ止められるようにしたり、シングルレバーを左に向けないとお湯がでないしくみにするなど、使い勝手は同じでも、お湯の消費量を2割以上減らせる機器があります。</t>
  </si>
  <si>
    <t xml:space="preserve">節水シャワーヘッドと並んで、画期的な器具です。量を測ってみると、いかにそれまでが無駄にお湯を使っていたのかがわかります。</t>
  </si>
  <si>
    <t xml:space="preserve">mHWreplaceToilet5</t>
  </si>
  <si>
    <t xml:space="preserve">節水トイレを設置する</t>
  </si>
  <si>
    <t xml:space="preserve">節水トイレ</t>
  </si>
  <si>
    <t xml:space="preserve">トイレ本体を工事して交換する必要がありますが、水の量を以前よりも半分以下に抑えることができます。以前は13リットル程度必要だったものが、4-6リットル程度で使えるようになっており、水道代を大きく削減できます。</t>
  </si>
  <si>
    <t xml:space="preserve">目立たないものの、毎日確実にお世話になる部分です。水に流すだけの話ですが、回転やひねりをかけたり、見事に工夫がされています。コンピュータを使った「スマート」とは違いますが、職人技のような研ぎ澄まされた美しさがあります。</t>
  </si>
  <si>
    <t xml:space="preserve">mHWreplaceToilet</t>
  </si>
  <si>
    <t xml:space="preserve">瞬間式の温水洗浄便座に買い替える</t>
  </si>
  <si>
    <t xml:space="preserve">瞬間式便座</t>
  </si>
  <si>
    <t xml:space="preserve">新製品では省エネ機能があり、ふたを開けた瞬間に温めるタイプなど、消費電力が少なくてすみます。カタログに表示されている年間消費電力量を参考に省エネ型を選んでください。</t>
  </si>
  <si>
    <t xml:space="preserve">シャワーのお湯と違って少量なので、使うときに加温をしても間に合います。便座も同様に、人がトイレに入るのを関知してから、温めるものもあります。トイレはやはり、がんばらずにもすぐに楽に、というのがいいですね。</t>
  </si>
  <si>
    <t xml:space="preserve">mHWtemplatureToilet</t>
  </si>
  <si>
    <t xml:space="preserve">保温便座の温度設定を下げる</t>
  </si>
  <si>
    <t xml:space="preserve">便座温度調節</t>
  </si>
  <si>
    <t xml:space="preserve">寒くない時期は保温を切ったり、温度設定を低めに設定することで省エネができます。便座にカバーをかけると、冷たさを感じにくくなります。</t>
  </si>
  <si>
    <t xml:space="preserve">せめて夏は止めておきましょう。そこまでして、がまんをしなくてもいいと思います。</t>
  </si>
  <si>
    <t xml:space="preserve">mHWcoverTilet</t>
  </si>
  <si>
    <t xml:space="preserve">保温洗浄便座のふたをしめる</t>
  </si>
  <si>
    <t xml:space="preserve">便座のふたを閉める</t>
  </si>
  <si>
    <t xml:space="preserve">便座のふたを上げた状態にしておくと、保温の熱が逃げやすく、消費電力が増えます。用を終えたら、ふたを閉めることで省エネになります。寒くなければ、保温をしないようにすることも省エネにつながります。</t>
  </si>
  <si>
    <t xml:space="preserve">かしこいもので、ふたが自動的に開くものもあります。&lt;br&gt;　ただこうしたトイレのセンサーがあまり信用しきれていないようで、なぜかと言えば、大きい方でこもっているときに、照明が自動的に消えてしまって、あわてて手をふったりしないといけなかったという悲しい体験をお持ちの方が多いからのようです。</t>
  </si>
  <si>
    <t xml:space="preserve">mACreplace</t>
  </si>
  <si>
    <t xml:space="preserve">エアコンを省エネ型に買い替える</t>
  </si>
  <si>
    <t xml:space="preserve">省エネエアコン</t>
  </si>
  <si>
    <t xml:space="preserve">同じだけ冷暖房をしても、省エネ性能の高いエアコンなら光熱費が安くなります。選ぶ時には、統一省エネラベルの★マークの数が多いものや、年間電気代の表示を参考に省エネ型を選んでください。暖房の性能もあがっており、ガスや灯油の暖房に比べてもCO2を削減することができます。</t>
  </si>
  <si>
    <t xml:space="preserve">同じだけ冷暖房をしても、30年前に比べると半分くらいの消費電力ですむ省エネ性能の高いエアコンがあります。選ぶ時には、統一省エネラベルの★マークの数が多いものや、年間電気代の表示を参考に省エネ型を選んでください。暖房の性能もあがっており、ガスや灯油の暖房に比べてもCO2を削減することができます。</t>
  </si>
  <si>
    <t xml:space="preserve">熱力学の法則上、現在以上に省エネのエアコンは作れないので、これから買うのなら、丈夫で長持ちするものがいいかもしれません。&lt;br&gt;　ちなみに余計な機能は不要かもしれません。お掃除ロボットは、電気ばかり消費しながら、結果的に、時々手作業での掃除も必要となるようです。</t>
  </si>
  <si>
    <t xml:space="preserve">mACreplaceHeat</t>
  </si>
  <si>
    <t xml:space="preserve">エアコンを省エネ型に買い替え、エアコンで暖房する</t>
  </si>
  <si>
    <t xml:space="preserve">省エネエアコン＋暖房</t>
  </si>
  <si>
    <t xml:space="preserve">同じだけ冷暖房をしても、省エネ性能の高いエアコンなら光熱費が安くなります。エアコンは室外の熱を利用するために、ガスや灯油などの暖房とくらべても、CO2排出量が少なくなります。選ぶ時には、統一省エネラベルの★マークの数が多いものや、年間電気代の表示を参考に省エネ型を選んでください。また、エアコンで暖房をすると、外気の熱を利用するため、ガスや灯油の暖房に比べて大幅にCO2を削減でき、光熱費の削減にもつながります。</t>
  </si>
  <si>
    <t xml:space="preserve">同じだけ冷暖房をして、30年前に比べると半分くらいの消費電力ですむ省エネ性能の高いエアコンがあります。エアコンは室外の熱を利用するために、ガスや灯油などの暖房とくらべても、CO2排出量が少なくなります。選ぶ時には、統一省エネラベルの★マークの数が多いものや、年間電気代の表示を参考に省エネ型を選んでください。</t>
  </si>
  <si>
    <t xml:space="preserve">ガスや灯油のストーブのように、部屋の中で燃やすのは、室内空気汚染の観点から、世界的に規制されつつあります。また燃やすと水蒸気が発生し、窓や壁に結露を生じる原因にもなります。&lt;br&gt;　エアコンは暖房っぽくないですが、「寒くないようにする」という点からは、省エネ性能も高いですし、理想的な暖房です。</t>
  </si>
  <si>
    <t xml:space="preserve">mACchangeHeat</t>
  </si>
  <si>
    <t xml:space="preserve">暖房をエアコンでする</t>
  </si>
  <si>
    <t xml:space="preserve">エアコン暖房</t>
  </si>
  <si>
    <t xml:space="preserve">エアコンで暖房をすると、外気の熱を利用するため、ガスや灯油の暖房に比べて大幅にCO2を削減でき、光熱費の削減にもつながります。なお、暖かい空気は軽いために天井に集まりやすく、床までしっかり届くよう、強風の設定で運転したり、うちわなどを活用したりしてください。また、最近のエアコンは床まで暖める機能が充実しています。</t>
  </si>
  <si>
    <t xml:space="preserve">mHTchangeHeat</t>
  </si>
  <si>
    <t xml:space="preserve">家の暖房をエアコンでする</t>
  </si>
  <si>
    <t xml:space="preserve">エアコンでだんぼうをする</t>
  </si>
  <si>
    <t xml:space="preserve">mCOsunCut</t>
  </si>
  <si>
    <t xml:space="preserve">冷房で、すだれ等を使い日射をカットする</t>
  </si>
  <si>
    <t xml:space="preserve">冷房日射カット</t>
  </si>
  <si>
    <t xml:space="preserve">冷房時に日射が入るのは、窓にストーブを置いているようなものです。日射を遮ると、省エネになり、部屋が涼しくなります。カーテンでも日射を防ぐことができますが、部屋の内側にあるカーテンが暖まり、部屋が暑くなってしまいます。このため、窓の外にすだれ・よしずをするほうが涼しくなります。また、5月頃から、ゴーヤ・朝顔・ヘチマなどを植えて育てると、夏にはりっぱな「緑のカーテン」ができあがり、日射を防いでくれます。</t>
  </si>
  <si>
    <t xml:space="preserve">とにかく夏は日陰にして、窓から日光を入れないようにしましょう。夕方の西日だけでなく、朝日も忘れないように。5月に気がつい方は、ゴーヤやヘチマなどつる植物を植えるのがお勧めです。7月になって耐えられなくなった方は、急いですだれを買いにいきましょう。</t>
  </si>
  <si>
    <t xml:space="preserve">mCOtemplature</t>
  </si>
  <si>
    <t xml:space="preserve">冷房の温度設定を控えめ（28℃）にする</t>
  </si>
  <si>
    <t xml:space="preserve">冷房設定温度</t>
  </si>
  <si>
    <t xml:space="preserve">省エネを考えた冷房設定温度の目安は28℃以上です。「涼しく感じるようにする」のではなく、「暑すぎないようにする」程度に考えてみてください。暑さの感じ方には個人差があるので無理をする必要はありませんが、扇風機を活用したり、薄着をするなどして工夫をしてみてください。窓をあけて風が入ると涼しく感じますし、風鈴の音なども、涼しく感じさせてくれます。設定温度を1℃控えめにすることで、CO2排出量や光熱費をおよそ1割削減することができます。また季節の終わりには、早めに冷房器具を使わないようにすることも効果的です。</t>
  </si>
  <si>
    <t xml:space="preserve">健康を維持できる温度ですので、それ以下はあきらめましょう。昼間に冷房をつけていると、いつの間にか外のほうが涼しくなっている場合がありますので、様子を気にしながら消しましょう。このタイミングの判断は、非常に高度な知恵と経験が必要となるため、まだコンピュータは太刀打ちできません。</t>
  </si>
  <si>
    <t xml:space="preserve">mHTtemplature</t>
  </si>
  <si>
    <t xml:space="preserve">厚着をして暖房の温度設定を控えめ（20℃）にする</t>
  </si>
  <si>
    <t xml:space="preserve">暖房設定温度</t>
  </si>
  <si>
    <t xml:space="preserve">省エネを考えた暖房設定温度の目安は20℃以下です。「暖かく感じるようにする」のではなく「寒くないようにする」程度に考えてみてください。寒さの感じ方には個人差があるので無理をする必要はありませんが、厚着をしたり、暖まる食事をとるなどして、工夫をしてみてください。設定温度を1℃控えめにすることで、CO2排出量や光熱費をおよそ1割削減することができます。また季節の終わりには、早めに冷暖房器具を使うのを止めることも効果的です。</t>
  </si>
  <si>
    <t xml:space="preserve">健康を維持できる温度ですので、それ以上はあきらめましょう。健康のためと言えば、厚着をするより、身体を動かして筋肉をつけておくほうが、暖かく過ごせます。特に、足先の冷え性など、血行をよくしておくよう気を配ってください。&lt;br&gt;　飲み物として、熱いお茶を保温水筒に入れて、こまめに飲むと、かぜもひきにくくなります。</t>
  </si>
  <si>
    <t xml:space="preserve">mHTwindowSheet</t>
  </si>
  <si>
    <t xml:space="preserve">暖房時に、窓用の断熱シートを貼る</t>
  </si>
  <si>
    <t xml:space="preserve">窓断熱シート</t>
  </si>
  <si>
    <t xml:space="preserve">窓用の断熱シート（いわゆるプチプチシートのようなエアクションタイプのもの）は、ホームセンター等で売られています。窓をきれいに拭いてから、霧吹きをかけ、その水だけで窓に貼り付けることができます。断熱効果があるだけでなく、結露も抑えることができます。窓から吹き下ろしてくる冷たい風も和らぎ、快適性も向上します。</t>
  </si>
  <si>
    <t xml:space="preserve">プチプチシートですので、正直言って、見栄えはよくないです。でも、結露や吹き下ろす冷たい風が減り、一度やったらやめられなくなるでしょう。とは言っても、暖かくなったら外してくださいね。</t>
  </si>
  <si>
    <t xml:space="preserve">mHTdouble</t>
  </si>
  <si>
    <t xml:space="preserve">窓・サッシを複合素材枠二重ガラスにする</t>
  </si>
  <si>
    <t xml:space="preserve">二重ガラス</t>
  </si>
  <si>
    <t xml:space="preserve">子育てグリーン住宅支援事業の対象で、他の断熱工事や機器導入を行って補助額が5万円以上になると補助されます。家の窓全体の断熱工事をする場合、工事にかかった費用に応じて、固定資産税の控除の制度があります。</t>
  </si>
  <si>
    <t xml:space="preserve">家の窓全体の断熱工事をする場合、工事にかかった費用に応じて、固定資産税の控除や、ローン残高に応じた所得税控除の制度があります。</t>
  </si>
  <si>
    <t xml:space="preserve">暖房時は窓やサッシから逃げる熱の割合が多く、通常のシングルガラスを複層ガラスに取り替えることで熱の逃げ方を半分程度に抑えることができます。省エネだけでなく、結露がつきにくくなるというメリットもあります。窓から吹き下ろしてくる冷たい風も和らぎ、快適性も向上します。家屋に応じた手法がありますので、工務店などに相談してください。</t>
  </si>
  <si>
    <t xml:space="preserve">割れない限り、付替えの必要性も感じない「窓・サッシ」ですが、・・・確かに以前の学校と違って割れないですね。二重になっているだけで、こんなに暖かいのかと、感動します。けれども、2020年までには複層ガラスが当然となり、やがて、もっと上のレベルが「いいよねえ」と話題になる時代が来るでしょう。</t>
  </si>
  <si>
    <t xml:space="preserve">mHTlowe</t>
  </si>
  <si>
    <t xml:space="preserve">窓・サッシを樹脂枠low-Eガラスにする</t>
  </si>
  <si>
    <t xml:space="preserve">樹脂枠low-Eガラス</t>
  </si>
  <si>
    <t xml:space="preserve">寒冷地では当然となりつつあるレベルの断熱窓です。このレベルを組み合わせて、エネルギー消費をゼロにしようという住宅が、2030年頃には、全国で標準になります。&lt;br&gt;　すでに建ててしまった方も、取り替える手段はありますので、ご安心を。</t>
  </si>
  <si>
    <t xml:space="preserve">mHTuchimado</t>
  </si>
  <si>
    <t xml:space="preserve">内窓をとりつける</t>
  </si>
  <si>
    <t xml:space="preserve">内窓</t>
  </si>
  <si>
    <t xml:space="preserve">暖房時は窓やサッシから逃げる熱の割合が多く、現在の窓やサッシの内側に追加して「内窓」をつけることでより熱が逃げにくくなります。内窓は比較的工事費が安く、約1時間で工事も完了し、結露防止や防犯にも効果があります。詳しくは工務店などに相談してください。</t>
  </si>
  <si>
    <t xml:space="preserve">もう一枚内側に窓をつけるというのも、面倒そうに見えて、意外と簡単に安く工事をしてくれます。それでいて、断熱性能は拡大にアップしますし、音の漏れも少なくなります。&lt;br&gt;　窓を開けるときが少しわずらわしいかもしれませんが、まあ網戸が二重になっているよりは、わかりやすいです。</t>
  </si>
  <si>
    <t xml:space="preserve">mHTdoubleGlassAll</t>
  </si>
  <si>
    <t xml:space="preserve">全ての部屋の窓ガラスを複層ガラスに置き換える</t>
  </si>
  <si>
    <t xml:space="preserve">全居室を複層ガラスに</t>
  </si>
  <si>
    <t xml:space="preserve">暖房時は窓やサッシから逃げる熱の割合が多く、通常のシングルガラスを複層ガラスに取り替えることで熱の逃げ方を半分程度に抑えることができます。省エネだけでなく、結露がつきにくくなるというメリットもあります。窓から吹き下ろしてくる冷たい風も和らいだり、冬の朝方の寒さが改善されたりなど、快適性も向上します。家屋に応じた手法がありますので、工務店などに相談してください。</t>
  </si>
  <si>
    <t xml:space="preserve">mHTuchimadoAll</t>
  </si>
  <si>
    <t xml:space="preserve">全ての部屋に内窓をとりつける</t>
  </si>
  <si>
    <t xml:space="preserve">全居室を内窓に</t>
  </si>
  <si>
    <t xml:space="preserve">暖房時は窓やサッシから逃げる熱の割合が多く、現在の窓やサッシの内側に追加して「内窓」をつけることでより熱が逃げにくくなります。内窓は比較的工事費が安く、約1時間で工事も完了し、結露防止や防犯にも効果があります。窓から吹き下ろしてくる冷たい風も和らいだり、冬の朝方の寒さが改善されたりなど、快適性も向上します。詳しくは工務店などに相談してください。</t>
  </si>
  <si>
    <t xml:space="preserve">暖房時は窓やサッシから逃げる熱の割合が多く、現在の窓やサッシの内側に追加して「内窓」をつけることでより熱が逃げにくくなります。内窓は比較的工事費が安く、約1時間で工事も完了し、結露防止や防犯にも効果があります。窓から吹き下ろしてくる冷たい風も和らぎ、冬の朝方の寒さが改善されたりなど、快適性も向上します。詳しくは工務店などに相談してください。</t>
  </si>
  <si>
    <t xml:space="preserve">mHTloweAll</t>
  </si>
  <si>
    <t xml:space="preserve">全ての部屋の窓・サッシを樹脂枠low-Eガラスにする</t>
  </si>
  <si>
    <t xml:space="preserve">全居室を樹脂枠low-Eガラスに</t>
  </si>
  <si>
    <t xml:space="preserve">mACfilter</t>
  </si>
  <si>
    <t xml:space="preserve">エアコンのフィルターを掃除する</t>
  </si>
  <si>
    <t xml:space="preserve">フィルター掃除</t>
  </si>
  <si>
    <t xml:space="preserve">エアコンは1ヶ月利用するごとにフィルター掃除するのが望ましいです。フィルターの目が詰まると、送風が弱くなり、特に暖房での効率が大きく落ちてしまいます。特にキッチンを含む部屋では、油煙がつきやすいのでこまめに掃除してください。最近のエアコンでは、自動的にフィルターを掃除する機種もあります。</t>
  </si>
  <si>
    <t xml:space="preserve">簡単にする場合には、掃除機で吸い取ってください。もっとするときは外してはたいてください。油汚れまでついていたら、洗剤で洗ってください。エアコンの自動掃除機能は、あまり期待しないでください。</t>
  </si>
  <si>
    <t xml:space="preserve">mHTtime</t>
  </si>
  <si>
    <t xml:space="preserve">暖房の使用時間を1時間短くする</t>
  </si>
  <si>
    <t xml:space="preserve">暖房1時間短縮</t>
  </si>
  <si>
    <t xml:space="preserve">暖房はつい長い時間つけっぱなしにしがちです。暖かくなったら止めるようにしましょう。就寝前や外出時などは30分前に止めるのも一つの方法です。また、人がいない部屋を暖房するのは無駄ですので、なるべく切るようにしましょう。</t>
  </si>
  <si>
    <t xml:space="preserve">どの1時間を短くするかが、家族で話し合うと、話題がつきないでしょう。出かける前に早めに切るもよし、みなで早く寝るもよし、温まったとき1時間途中で止めておくもよし、最も減らしやすい時間はどこか探してみてください。出かける前に早めに消しても、しばらくは暖気が残っています。だんだん寒くなって、もう耐えられないというときに外出すると、いちばん省エネになります。&lt;br&gt;　暖房はトータルでみると、点ける回数と消す回数は一致しているはずです。あなたは暖房を点ける回数が多いですか、消す回数が多いですか。</t>
  </si>
  <si>
    <t xml:space="preserve">mHTpartialHeating</t>
  </si>
  <si>
    <t xml:space="preserve">こたつやホットカーペットを活用して、部屋暖房を控える</t>
  </si>
  <si>
    <t xml:space="preserve">こたつ・ホットカーペット</t>
  </si>
  <si>
    <t xml:space="preserve">こたつやホットカーペットなどの部分暖房は、身体の近くだけを温めるので、消費エネルギーが少なくなっています。部屋暖房の設定温度を大きく下げても、同じ快適性を維持できます。特に、吹き抜け構造だったり、暖房部屋から階段が上階に続いている構造の場合、せっかく温めた空気が天井に抜けてしまい、部屋を温めるのに効率が悪くなります。こうした場合には、足元を温める暖房も検討してみてください。靴下をはいたり、厚着をすることも効果的です。&lt;br&gt;　こたつやホットカーペットを使う場合には、床との間に断熱シートを敷いたり、こたつの掛け布団も厚めにすると、より消費電力を減らせます。</t>
  </si>
  <si>
    <t xml:space="preserve">こたつは日本が世界に誇る省エネ暖房器具です。電気を多く消費しそうですが、消えている時間が長いので、平均すると100W程度の消費です。しかも、家族で足をつっこんでいると、足の熱でほとんど電気を消費しない場合もあります。これだけの電気で、家族全員が暖まれるというのは、画期的です。&lt;br&gt;　ただ、こたつには致命的な欠点があります。一度入ると二度と出てこれなくなるのです。この問題を解決することができれば、ノーベル賞ものだと言われています。</t>
  </si>
  <si>
    <t xml:space="preserve">mHTceiling</t>
  </si>
  <si>
    <t xml:space="preserve">暖房時に天井の暖気をかきまぜる</t>
  </si>
  <si>
    <t xml:space="preserve">サーキュレータ</t>
  </si>
  <si>
    <t xml:space="preserve">部屋暖房をしていると、床に比べて天井のほうが5～10℃近くも温度が高くなっていることが多くあります。うちわなどでかきまぜたり、サーキュレータや扇風機を上向きにしてかきまぜることで、暖かい空気を床まで届けることができ、快適に過ごせます。靴下をはいたり、厚着をすることも効果的です。</t>
  </si>
  <si>
    <t xml:space="preserve">ストーブなどを使っていると、天井のほうが5℃以上も高くなることがあります。人間は床で生活する生き物で、天井に張り付いて生活することはできません。天井裏のネズミばかり喜ばせても仕方ありませんので、しっかり床まで暖気を送ってあげましょう。&lt;br&gt;　扇風機やサーキュレータを上向きに設置するのもいいのですが、おすすめは「うちわ」です。パタパタさせるだけで、しっかり床まで暖気が届きますし、運動をして身体も暖まります。ただし、あらかじめ天井を掃除してからやらないと、ホコリが舞ってどうしようもないので、まずは掃除からはじめてください。</t>
  </si>
  <si>
    <t xml:space="preserve">mHTareaLimit</t>
  </si>
  <si>
    <t xml:space="preserve">暖房時に部屋のドアやふすまを閉め、暖房範囲を小さくする</t>
  </si>
  <si>
    <t xml:space="preserve">暖房範囲</t>
  </si>
  <si>
    <t xml:space="preserve">広い部屋を暖房するのには多くのエネルギーが必要です。ふすまや扉などで部屋を区切ると、小さい暖房器具でもよく暖まります。逆に吹き抜け構造など天井が高い場合は、多くの暖房が必要になります。</t>
  </si>
  <si>
    <t xml:space="preserve">広い部屋を狭く使おうという提案です。もしくは、狭い家もいいところがあるよ、というお話です。&lt;br&gt;　必要なものが全て手が届く範囲に置いてあり、過ごせるというのも、なかなか便利な生活かもしれません。</t>
  </si>
  <si>
    <t xml:space="preserve">mHTdanran</t>
  </si>
  <si>
    <t xml:space="preserve">家族だんらんで一部屋で過ごすようにする</t>
  </si>
  <si>
    <t xml:space="preserve">家族だんらん</t>
  </si>
  <si>
    <t xml:space="preserve">家族が別々の部屋で過ごすと、それぞれに暖房や照明をつける必要があります。いっしょの部屋で過ごすことで、暖房も照明も減らすことができます。ぜひ団らんの時間を楽しみながら、省エネをしてみてください。</t>
  </si>
  <si>
    <t xml:space="preserve">最近は家族ばらばらで過ごすことが多いですね。子どもは子ども部屋で、勉強しているふりをし、お父さんは自分の部屋で、よくわからないことをしています。ばらばらで過ごすと、それぞれの部屋の照明をつけて、冷暖房をしないといけません。いっしょに過ごすことができれば、一部屋の照明と冷暖房で、みなが過ごすことができます。&lt;br&gt;　ただしそのためには、家族仲良くすることが大事です。地球環境の前に、まずは家族環境を整えましょう。</t>
  </si>
  <si>
    <t xml:space="preserve">mHTbiomass</t>
  </si>
  <si>
    <t xml:space="preserve">薪ストーブ（ペレットストーブ）を導入する</t>
  </si>
  <si>
    <t xml:space="preserve">薪・ペレットストーブ</t>
  </si>
  <si>
    <t xml:space="preserve">薪ストーブもしくはペレットストーブを使うと、石油やガスなどの化石燃料を使わないため二酸化炭素排出量を減らすことができます。昔からの暖房燃料ですが、むしろ暖炉などおしゃれな作りで、都市部でも導入する事例が増えています。ペレットストーブは、燃料を自動的に供給するために、手間がかからないのもメリットです。設置には煙突の設置など、工事が必要になります。</t>
  </si>
  <si>
    <t xml:space="preserve">木が燃える炎を見ながら過ごすのは、単に暖房をする以上のくつろぎが生まれます。北欧では、暖炉の火を延々と放送するテレビ番組が大人気になっているほどです。</t>
  </si>
  <si>
    <t xml:space="preserve">mHTcentralNotUse</t>
  </si>
  <si>
    <t xml:space="preserve">使っていない部屋の設定温度を下げる</t>
  </si>
  <si>
    <t xml:space="preserve">セントラルヒーティングで使っていない部屋の設定温度を下げる</t>
  </si>
  <si>
    <t xml:space="preserve">未使用部屋の暖房温度</t>
  </si>
  <si>
    <t xml:space="preserve">使わない部屋の暖房を止めてしまうと結露・凍結などの問題がある場合には、そうならない程度に暖房設定を控えめにしてください。暖房設定の目標とする温度は20℃です。</t>
  </si>
  <si>
    <t xml:space="preserve">セントラルヒーティングをしている場合には、使わない部屋まで暖めていることになります。使わない部屋の暖房を止めてしまうと結露・凍結などの問題がある場合には、そうならない程度に暖房設定を控えめにしてください。暖房設定の目標とする温度は20℃です。</t>
  </si>
  <si>
    <t xml:space="preserve">断熱がしっかりしていれば、家全体を暖めるのが健康面でも望ましい方法です。けれども、人がいない部屋まで暖めるのは、少しロスになるため、温度設定を下げてから部屋を離れるのがベストです。これは、スマートハウスでどうにか自動化してくれたらうれしいですね。</t>
  </si>
  <si>
    <t xml:space="preserve">mHTkanki</t>
  </si>
  <si>
    <t xml:space="preserve">全熱交換換気装置を設置する</t>
  </si>
  <si>
    <t xml:space="preserve">全熱交換換気</t>
  </si>
  <si>
    <t xml:space="preserve">新しい家では換気設備の導入が義務付けられていますが、暖房をしているときには、暖まった空気を屋外に捨ててしまいます。全熱交換換気装置ではその熱を回収することができ、捨てられる熱の量を少なくできます。</t>
  </si>
  <si>
    <t xml:space="preserve">息をするたびに二酸化炭素が出てきますし、調理やストーブなどからも排ガスが出てきます。窓を開けたり、換気扇を使うのも一つの方法ですが、暖房時には温まった空気を捨ててしまうことにもなります。その熱まで回収しようというのですから、見事です。新築住宅で寒冷地を中心に普及しつつあります。</t>
  </si>
  <si>
    <t xml:space="preserve">mHTreformLV5</t>
  </si>
  <si>
    <t xml:space="preserve">省エネ等級5（ZEH相当）の省エネ住宅にリフォームする</t>
  </si>
  <si>
    <t xml:space="preserve">省エネ住宅等級5</t>
  </si>
  <si>
    <t xml:space="preserve">太陽光も併せて導入する場合にはZEH補助金、そうでない場合は長期優良リフォーム補助金や子育てグリーン住宅支援事業などがあり、減税もされます。</t>
  </si>
  <si>
    <t xml:space="preserve">断熱性能を高めることは、温暖化対策としてメリットがあるだけでなく、冬は暖かく、夏は涼しく、快適に過ごすことができ、健康面でもメリットがあることがわかっています。新築に建て替える方法だけでなく、土台や柱などの耐震補強をしながら、壁や窓などを全面的に作り直すリフォームは、リノベーションとも呼ばれ、新築よりも安くできます。</t>
  </si>
  <si>
    <t xml:space="preserve">mHTreformLV6</t>
  </si>
  <si>
    <t xml:space="preserve">省エネ等級6相当の省エネ住宅にリフォームする</t>
  </si>
  <si>
    <t xml:space="preserve">省エネ住宅等級6</t>
  </si>
  <si>
    <t xml:space="preserve">断熱性能を高めることは、温暖化対策としてメリットがあるだけでなく、冬は暖かく、夏は涼しく、快適に過ごすことができ、健康面でもメリットがあることがわかっています。新築に建て替える方法だけでなく、土台や柱などの耐震補強をしながら、壁や窓などを全面的に作り直すリフォームは、リノベーションとも呼ばれ、新築よりも安くできます。等級6は、現在の省エネ基準より、さらに暖房負荷を減らすことができます。</t>
  </si>
  <si>
    <t xml:space="preserve">mPTstopPot</t>
  </si>
  <si>
    <t xml:space="preserve">電気ポットで保温をしない</t>
  </si>
  <si>
    <t xml:space="preserve">ポット保温しない</t>
  </si>
  <si>
    <t xml:space="preserve">電気ポットでは、長時間保温をすると多くの電気が消費されます。必要に応じてお湯を沸かすようにするか、電気を使わない魔法瓶を活用してみてください。</t>
  </si>
  <si>
    <t xml:space="preserve">電気ポットを保温し続けていると、保温のために、年間数千円の電気代がかかります。有名どころでは「てぃ◯～る」など、すぐに必要な分のお湯をわかすこともでき、保温の電気代が安くすみます。</t>
  </si>
  <si>
    <t xml:space="preserve">mPTstopPotNight</t>
  </si>
  <si>
    <t xml:space="preserve">外出時や夜間に電気ポットの保温を止める</t>
  </si>
  <si>
    <t xml:space="preserve">夜間保温停止</t>
  </si>
  <si>
    <t xml:space="preserve">外出時や夜間など、長時間お湯を使わない場合には、電気ポットを止めておくことで保温電力を削減できます。炊飯ジャーや、便座の保温なども、同様に止めておくほうが省エネになります。</t>
  </si>
  <si>
    <t xml:space="preserve">電気ポットを保温し続けていると、保温のために、年間数千円の電気代がかかります。せめて使わない時には止めておきましょう。暖房代わりに使うとしても、少しロスが大きい使い方です。</t>
  </si>
  <si>
    <t xml:space="preserve">mPTstopRiceCooker</t>
  </si>
  <si>
    <t xml:space="preserve">炊飯ジャーの保温をやめる</t>
  </si>
  <si>
    <t xml:space="preserve">ジャー保温</t>
  </si>
  <si>
    <t xml:space="preserve">暖かいご飯を食べるのに、炊飯ジャーで保温をするより、食べる直前に電子レンジで温め直すほうが省エネになります。長時間にわたり高温で保温をすると、ご飯が変色することもあり、常温で置いておくほうがおいしく食べられます。</t>
  </si>
  <si>
    <t xml:space="preserve">保温をせずにチンするほうが、電気の消費量は少なくなります。保温し続けていると、乾燥したり黄ばんだりするので、その面でも止めておいたほうがいいです。</t>
  </si>
  <si>
    <t xml:space="preserve">mPTreplacePot</t>
  </si>
  <si>
    <t xml:space="preserve">省エネタイプの電気ポットに買い替える</t>
  </si>
  <si>
    <t xml:space="preserve">省エネ電気ポット</t>
  </si>
  <si>
    <t xml:space="preserve">魔法瓶のような断熱がされている電気ポットがあり、保温の電気消費を少なくすることができます。カタログに保温消費電力が表示されていいますので、これを参考にして選んでください。</t>
  </si>
  <si>
    <t xml:space="preserve">電気ポットが魔法瓶だったら省エネなのに、といわれ続けて、10年ほど前に完成しています。魔法瓶よりは、構造上熱が逃げやすいようですが、消費電力は大きく削減できます。</t>
  </si>
  <si>
    <t xml:space="preserve">mCKflame</t>
  </si>
  <si>
    <t xml:space="preserve">鍋から炎がはみ出さないようにする</t>
  </si>
  <si>
    <t xml:space="preserve">調理炎調整</t>
  </si>
  <si>
    <t xml:space="preserve">鍋底から炎がはみ出すのは、ガスが無駄になるだけで、調理時間の短縮にはなりません。鍋底から炎がはみ出さない程度に調節して使いましょう。このほかにも、段取りよく調理をする工夫によって、ガスの消費を減らすことができます。</t>
  </si>
  <si>
    <t xml:space="preserve">炎の温度が一番高いのは、輝いている一番先端です。その部分が鍋にかかっていないというのは、無駄にしているということです。少しひねるだけなので、調節してやってください。</t>
  </si>
  <si>
    <t xml:space="preserve">mDRsolar</t>
  </si>
  <si>
    <t xml:space="preserve">晴れた日は衣類乾燥機や乾燥機能を使わずに天日乾燥させる</t>
  </si>
  <si>
    <t xml:space="preserve">天日干し</t>
  </si>
  <si>
    <t xml:space="preserve">衣類の乾燥機能は便利ですが、洗濯の10倍以上のエネルギーがかかります。なるべく天日で乾かすようにし、乾燥機能を使わないことが省エネです。</t>
  </si>
  <si>
    <t xml:space="preserve">雨の日でも雨があたらない場所なら、干しておくと少しは乾きます。冬場は乾きにくいですが、エアコン暖房をかけた部屋で干すと、乾燥もやわらぐメリットもあります。&lt;br&gt;　1回につき、テレビ40時間分くらいの電気を消費します。これも一つの「自然エネルギーの利用」と言えます。</t>
  </si>
  <si>
    <t xml:space="preserve">mDRheatPump</t>
  </si>
  <si>
    <t xml:space="preserve">ヒートポンプ式の衣類乾燥ができる洗濯機に買い替える</t>
  </si>
  <si>
    <t xml:space="preserve">ヒートポンプ乾燥</t>
  </si>
  <si>
    <t xml:space="preserve">衣類乾燥機や乾燥機能付き洗濯機の中で、ヒートポンプ式のものは、通常の乾燥機に比べてエネルギー消費が半分程度で済みます。よく乾燥機能を利用する場合には、光熱費の削減額も大きく効いてきます。ただし、乾燥機能自体が多くのエネルギーを使うため、なるべく乾燥機能を使わないことが望ましいです。</t>
  </si>
  <si>
    <t xml:space="preserve">洗濯機も省エネ化が進みましたが、その一つが乾燥機能のヒートポンプ化です。値段が高いのでまだ限られた機種ですし、いままで乾燥機を使ってこなかった家庭にとっては、増エネになりますので、注意してください。</t>
  </si>
  <si>
    <t xml:space="preserve">mLIceilingLED</t>
  </si>
  <si>
    <t xml:space="preserve">蛍光灯器具をLEDシーリングライトに付け替える</t>
  </si>
  <si>
    <t xml:space="preserve">LEDライト</t>
  </si>
  <si>
    <t xml:space="preserve">蛍光灯</t>
  </si>
  <si>
    <t xml:space="preserve">LEDの省エネ性能は高く、長持ちします。蛍光灯と異なり、照明器具のカバーの中に虫が入らないため、掃除の手間も省くことができます。照明器具から取り替えますが、ソケットがあるので、通常は電気屋に頼まなくても自分で交換できます。光の色合いなども調整したり、細かく明るさを調整したりすることもできます。2027年度までに計億棟の新規の製造・輸入は禁止され、LEDに置き換わります。</t>
  </si>
  <si>
    <t xml:space="preserve">LEDの省エネ性能は高く、長持ちします。蛍光灯と異なり、照明器具のカバーの中に虫が入らないため、掃除の手間も省くことができます。照明器具から取り替えますが、ソケットがあるので、通常は電気屋に頼まなくても自分で交換できます。光の色合いなども調整したり、細かく明るさを調整したりすることもできます。</t>
  </si>
  <si>
    <t xml:space="preserve">省エネなのはもちろんですが、電気屋さんによると、虫が入らないので掃除をしなくてもいいのが、喜ばれているようです。蛍光灯のシーリングライトは、虫が入り込みやすく、大掃除で取り外そうとしてカバーを壊してしまう人が多いそうです。</t>
  </si>
  <si>
    <t xml:space="preserve">mLILED</t>
  </si>
  <si>
    <t xml:space="preserve">LEDに付け替える</t>
  </si>
  <si>
    <t xml:space="preserve">LED電球</t>
  </si>
  <si>
    <t xml:space="preserve">40000h</t>
  </si>
  <si>
    <t xml:space="preserve">電球</t>
  </si>
  <si>
    <t xml:space="preserve">LED電球は、白熱電球と同じソケットを使っており、電球が切れたときにそのまま付け替えることができます。電気の消費を8割削減でき、寿命は40倍以上になります。</t>
  </si>
  <si>
    <t xml:space="preserve">白熱電球は手で触れないほどの、ヒータのようなものです。夏場につけていると、まさに暖房器具をつけているような暑さが伝わります。LEDは発熱が少なく、省エネに加えて、夏に涼しく過ごせるというメリットもあります。</t>
  </si>
  <si>
    <t xml:space="preserve">mLIsensor</t>
  </si>
  <si>
    <t xml:space="preserve">人感センサー式に付け替える</t>
  </si>
  <si>
    <t xml:space="preserve">センサー照明</t>
  </si>
  <si>
    <t xml:space="preserve">玄関の照明を、センサー式にすると、人を感知して点灯するため、防犯性能が高くなります。電気が流れている時間が大幅に減り、省エネになります。また、廊下は人が通るときだけ明るくなればいいので、人感センサーの照明を設置をして、人が通るときだけ照らすことも実用的で省エネになります。</t>
  </si>
  <si>
    <t xml:space="preserve">トイレの照明では苦い思いをした人が多いと思われるセンサーですが、玄関や廊下、門灯などにはうってつけです。どろぼうも、突然点く照明は、やりにくいという話です（直接聞いたわけではありませんが）。&lt;br&gt;　ただあまりこうした自動消灯になれてしまうと、消さない習慣がついてしまうこともあり、注意が必要です。</t>
  </si>
  <si>
    <t xml:space="preserve">mLItime</t>
  </si>
  <si>
    <t xml:space="preserve">照明を使う時間を1時間短くする</t>
  </si>
  <si>
    <t xml:space="preserve">照明短縮</t>
  </si>
  <si>
    <t xml:space="preserve">照明を点けるときに多くの電気が流れますが、ほんの一瞬であるため、結果的にこまめに消すことで省エネになります。部屋を離れるときには必ず照明を消す習慣をつけることが大切です。また、夜に明るい光をあびると、睡眠のサイクルが狂ってしまい、身体にとってよくないことになります。</t>
  </si>
  <si>
    <t xml:space="preserve">暖房なら暖気が残るので、早めに消すということができますが、照明は難しいですね。「早く寝ろ」ということでしょうか。それはそれで幸せかもしれません。</t>
  </si>
  <si>
    <t xml:space="preserve">mLIoff</t>
  </si>
  <si>
    <t xml:space="preserve">部屋を出るときに照明を消す</t>
  </si>
  <si>
    <t xml:space="preserve">照明消灯</t>
  </si>
  <si>
    <t xml:space="preserve">部屋を離れるときには、こまめに照明を消すようにしましょう。点けるときに多くの電気が流れますが、ほんの一瞬であるため、すぐに戻ってくる予定でも、こまめに照明を消すほうが省エネになります。</t>
  </si>
  <si>
    <t xml:space="preserve">人がいない部屋は消す</t>
  </si>
  <si>
    <t xml:space="preserve">mTVreplace</t>
  </si>
  <si>
    <t xml:space="preserve">省エネ性能の高いテレビに買い替える</t>
  </si>
  <si>
    <t xml:space="preserve">省エネテレビ購入</t>
  </si>
  <si>
    <t xml:space="preserve">テレビの省エネ性能が向上しているため、以前と比べて同じサイズであれば半分以下の消費電力になるタイプが販売されています。店頭では、なるべく年間電気代が安いテレビを選ぶようにしてください。</t>
  </si>
  <si>
    <t xml:space="preserve">テレビを買いかえる</t>
  </si>
  <si>
    <t xml:space="preserve">mTVradio</t>
  </si>
  <si>
    <t xml:space="preserve">テレビの時間の半分をラジオにする</t>
  </si>
  <si>
    <t xml:space="preserve">ラジオ</t>
  </si>
  <si>
    <t xml:space="preserve">テレビは画面を映し出す必要があるため、ラジオの10～100倍の消費電力を消費しています。寂しいためにテレビを点けている場合には、省エネのために、ラジオやCDなどに代えてみてください。</t>
  </si>
  <si>
    <t xml:space="preserve">テレビでなくラジオをつかう</t>
  </si>
  <si>
    <t xml:space="preserve">mTVtime</t>
  </si>
  <si>
    <t xml:space="preserve">テレビを点ける時間を1日1時間短くする</t>
  </si>
  <si>
    <t xml:space="preserve">テレビ短縮</t>
  </si>
  <si>
    <t xml:space="preserve">あらかじめ視るテレビ番組を決めておき、終わったらテレビを消すようにしましょう。点けっぱなしにしていると、意図せずに次の番組まで見てしまうことになります。またテレビゲームの場合にもは、長時間しがちですので、使う時間を短くするように心がけましょう。</t>
  </si>
  <si>
    <t xml:space="preserve">テレビを1時間みじかくする</t>
  </si>
  <si>
    <t xml:space="preserve">mTVbright</t>
  </si>
  <si>
    <t xml:space="preserve">テレビの画面を明るすぎないよう調整する</t>
  </si>
  <si>
    <t xml:space="preserve">テレビ明るさ調節</t>
  </si>
  <si>
    <t xml:space="preserve">テレビの画面の明るさを調節できるようになっています。販売時には明るく設定がされており、このままでは家ではまぶしすぎ、消費電力も多くなります。明るさを控えめに設定することで、2～4割程度消費電力が削減されます。新しいテレビでは、センサーで自動調節するタイプもあります。</t>
  </si>
  <si>
    <t xml:space="preserve">テレビの明るさをちょうせつする</t>
  </si>
  <si>
    <t xml:space="preserve">mRFreplace</t>
  </si>
  <si>
    <t xml:space="preserve">冷蔵庫を省エネ型に買い替える</t>
  </si>
  <si>
    <t xml:space="preserve">省エネ冷蔵庫</t>
  </si>
  <si>
    <t xml:space="preserve">以前の機種に比べると半分くらいの電気ですむ省エネ型冷蔵庫があります。選ぶ時には、統一省エネラベルの★マークの数が多いものや、年間電気代の表示を参考に省エネ型を選んでください。買換のときには、古い冷蔵庫は家電リサイクルの制度で引き取ってもらうようにしましょう。</t>
  </si>
  <si>
    <t xml:space="preserve">冷ぞう庫を買いかえる</t>
  </si>
  <si>
    <t xml:space="preserve">mRFstop</t>
  </si>
  <si>
    <t xml:space="preserve">冷蔵庫のうち１台を止める</t>
  </si>
  <si>
    <t xml:space="preserve">冷蔵庫停止</t>
  </si>
  <si>
    <t xml:space="preserve">冷蔵庫を2台以上使っている場合には、1台を止めてください。小型の冷蔵庫でも大型と同じくらい多くの電気を消費します。使えるのに使わないでおくと「もったいない」と感じるかもしれませんが、電気を入れているだけで大きな環境負荷が生じますので、使わないほうが望ましいです。</t>
  </si>
  <si>
    <t xml:space="preserve">冷ぞう庫を止める</t>
  </si>
  <si>
    <t xml:space="preserve">mRFwall</t>
  </si>
  <si>
    <t xml:space="preserve">冷蔵庫を壁から離す</t>
  </si>
  <si>
    <t xml:space="preserve">冷蔵庫位置</t>
  </si>
  <si>
    <t xml:space="preserve">冷蔵庫は壁から5cm程度離すのが目安です。冷蔵庫は側面や天井面から熱を逃がしていますが、壁に接していると熱が逃げにくくなり、消費電力が1割程度増えてしまいます。</t>
  </si>
  <si>
    <t xml:space="preserve">冷ぞうこを、かべからはなす</t>
  </si>
  <si>
    <t xml:space="preserve">mRFtemplature</t>
  </si>
  <si>
    <t xml:space="preserve">冷蔵庫の温度設定を控えめにする</t>
  </si>
  <si>
    <t xml:space="preserve">冷蔵温度</t>
  </si>
  <si>
    <t xml:space="preserve">冷蔵庫は温度調節ができます。設定を、強から中へ、中から弱へするとそれぞれ1割程度省エネができます。食品の傷みがやや速くなりますので、支障がないか確認しながら試してみてください。</t>
  </si>
  <si>
    <t xml:space="preserve">冷ぞうこの設定を弱くする</t>
  </si>
  <si>
    <t xml:space="preserve">mCRreplace</t>
  </si>
  <si>
    <t xml:space="preserve">エコカーに買い替える</t>
  </si>
  <si>
    <t xml:space="preserve">車買い替え</t>
  </si>
  <si>
    <t xml:space="preserve">エコカーの導入にあたっては、「減税」のメリットが得られます。</t>
  </si>
  <si>
    <t xml:space="preserve">ハイブリッド車や電気自動車以外にも、技術改善により、既存の燃料消費が半分程度で済む低燃費車が開発されて販売されています。購入時には燃費を考慮して選んで下さい。</t>
  </si>
  <si>
    <t xml:space="preserve">エコカーに買いかえる</t>
  </si>
  <si>
    <t xml:space="preserve">mCRreplaceElec</t>
  </si>
  <si>
    <t xml:space="preserve">電気自動車を導入する</t>
  </si>
  <si>
    <t xml:space="preserve">電気自動車</t>
  </si>
  <si>
    <t xml:space="preserve">電気自動車の導入にあたっては、「CEV補助金」「減税」のメリットが得られます。</t>
  </si>
  <si>
    <t xml:space="preserve">電気自動車は、ガソリンの代わりに充電された電気を使い、エンジンの代わりにモーターを回して走ります。エンジンに比べて効率が高く、十分実用的な車として販売がされています。ただし充電スタンドはまだ少なく、充電に時間がかかるため、夜間に充電しておく必要があります。欧州や中国などでは、2040年ころまでにエンジン式の自動車から電気自動車に切り替える方針としています。</t>
  </si>
  <si>
    <t xml:space="preserve">電気自動車にする</t>
  </si>
  <si>
    <t xml:space="preserve">mCRecoDrive</t>
  </si>
  <si>
    <t xml:space="preserve">アイドリングストップなどエコドライブに心がける</t>
  </si>
  <si>
    <t xml:space="preserve">エコドライブ</t>
  </si>
  <si>
    <t xml:space="preserve">アイドリングストップのほか、発進時にふんわりスタートすることにより、燃費を1割程度向上させることができます。</t>
  </si>
  <si>
    <t xml:space="preserve">エコドライブにこころがける</t>
  </si>
  <si>
    <t xml:space="preserve">mCRtrain</t>
  </si>
  <si>
    <t xml:space="preserve">鉄道やバスなど公共交通機関を利用する</t>
  </si>
  <si>
    <t xml:space="preserve">公共交通</t>
  </si>
  <si>
    <t xml:space="preserve">2km程度の近所の場合で、気候がいいときには、車を使わずに自転車を使ったり、歩いたりしましょう。健康のためにもなります。</t>
  </si>
  <si>
    <t xml:space="preserve">鉄道やバスを使う</t>
  </si>
  <si>
    <t xml:space="preserve">mCR20percent</t>
  </si>
  <si>
    <t xml:space="preserve">車の利用を2割止める</t>
  </si>
  <si>
    <t xml:space="preserve">車の利用2割減</t>
  </si>
  <si>
    <t xml:space="preserve">車の利用は多くのエネルギーを消費します。必要性の薄い用途には使わないなどの工夫が大切です。</t>
  </si>
  <si>
    <t xml:space="preserve">全て使うなというのは無茶ですが、ほんとに必要なのか考えると、2割くらい工夫でどうにかなる分はあるのではないでしょうか。</t>
  </si>
  <si>
    <t xml:space="preserve">mCRwalk</t>
  </si>
  <si>
    <t xml:space="preserve">近くの場合には車でなく、自転車や徒歩で行く</t>
  </si>
  <si>
    <t xml:space="preserve">自転車や徒歩</t>
  </si>
  <si>
    <t xml:space="preserve">どのくらいの距離までが「近く」なのかは、判断はお任せします。いつものくせで車のキーをさしている場合には、少し立ち止まって考えてみてください。道端の様子を眺め、季節を感じながら歩いたり自転車で走ったりするのもいいものです。&lt;br&gt;　街中ではだいぶ歩道や自転車道が整備されてきています。自動車を使わなくても暮らせる町が、ほんとうは一番住みやすい町なのかもしれません。</t>
  </si>
  <si>
    <t xml:space="preserve">mPTstopPlug</t>
  </si>
  <si>
    <t xml:space="preserve">コンセントからプラグを抜き、待機電力を減らす</t>
  </si>
  <si>
    <t xml:space="preserve">待機電力</t>
  </si>
  <si>
    <t xml:space="preserve">テレビやビデオ、エアコンなど、使用していないときにも電気が消費されていることがあります。長時間使わないときには、コンセントからプラグを抜くことで削減ができます。最近の機種は待機電力が削減されているため、5年以上前の古い機種の場合に取組んでください。エアコンは、直接コンセントを抜くのではなく、まずリモコンで停止させ、動作が完全に止まってから抜いてください。</t>
  </si>
  <si>
    <t xml:space="preserve">購入して10年以内の新しい機種は、だいぶ待機電力削減の努力がされています。それ以前の機器を、なんとなくずっと使っている場合には、ぜひ抜いておきましょう。エアコンも利用季節が終わったときに、掃除をした上で抜いておくのがおすすめです。早めに抜いておくと、家族のだれかがリモコンで使おうとしても「あれ、つかないなあ」と諦めてくれることもあり、その分省エネになります。</t>
  </si>
  <si>
    <t xml:space="preserve">Input definition</t>
  </si>
  <si>
    <t xml:space="preserve">Number</t>
  </si>
  <si>
    <t xml:space="preserve">String</t>
  </si>
  <si>
    <t xml:space="preserve">Boolean</t>
  </si>
  <si>
    <t xml:space="preserve">Fill cells of this color and set character color to red in usual case as refrence ( more than 5% of people )</t>
  </si>
  <si>
    <t xml:space="preserve">3 direction Eco Index</t>
  </si>
  <si>
    <t xml:space="preserve">id</t>
  </si>
  <si>
    <t xml:space="preserve">unit</t>
  </si>
  <si>
    <t xml:space="preserve">text</t>
  </si>
  <si>
    <t xml:space="preserve">inputType</t>
  </si>
  <si>
    <t xml:space="preserve">right</t>
  </si>
  <si>
    <t xml:space="preserve">postfix</t>
  </si>
  <si>
    <t xml:space="preserve">nodata</t>
  </si>
  <si>
    <t xml:space="preserve">varType</t>
  </si>
  <si>
    <t xml:space="preserve">min</t>
  </si>
  <si>
    <t xml:space="preserve">max</t>
  </si>
  <si>
    <t xml:space="preserve">defaultValue</t>
  </si>
  <si>
    <t xml:space="preserve">selectID</t>
  </si>
  <si>
    <t xml:space="preserve">display value</t>
  </si>
  <si>
    <t xml:space="preserve">save data (no need to cange exept price unit)</t>
  </si>
  <si>
    <t xml:space="preserve">保存値</t>
  </si>
  <si>
    <t xml:space="preserve">(1)Sustainability Index</t>
  </si>
  <si>
    <t xml:space="preserve">(2)Good Investment Index</t>
  </si>
  <si>
    <t xml:space="preserve">(3)Eco Action and Atitude Index</t>
  </si>
  <si>
    <t xml:space="preserve">プログラム記述コード</t>
  </si>
  <si>
    <t xml:space="preserve">input code</t>
  </si>
  <si>
    <t xml:space="preserve">question titlee(if you want not to show start with # )</t>
  </si>
  <si>
    <t xml:space="preserve">title(reference)</t>
  </si>
  <si>
    <t xml:space="preserve">unit(reference)</t>
  </si>
  <si>
    <t xml:space="preserve">advice(reference)</t>
  </si>
  <si>
    <t xml:space="preserve">Input Style</t>
  </si>
  <si>
    <t xml:space="preserve">align-right=1</t>
  </si>
  <si>
    <t xml:space="preserve">treatment</t>
  </si>
  <si>
    <t xml:space="preserve">display in case of -1</t>
  </si>
  <si>
    <t xml:space="preserve">variable type</t>
  </si>
  <si>
    <t xml:space="preserve">minimum</t>
  </si>
  <si>
    <t xml:space="preserve">maximum</t>
  </si>
  <si>
    <t xml:space="preserve">(auto)</t>
  </si>
  <si>
    <t xml:space="preserve">Level1)large equal than</t>
  </si>
  <si>
    <t xml:space="preserve">index</t>
  </si>
  <si>
    <t xml:space="preserve">Level2)large equal than</t>
  </si>
  <si>
    <t xml:space="preserve">Level3)large equal than</t>
  </si>
  <si>
    <t xml:space="preserve">weight</t>
  </si>
  <si>
    <t xml:space="preserve">index of no answer</t>
  </si>
  <si>
    <t xml:space="preserve">変数定義</t>
  </si>
  <si>
    <t xml:space="preserve">選択表示</t>
  </si>
  <si>
    <t xml:space="preserve">i010</t>
  </si>
  <si>
    <t xml:space="preserve">対策として重視する視点</t>
  </si>
  <si>
    <t xml:space="preserve">どんな対策を優先的に表示しますか</t>
  </si>
  <si>
    <t xml:space="preserve">選んで下さい</t>
  </si>
  <si>
    <t xml:space="preserve">CO2削減優先</t>
  </si>
  <si>
    <t xml:space="preserve">光熱費削減優先</t>
  </si>
  <si>
    <t xml:space="preserve">取り組みやすさ考慮</t>
  </si>
  <si>
    <t xml:space="preserve">取り組みやすさ優先</t>
  </si>
  <si>
    <t xml:space="preserve">i001</t>
  </si>
  <si>
    <t xml:space="preserve">家族人数</t>
  </si>
  <si>
    <t xml:space="preserve">人</t>
  </si>
  <si>
    <t xml:space="preserve">あなたを含めて、いっしょに住んでいる人数を選んで下さい。</t>
  </si>
  <si>
    <t xml:space="preserve">1人</t>
  </si>
  <si>
    <t xml:space="preserve">2人</t>
  </si>
  <si>
    <t xml:space="preserve">3人</t>
  </si>
  <si>
    <t xml:space="preserve">4人</t>
  </si>
  <si>
    <t xml:space="preserve">5人</t>
  </si>
  <si>
    <t xml:space="preserve">6人</t>
  </si>
  <si>
    <t xml:space="preserve">7人</t>
  </si>
  <si>
    <t xml:space="preserve">8人</t>
  </si>
  <si>
    <t xml:space="preserve">9人以上</t>
  </si>
  <si>
    <t xml:space="preserve">i002</t>
  </si>
  <si>
    <t xml:space="preserve">集合戸建て</t>
  </si>
  <si>
    <t xml:space="preserve">お住いは、戸建てですか、集合住宅ですか</t>
  </si>
  <si>
    <t xml:space="preserve">戸建て</t>
  </si>
  <si>
    <t xml:space="preserve">集合</t>
  </si>
  <si>
    <t xml:space="preserve">i003</t>
  </si>
  <si>
    <t xml:space="preserve">家の広さ</t>
  </si>
  <si>
    <t xml:space="preserve">m2</t>
  </si>
  <si>
    <t xml:space="preserve">家の延べ床面積で、いちばん近い数値を選んで下さい。</t>
  </si>
  <si>
    <t xml:space="preserve">15m2</t>
  </si>
  <si>
    <t xml:space="preserve">30m2</t>
  </si>
  <si>
    <t xml:space="preserve">50m2</t>
  </si>
  <si>
    <t xml:space="preserve">70m2</t>
  </si>
  <si>
    <t xml:space="preserve">100m2</t>
  </si>
  <si>
    <t xml:space="preserve">120m2</t>
  </si>
  <si>
    <t xml:space="preserve">150m2</t>
  </si>
  <si>
    <t xml:space="preserve">200m2以上</t>
  </si>
  <si>
    <t xml:space="preserve">i004</t>
  </si>
  <si>
    <t xml:space="preserve">家の所有</t>
  </si>
  <si>
    <t xml:space="preserve">持ち家ですか、賃貸ですか</t>
  </si>
  <si>
    <t xml:space="preserve">持ち家</t>
  </si>
  <si>
    <t xml:space="preserve">賃貸</t>
  </si>
  <si>
    <t xml:space="preserve">i005</t>
  </si>
  <si>
    <t xml:space="preserve">家の階数</t>
  </si>
  <si>
    <t xml:space="preserve">階数</t>
  </si>
  <si>
    <t xml:space="preserve">何階建てですか、集合住宅の場合は建物の何階ですか</t>
  </si>
  <si>
    <t xml:space="preserve">何階建てですか、集合住宅の場合何階ですか</t>
  </si>
  <si>
    <t xml:space="preserve">平屋建て</t>
  </si>
  <si>
    <t xml:space="preserve">2階建て</t>
  </si>
  <si>
    <t xml:space="preserve">3階以上</t>
  </si>
  <si>
    <t xml:space="preserve">i006</t>
  </si>
  <si>
    <t xml:space="preserve">天井が屋根面（最上階）か</t>
  </si>
  <si>
    <t xml:space="preserve">集合住宅の場合、天井が屋根面（最上階）ですか</t>
  </si>
  <si>
    <t xml:space="preserve">天井が屋根面（最上階）ですか</t>
  </si>
  <si>
    <t xml:space="preserve">最上階（上は屋根）</t>
  </si>
  <si>
    <t xml:space="preserve">最上階でない（上に部屋がある）</t>
  </si>
  <si>
    <t xml:space="preserve">i007</t>
  </si>
  <si>
    <t xml:space="preserve">屋根の日当たり</t>
  </si>
  <si>
    <t xml:space="preserve">屋根の日当たりはいいですか</t>
  </si>
  <si>
    <t xml:space="preserve">とてもよい</t>
  </si>
  <si>
    <t xml:space="preserve">よい</t>
  </si>
  <si>
    <t xml:space="preserve">ときどき陰る</t>
  </si>
  <si>
    <t xml:space="preserve">よくない</t>
  </si>
  <si>
    <t xml:space="preserve">i008</t>
  </si>
  <si>
    <t xml:space="preserve">居室数</t>
  </si>
  <si>
    <t xml:space="preserve">部屋</t>
  </si>
  <si>
    <t xml:space="preserve">家に居室は何部屋ありますか。トイレ、風呂などは含みません。</t>
  </si>
  <si>
    <t xml:space="preserve">家にある部屋の数は</t>
  </si>
  <si>
    <t xml:space="preserve">1部屋</t>
  </si>
  <si>
    <t xml:space="preserve">2部屋</t>
  </si>
  <si>
    <t xml:space="preserve">3部屋</t>
  </si>
  <si>
    <t xml:space="preserve">4部屋</t>
  </si>
  <si>
    <t xml:space="preserve">5部屋</t>
  </si>
  <si>
    <t xml:space="preserve">6部屋</t>
  </si>
  <si>
    <t xml:space="preserve">7部屋</t>
  </si>
  <si>
    <t xml:space="preserve">8部屋以上</t>
  </si>
  <si>
    <t xml:space="preserve">i009</t>
  </si>
  <si>
    <t xml:space="preserve">築年数</t>
  </si>
  <si>
    <t xml:space="preserve">年</t>
  </si>
  <si>
    <t xml:space="preserve">家を建ててからおよそ何年ですか</t>
  </si>
  <si>
    <t xml:space="preserve">家を建ててから何年ですか</t>
  </si>
  <si>
    <t xml:space="preserve">5年未満</t>
  </si>
  <si>
    <t xml:space="preserve">5-10年未満</t>
  </si>
  <si>
    <t xml:space="preserve">10-20年未満</t>
  </si>
  <si>
    <t xml:space="preserve">20年以上</t>
  </si>
  <si>
    <t xml:space="preserve">わからない</t>
  </si>
  <si>
    <t xml:space="preserve">i021</t>
  </si>
  <si>
    <t xml:space="preserve">都道府県</t>
  </si>
  <si>
    <t xml:space="preserve">お住まいの都道府県を選んで下さい。</t>
  </si>
  <si>
    <t xml:space="preserve">i022</t>
  </si>
  <si>
    <t xml:space="preserve">詳細地域</t>
  </si>
  <si>
    <t xml:space="preserve">都道府県内の気候が違う場合の地域</t>
  </si>
  <si>
    <t xml:space="preserve">i023</t>
  </si>
  <si>
    <t xml:space="preserve">公共交通の便利さ</t>
  </si>
  <si>
    <t xml:space="preserve">お住いは公共交通の便はいい地域ですか</t>
  </si>
  <si>
    <t xml:space="preserve">便利</t>
  </si>
  <si>
    <t xml:space="preserve">どちらかと言えば便利</t>
  </si>
  <si>
    <t xml:space="preserve">どちらかといえば不便</t>
  </si>
  <si>
    <t xml:space="preserve">不便</t>
  </si>
  <si>
    <t xml:space="preserve">i041</t>
  </si>
  <si>
    <t xml:space="preserve">窓の断熱性能</t>
  </si>
  <si>
    <t xml:space="preserve">窓はどのような種類ですか</t>
  </si>
  <si>
    <t xml:space="preserve">樹脂枠三重ガラス</t>
  </si>
  <si>
    <t xml:space="preserve">樹脂アルミ複合/樹脂枠二重ガラス</t>
  </si>
  <si>
    <t xml:space="preserve">アルミ枠二重ガラス</t>
  </si>
  <si>
    <t xml:space="preserve">アルミ枠単板ガラス</t>
  </si>
  <si>
    <t xml:space="preserve">i042</t>
  </si>
  <si>
    <t xml:space="preserve">壁面の断熱材の厚さ</t>
  </si>
  <si>
    <t xml:space="preserve">断熱材の厚さはどの程度ですか（グラスウール以外は換算してください）</t>
  </si>
  <si>
    <t xml:space="preserve">断熱材の厚さはどの程度ですか</t>
  </si>
  <si>
    <t xml:space="preserve">グラスウール200mm相当</t>
  </si>
  <si>
    <t xml:space="preserve">グラスウール150mm相当</t>
  </si>
  <si>
    <t xml:space="preserve">グラスウール100mm相当</t>
  </si>
  <si>
    <t xml:space="preserve">グラスウール50mm相当</t>
  </si>
  <si>
    <t xml:space="preserve">グラスウール30mm相当</t>
  </si>
  <si>
    <t xml:space="preserve">入っていない</t>
  </si>
  <si>
    <t xml:space="preserve">i043</t>
  </si>
  <si>
    <t xml:space="preserve">窓の断熱リフォーム</t>
  </si>
  <si>
    <t xml:space="preserve">窓の断熱リフォームをしましかたか</t>
  </si>
  <si>
    <t xml:space="preserve">全面的にした</t>
  </si>
  <si>
    <t xml:space="preserve">一部した</t>
  </si>
  <si>
    <t xml:space="preserve">していない</t>
  </si>
  <si>
    <t xml:space="preserve">i044</t>
  </si>
  <si>
    <t xml:space="preserve">壁天井断熱リフォーム</t>
  </si>
  <si>
    <t xml:space="preserve">壁・天井・床などの断熱リフォームをしましたか</t>
  </si>
  <si>
    <t xml:space="preserve">i051</t>
  </si>
  <si>
    <t xml:space="preserve">太陽光発電の設置</t>
  </si>
  <si>
    <t xml:space="preserve">consEnergy</t>
  </si>
  <si>
    <t xml:space="preserve">太陽光発電装置を設置していますか</t>
  </si>
  <si>
    <t xml:space="preserve">している</t>
  </si>
  <si>
    <t xml:space="preserve">i052</t>
  </si>
  <si>
    <t xml:space="preserve">太陽光発電のサイズ</t>
  </si>
  <si>
    <t xml:space="preserve">太陽光のサイズ</t>
  </si>
  <si>
    <t xml:space="preserve">kW</t>
  </si>
  <si>
    <t xml:space="preserve">設置している太陽光発電装置のサイズを選んで下さい。</t>
  </si>
  <si>
    <t xml:space="preserve">している（～3kW）</t>
  </si>
  <si>
    <t xml:space="preserve">している（4kW)</t>
  </si>
  <si>
    <t xml:space="preserve">している（5kW)</t>
  </si>
  <si>
    <t xml:space="preserve">している（6～10kW)</t>
  </si>
  <si>
    <t xml:space="preserve">している（10kW以上）</t>
  </si>
  <si>
    <t xml:space="preserve">i053</t>
  </si>
  <si>
    <t xml:space="preserve">太陽光発電の設置年</t>
  </si>
  <si>
    <t xml:space="preserve">太陽光発電を設置した年はいつですか</t>
  </si>
  <si>
    <t xml:space="preserve">2014年度以前</t>
  </si>
  <si>
    <t xml:space="preserve">2015年度</t>
  </si>
  <si>
    <t xml:space="preserve">2016年度</t>
  </si>
  <si>
    <t xml:space="preserve">2017年度</t>
  </si>
  <si>
    <t xml:space="preserve">2018年度</t>
  </si>
  <si>
    <t xml:space="preserve">2019年度</t>
  </si>
  <si>
    <t xml:space="preserve">2020年度</t>
  </si>
  <si>
    <t xml:space="preserve">2021年度</t>
  </si>
  <si>
    <t xml:space="preserve">2022年度</t>
  </si>
  <si>
    <t xml:space="preserve">2023年度</t>
  </si>
  <si>
    <t xml:space="preserve">2024年度・25年9月まで</t>
  </si>
  <si>
    <t xml:space="preserve">2025年10月以降</t>
  </si>
  <si>
    <t xml:space="preserve">設置していない</t>
  </si>
  <si>
    <t xml:space="preserve">2010年度以前</t>
  </si>
  <si>
    <t xml:space="preserve">2011-2012年度</t>
  </si>
  <si>
    <t xml:space="preserve">2013年度</t>
  </si>
  <si>
    <t xml:space="preserve">2014年度</t>
  </si>
  <si>
    <t xml:space="preserve">2017年度以降</t>
  </si>
  <si>
    <t xml:space="preserve">i054</t>
  </si>
  <si>
    <t xml:space="preserve">灯油を使っていますか</t>
  </si>
  <si>
    <t xml:space="preserve">はい</t>
  </si>
  <si>
    <t xml:space="preserve">いいえ</t>
  </si>
  <si>
    <t xml:space="preserve">i061</t>
  </si>
  <si>
    <t xml:space="preserve">電気代</t>
  </si>
  <si>
    <t xml:space="preserve">円</t>
  </si>
  <si>
    <t xml:space="preserve">年平均で、1ヶ月のおおよその電気代を選んでください。</t>
  </si>
  <si>
    <t xml:space="preserve">1ヶ月のおおよその電気代を選んでください。</t>
  </si>
  <si>
    <t xml:space="preserve">1000円</t>
  </si>
  <si>
    <t xml:space="preserve">2000円</t>
  </si>
  <si>
    <t xml:space="preserve">3000円</t>
  </si>
  <si>
    <t xml:space="preserve">5000円</t>
  </si>
  <si>
    <t xml:space="preserve">7000円</t>
  </si>
  <si>
    <t xml:space="preserve">1万円</t>
  </si>
  <si>
    <t xml:space="preserve">1万2000円</t>
  </si>
  <si>
    <t xml:space="preserve">1万5000円</t>
  </si>
  <si>
    <t xml:space="preserve">2万円</t>
  </si>
  <si>
    <t xml:space="preserve">3万円</t>
  </si>
  <si>
    <t xml:space="preserve">それ以上</t>
  </si>
  <si>
    <t xml:space="preserve">i062</t>
  </si>
  <si>
    <t xml:space="preserve">売電金額</t>
  </si>
  <si>
    <t xml:space="preserve">太陽光発電で1ヶ月あたりどのくらい電気を売ることができますか。</t>
  </si>
  <si>
    <t xml:space="preserve">i063</t>
  </si>
  <si>
    <t xml:space="preserve">ガス代</t>
  </si>
  <si>
    <t xml:space="preserve">年平均で、1ヶ月のおおよそのガス代を選んで下さい。</t>
  </si>
  <si>
    <t xml:space="preserve">1ヶ月のおおよそのガス代を選んで下さい。</t>
  </si>
  <si>
    <t xml:space="preserve">オール電化（使わない）</t>
  </si>
  <si>
    <t xml:space="preserve">i064</t>
  </si>
  <si>
    <t xml:space="preserve">灯油購入量</t>
  </si>
  <si>
    <t xml:space="preserve">年平均で、1ヶ月あたりのおおよその灯油使用量を選んでください。</t>
  </si>
  <si>
    <t xml:space="preserve">1ヶ月あたりのおおよその灯油使用量を選んでください。</t>
  </si>
  <si>
    <t xml:space="preserve">使わない</t>
  </si>
  <si>
    <t xml:space="preserve">2ヶ月で1缶（9L)</t>
  </si>
  <si>
    <t xml:space="preserve">月1缶（18L)</t>
  </si>
  <si>
    <t xml:space="preserve">月2缶（36L)</t>
  </si>
  <si>
    <t xml:space="preserve">月3缶（54L)</t>
  </si>
  <si>
    <t xml:space="preserve">週1缶（72L)</t>
  </si>
  <si>
    <t xml:space="preserve">5日で1缶（108L)</t>
  </si>
  <si>
    <t xml:space="preserve">週2缶（144L)</t>
  </si>
  <si>
    <t xml:space="preserve">週3缶（216L)</t>
  </si>
  <si>
    <t xml:space="preserve">i065</t>
  </si>
  <si>
    <t xml:space="preserve">練炭購入量</t>
  </si>
  <si>
    <t xml:space="preserve">1ヶ月あたりのおおよその練炭購入量を選んでください。</t>
  </si>
  <si>
    <t xml:space="preserve">i066</t>
  </si>
  <si>
    <t xml:space="preserve">地域熱供給</t>
  </si>
  <si>
    <t xml:space="preserve">暖房用の地域熱供給はありますか</t>
  </si>
  <si>
    <t xml:space="preserve">使っている</t>
  </si>
  <si>
    <t xml:space="preserve">i072</t>
  </si>
  <si>
    <t xml:space="preserve">ホームタンクの容量</t>
  </si>
  <si>
    <t xml:space="preserve">ホームタンクが設置されている場合はその容量を選んでください</t>
  </si>
  <si>
    <t xml:space="preserve">100L</t>
  </si>
  <si>
    <t xml:space="preserve">200L</t>
  </si>
  <si>
    <t xml:space="preserve">300L</t>
  </si>
  <si>
    <t xml:space="preserve">400L</t>
  </si>
  <si>
    <t xml:space="preserve">i073</t>
  </si>
  <si>
    <t xml:space="preserve">灯油ホームタンク回数</t>
  </si>
  <si>
    <t xml:space="preserve">灯油のホームタンクに年間に入れる回数を選んでください</t>
  </si>
  <si>
    <t xml:space="preserve">年3回以下</t>
  </si>
  <si>
    <t xml:space="preserve">年4-6回</t>
  </si>
  <si>
    <t xml:space="preserve">年7-10回</t>
  </si>
  <si>
    <t xml:space="preserve">年11-15回</t>
  </si>
  <si>
    <t xml:space="preserve">年16-20回</t>
  </si>
  <si>
    <t xml:space="preserve">年21回以上</t>
  </si>
  <si>
    <t xml:space="preserve">i074</t>
  </si>
  <si>
    <t xml:space="preserve">上下水道代</t>
  </si>
  <si>
    <t xml:space="preserve">1ヶ月あたりのおおよその上下水道代を選んでください。</t>
  </si>
  <si>
    <t xml:space="preserve">500円</t>
  </si>
  <si>
    <t xml:space="preserve">1500円</t>
  </si>
  <si>
    <t xml:space="preserve">4000円</t>
  </si>
  <si>
    <t xml:space="preserve">i075</t>
  </si>
  <si>
    <t xml:space="preserve">車燃料代</t>
  </si>
  <si>
    <t xml:space="preserve">おおよその1ヶ月のガソリン代（軽油代）を選んで下さい。家族全員分になります。</t>
  </si>
  <si>
    <t xml:space="preserve">i081</t>
  </si>
  <si>
    <t xml:space="preserve">電力会社</t>
  </si>
  <si>
    <t xml:space="preserve">電力会社を選んでください</t>
  </si>
  <si>
    <t xml:space="preserve">北海道電力</t>
  </si>
  <si>
    <t xml:space="preserve">東北電力</t>
  </si>
  <si>
    <t xml:space="preserve">東京電力</t>
  </si>
  <si>
    <t xml:space="preserve">中部電力</t>
  </si>
  <si>
    <t xml:space="preserve">北陸電力</t>
  </si>
  <si>
    <t xml:space="preserve">関西電力</t>
  </si>
  <si>
    <t xml:space="preserve">四国電力</t>
  </si>
  <si>
    <t xml:space="preserve">九州電力</t>
  </si>
  <si>
    <t xml:space="preserve">沖縄電力</t>
  </si>
  <si>
    <t xml:space="preserve">そのほか</t>
  </si>
  <si>
    <t xml:space="preserve">i082</t>
  </si>
  <si>
    <t xml:space="preserve">電気契約</t>
  </si>
  <si>
    <t xml:space="preserve">電気の契約種類を選んでください</t>
  </si>
  <si>
    <t xml:space="preserve">通常の家庭用（従量）</t>
  </si>
  <si>
    <t xml:space="preserve">時間帯別契約</t>
  </si>
  <si>
    <t xml:space="preserve">i083</t>
  </si>
  <si>
    <t xml:space="preserve">ガス種類</t>
  </si>
  <si>
    <t xml:space="preserve">ガスの種類を選んでください</t>
  </si>
  <si>
    <t xml:space="preserve">都市ガス</t>
  </si>
  <si>
    <t xml:space="preserve">LPガス</t>
  </si>
  <si>
    <t xml:space="preserve">ガスを使わない</t>
  </si>
  <si>
    <t xml:space="preserve">i091</t>
  </si>
  <si>
    <t xml:space="preserve">consSeason</t>
  </si>
  <si>
    <t xml:space="preserve">i092</t>
  </si>
  <si>
    <t xml:space="preserve">i093</t>
  </si>
  <si>
    <t xml:space="preserve">i094</t>
  </si>
  <si>
    <t xml:space="preserve">i101</t>
  </si>
  <si>
    <t xml:space="preserve">給湯器の種類</t>
  </si>
  <si>
    <t xml:space="preserve">お風呂のお湯を沸かす給湯器は、どんな機器ですか。</t>
  </si>
  <si>
    <t xml:space="preserve">ガス給湯器</t>
  </si>
  <si>
    <t xml:space="preserve">エコジョーズ（ガス潜熱回収型）</t>
  </si>
  <si>
    <t xml:space="preserve">灯油給湯器</t>
  </si>
  <si>
    <t xml:space="preserve">エコフィール（灯油潜熱回収型）</t>
  </si>
  <si>
    <t xml:space="preserve">エコキュート（電気）</t>
  </si>
  <si>
    <t xml:space="preserve">エコウィル（コジェネ）</t>
  </si>
  <si>
    <t xml:space="preserve">エネファーム（燃料電池）</t>
  </si>
  <si>
    <t xml:space="preserve">薪</t>
  </si>
  <si>
    <t xml:space="preserve">i102</t>
  </si>
  <si>
    <t xml:space="preserve">太陽熱温水器を利用していますか</t>
  </si>
  <si>
    <t xml:space="preserve">利用している</t>
  </si>
  <si>
    <t xml:space="preserve">時々利用している</t>
  </si>
  <si>
    <t xml:space="preserve">利用していない</t>
  </si>
  <si>
    <t xml:space="preserve">i103</t>
  </si>
  <si>
    <t xml:space="preserve">風呂沸かし日数（夏以外）</t>
  </si>
  <si>
    <t xml:space="preserve">日/週</t>
  </si>
  <si>
    <t xml:space="preserve">夏以外の季節で、お風呂を沸かすのは、1週間に何日くらいですか。</t>
  </si>
  <si>
    <t xml:space="preserve">お風呂を沸かすのは、1週間に何日くらいですか。</t>
  </si>
  <si>
    <t xml:space="preserve">お湯をためない</t>
  </si>
  <si>
    <t xml:space="preserve">週1日</t>
  </si>
  <si>
    <t xml:space="preserve">週2日</t>
  </si>
  <si>
    <t xml:space="preserve">2日に1回程度</t>
  </si>
  <si>
    <t xml:space="preserve">週5～6日</t>
  </si>
  <si>
    <t xml:space="preserve">毎日</t>
  </si>
  <si>
    <t xml:space="preserve">i104</t>
  </si>
  <si>
    <t xml:space="preserve">風呂沸かし日数（夏）</t>
  </si>
  <si>
    <t xml:space="preserve">夏場にお風呂を沸かすのは、1週間に何日くらいですか。</t>
  </si>
  <si>
    <t xml:space="preserve">i105</t>
  </si>
  <si>
    <t xml:space="preserve">シャワー時間(夏以外）</t>
  </si>
  <si>
    <t xml:space="preserve">分/日</t>
  </si>
  <si>
    <t xml:space="preserve">夏以外の季節で、家族全員でシャワーを使う時間は、1日何分くらいですか。平均的には1人5分程度です。</t>
  </si>
  <si>
    <t xml:space="preserve">家族全員でシャワーを使う時間は、1日何分くらいですか。平均的には1人5分程度です。</t>
  </si>
  <si>
    <t xml:space="preserve">5分</t>
  </si>
  <si>
    <t xml:space="preserve">10分</t>
  </si>
  <si>
    <t xml:space="preserve">15分</t>
  </si>
  <si>
    <t xml:space="preserve">20分</t>
  </si>
  <si>
    <t xml:space="preserve">30分</t>
  </si>
  <si>
    <t xml:space="preserve">40分</t>
  </si>
  <si>
    <t xml:space="preserve">60分</t>
  </si>
  <si>
    <t xml:space="preserve">90分</t>
  </si>
  <si>
    <t xml:space="preserve">120分</t>
  </si>
  <si>
    <t xml:space="preserve">i106</t>
  </si>
  <si>
    <t xml:space="preserve">シャワー時間(夏）</t>
  </si>
  <si>
    <t xml:space="preserve">夏場に家族全員でシャワーを使う時間は、1日何分くらいですか。</t>
  </si>
  <si>
    <t xml:space="preserve">i107</t>
  </si>
  <si>
    <t xml:space="preserve">お湯はりの高さ</t>
  </si>
  <si>
    <t xml:space="preserve">浴槽にどの高さまでお湯をためますか</t>
  </si>
  <si>
    <t xml:space="preserve">肩までつかる程度</t>
  </si>
  <si>
    <t xml:space="preserve">半身浴</t>
  </si>
  <si>
    <t xml:space="preserve">お湯をはらない</t>
  </si>
  <si>
    <t xml:space="preserve">i108</t>
  </si>
  <si>
    <t xml:space="preserve">浴槽の保温時間</t>
  </si>
  <si>
    <t xml:space="preserve">時間</t>
  </si>
  <si>
    <t xml:space="preserve">風呂の保温を1日何時間していますか</t>
  </si>
  <si>
    <t xml:space="preserve">3時間</t>
  </si>
  <si>
    <t xml:space="preserve">6時間</t>
  </si>
  <si>
    <t xml:space="preserve">10時間</t>
  </si>
  <si>
    <t xml:space="preserve">16時間</t>
  </si>
  <si>
    <t xml:space="preserve">24時間</t>
  </si>
  <si>
    <t xml:space="preserve">i109</t>
  </si>
  <si>
    <t xml:space="preserve">浴槽のお湯で体を洗う</t>
  </si>
  <si>
    <t xml:space="preserve">浴槽にためてあるときは浴槽のお湯を使いますか</t>
  </si>
  <si>
    <t xml:space="preserve">浴槽のお湯を使う</t>
  </si>
  <si>
    <t xml:space="preserve">半々くらい</t>
  </si>
  <si>
    <t xml:space="preserve">シャワーを使う</t>
  </si>
  <si>
    <t xml:space="preserve">i110</t>
  </si>
  <si>
    <t xml:space="preserve">風呂のお湯を温め直す方法</t>
  </si>
  <si>
    <t xml:space="preserve">割</t>
  </si>
  <si>
    <t xml:space="preserve">追い焚きはどのようにしていますか</t>
  </si>
  <si>
    <t xml:space="preserve">常に自動で追い焚きをしている</t>
  </si>
  <si>
    <t xml:space="preserve">必要に応じて追い焚きをする</t>
  </si>
  <si>
    <t xml:space="preserve">必要に応じて注ぎ湯をする</t>
  </si>
  <si>
    <t xml:space="preserve">i111</t>
  </si>
  <si>
    <t xml:space="preserve">風呂のお湯が少なくなったとき</t>
  </si>
  <si>
    <t xml:space="preserve">浴槽のお湯が少なくなったときにどうしますか</t>
  </si>
  <si>
    <t xml:space="preserve">常に自動でたし湯される</t>
  </si>
  <si>
    <t xml:space="preserve">少ないままで入る</t>
  </si>
  <si>
    <t xml:space="preserve">その時どきで対応する</t>
  </si>
  <si>
    <t xml:space="preserve">i112</t>
  </si>
  <si>
    <t xml:space="preserve">シャワーのお湯が出るまで</t>
  </si>
  <si>
    <t xml:space="preserve">秒</t>
  </si>
  <si>
    <t xml:space="preserve">最初にお湯が出てくるまでの時間はどのくらいですか</t>
  </si>
  <si>
    <t xml:space="preserve">すぐにお湯が出る</t>
  </si>
  <si>
    <t xml:space="preserve">5秒くらい待つ</t>
  </si>
  <si>
    <t xml:space="preserve">10秒くらい待つ</t>
  </si>
  <si>
    <t xml:space="preserve">20秒くらいまつ</t>
  </si>
  <si>
    <t xml:space="preserve">1分弱待つ</t>
  </si>
  <si>
    <t xml:space="preserve">i113</t>
  </si>
  <si>
    <t xml:space="preserve">食器洗いでのお湯の利用</t>
  </si>
  <si>
    <t xml:space="preserve">食器洗いで、お湯を使わずに水を使うようにしていますか</t>
  </si>
  <si>
    <t xml:space="preserve">常にしている</t>
  </si>
  <si>
    <t xml:space="preserve">だいたいしている</t>
  </si>
  <si>
    <t xml:space="preserve">時々している</t>
  </si>
  <si>
    <t xml:space="preserve">i114</t>
  </si>
  <si>
    <t xml:space="preserve">洗面でのお湯使用期間</t>
  </si>
  <si>
    <t xml:space="preserve">ヶ月</t>
  </si>
  <si>
    <t xml:space="preserve">洗面での水でなくお湯を沸かして使う時期は、何ヶ月ありますか</t>
  </si>
  <si>
    <t xml:space="preserve">お湯を使わない</t>
  </si>
  <si>
    <t xml:space="preserve">2ヶ月</t>
  </si>
  <si>
    <t xml:space="preserve">4ヶ月</t>
  </si>
  <si>
    <t xml:space="preserve">6ヶ月</t>
  </si>
  <si>
    <t xml:space="preserve">8ヶ月</t>
  </si>
  <si>
    <t xml:space="preserve">10ヶ月</t>
  </si>
  <si>
    <t xml:space="preserve">12ヶ月</t>
  </si>
  <si>
    <t xml:space="preserve">i115</t>
  </si>
  <si>
    <t xml:space="preserve">食器洗いでのお湯使用期間</t>
  </si>
  <si>
    <t xml:space="preserve">食器を洗うのに水でなくお湯を沸かして使う時期は、何ヶ月ありますか</t>
  </si>
  <si>
    <t xml:space="preserve">食器洗い機使用</t>
  </si>
  <si>
    <t xml:space="preserve">i116</t>
  </si>
  <si>
    <t xml:space="preserve">節水シャワーヘッドを使っていますか</t>
  </si>
  <si>
    <t xml:space="preserve">使っていない</t>
  </si>
  <si>
    <t xml:space="preserve">i117</t>
  </si>
  <si>
    <t xml:space="preserve">浴槽・ユニットバス</t>
  </si>
  <si>
    <t xml:space="preserve">ユニットバスですか。また浴槽は断熱型ですか</t>
  </si>
  <si>
    <t xml:space="preserve">断熱浴槽のユニットバス</t>
  </si>
  <si>
    <t xml:space="preserve">ユニットバス</t>
  </si>
  <si>
    <t xml:space="preserve">ユニットバスでない</t>
  </si>
  <si>
    <t xml:space="preserve">i131</t>
  </si>
  <si>
    <t xml:space="preserve">便座の保温</t>
  </si>
  <si>
    <t xml:space="preserve">便座の保温をしていますか</t>
  </si>
  <si>
    <t xml:space="preserve">通年している</t>
  </si>
  <si>
    <t xml:space="preserve">夏以外している</t>
  </si>
  <si>
    <t xml:space="preserve">冬のみしている</t>
  </si>
  <si>
    <t xml:space="preserve">i132</t>
  </si>
  <si>
    <t xml:space="preserve">便座の温度設定</t>
  </si>
  <si>
    <t xml:space="preserve">便座の温度設定はどうしていますか</t>
  </si>
  <si>
    <t xml:space="preserve">高め</t>
  </si>
  <si>
    <t xml:space="preserve">ふつう</t>
  </si>
  <si>
    <t xml:space="preserve">低め</t>
  </si>
  <si>
    <t xml:space="preserve">i133</t>
  </si>
  <si>
    <t xml:space="preserve">瞬間式保温便座</t>
  </si>
  <si>
    <t xml:space="preserve">瞬間式の保温便座ですか</t>
  </si>
  <si>
    <t xml:space="preserve">i134</t>
  </si>
  <si>
    <t xml:space="preserve">使用後に便座のふたを閉めていますか</t>
  </si>
  <si>
    <t xml:space="preserve">i201</t>
  </si>
  <si>
    <t xml:space="preserve">暖房する範囲</t>
  </si>
  <si>
    <t xml:space="preserve">よく暖房をする範囲は、家全体のどのくらいになりますか。</t>
  </si>
  <si>
    <t xml:space="preserve">家全体</t>
  </si>
  <si>
    <t xml:space="preserve">家の半分くらい</t>
  </si>
  <si>
    <t xml:space="preserve">家の一部</t>
  </si>
  <si>
    <t xml:space="preserve">1部屋のみ</t>
  </si>
  <si>
    <t xml:space="preserve">部屋の暖房をしない</t>
  </si>
  <si>
    <t xml:space="preserve">i202</t>
  </si>
  <si>
    <t xml:space="preserve">主に使う暖房器具</t>
  </si>
  <si>
    <t xml:space="preserve">部屋を暖めるために最もよく使う暖房器具のエネルギー源は何ですか。床暖房の場合は熱源で選んでください。</t>
  </si>
  <si>
    <t xml:space="preserve">エアコン</t>
  </si>
  <si>
    <t xml:space="preserve">電気熱暖房</t>
  </si>
  <si>
    <t xml:space="preserve">ガス</t>
  </si>
  <si>
    <t xml:space="preserve">灯油</t>
  </si>
  <si>
    <t xml:space="preserve">こたつやホットカーペットのみ</t>
  </si>
  <si>
    <t xml:space="preserve">地域熱</t>
  </si>
  <si>
    <t xml:space="preserve">i203</t>
  </si>
  <si>
    <t xml:space="preserve">補助的に使う暖房器具</t>
  </si>
  <si>
    <t xml:space="preserve">補助的に使う暖房器具はありますか</t>
  </si>
  <si>
    <t xml:space="preserve">i204</t>
  </si>
  <si>
    <t xml:space="preserve">暖房時間</t>
  </si>
  <si>
    <t xml:space="preserve">冬に暖房は1日に何時間くらい使いますか。</t>
  </si>
  <si>
    <t xml:space="preserve">1時間</t>
  </si>
  <si>
    <t xml:space="preserve">2時間</t>
  </si>
  <si>
    <t xml:space="preserve">4時間</t>
  </si>
  <si>
    <t xml:space="preserve">8時間</t>
  </si>
  <si>
    <t xml:space="preserve">12時間</t>
  </si>
  <si>
    <t xml:space="preserve">i205</t>
  </si>
  <si>
    <t xml:space="preserve">℃</t>
  </si>
  <si>
    <t xml:space="preserve">暖房をするときには何℃に設定しますか。設定できない場合はおよそ何℃になっていますか。</t>
  </si>
  <si>
    <t xml:space="preserve">18℃</t>
  </si>
  <si>
    <t xml:space="preserve">19℃</t>
  </si>
  <si>
    <t xml:space="preserve">20℃</t>
  </si>
  <si>
    <t xml:space="preserve">21℃</t>
  </si>
  <si>
    <t xml:space="preserve">22℃</t>
  </si>
  <si>
    <t xml:space="preserve">23℃</t>
  </si>
  <si>
    <t xml:space="preserve">24℃</t>
  </si>
  <si>
    <t xml:space="preserve">25℃</t>
  </si>
  <si>
    <t xml:space="preserve">26℃以上</t>
  </si>
  <si>
    <t xml:space="preserve">i206</t>
  </si>
  <si>
    <t xml:space="preserve">暖房する期間</t>
  </si>
  <si>
    <t xml:space="preserve">部屋を暖房する期間は1年で何ヶ月くらいですか</t>
  </si>
  <si>
    <t xml:space="preserve">暖房をしない</t>
  </si>
  <si>
    <t xml:space="preserve">1ヶ月</t>
  </si>
  <si>
    <t xml:space="preserve">3ヶ月</t>
  </si>
  <si>
    <t xml:space="preserve">5ヶ月</t>
  </si>
  <si>
    <t xml:space="preserve">i211</t>
  </si>
  <si>
    <t xml:space="preserve">部屋の名前</t>
  </si>
  <si>
    <t xml:space="preserve">部屋の名前（呼び方）を書いてください</t>
  </si>
  <si>
    <t xml:space="preserve">i212</t>
  </si>
  <si>
    <t xml:space="preserve">部屋の広さ</t>
  </si>
  <si>
    <t xml:space="preserve">冷暖房する部屋の広さを答えてください。吹き抜けがある場合には、その分を2倍してください。</t>
  </si>
  <si>
    <t xml:space="preserve">4畳半</t>
  </si>
  <si>
    <t xml:space="preserve">6畳</t>
  </si>
  <si>
    <t xml:space="preserve">8畳</t>
  </si>
  <si>
    <t xml:space="preserve">10畳</t>
  </si>
  <si>
    <t xml:space="preserve">12畳</t>
  </si>
  <si>
    <t xml:space="preserve">15畳</t>
  </si>
  <si>
    <t xml:space="preserve">20畳</t>
  </si>
  <si>
    <t xml:space="preserve">25畳</t>
  </si>
  <si>
    <t xml:space="preserve">30畳</t>
  </si>
  <si>
    <t xml:space="preserve">40畳</t>
  </si>
  <si>
    <t xml:space="preserve">i213</t>
  </si>
  <si>
    <t xml:space="preserve">窓ガラスの大きさ</t>
  </si>
  <si>
    <t xml:space="preserve">サッシや窓のガラスの大きさを、その部屋の合計として答えてください。</t>
  </si>
  <si>
    <t xml:space="preserve">小窓（90×120）</t>
  </si>
  <si>
    <t xml:space="preserve">腰窓（120×180）</t>
  </si>
  <si>
    <t xml:space="preserve">2枚掃き出し窓（180×180）</t>
  </si>
  <si>
    <t xml:space="preserve">4枚掃き出し窓（180×360）</t>
  </si>
  <si>
    <t xml:space="preserve">掃き出し6枚相当（180×540）</t>
  </si>
  <si>
    <t xml:space="preserve">掃き出し8枚相当（180×720）</t>
  </si>
  <si>
    <t xml:space="preserve">i214</t>
  </si>
  <si>
    <t xml:space="preserve">窓ガラスの種類</t>
  </si>
  <si>
    <t xml:space="preserve">w/m2K</t>
  </si>
  <si>
    <t xml:space="preserve">1枚ガラス</t>
  </si>
  <si>
    <t xml:space="preserve">アルミ複層ガラス</t>
  </si>
  <si>
    <t xml:space="preserve">アルミ以外枠複層ガラス</t>
  </si>
  <si>
    <t xml:space="preserve">二重窓</t>
  </si>
  <si>
    <t xml:space="preserve">low-e複層ガラス</t>
  </si>
  <si>
    <t xml:space="preserve">i215</t>
  </si>
  <si>
    <t xml:space="preserve">エアコンの使用年数</t>
  </si>
  <si>
    <t xml:space="preserve">持っていない</t>
  </si>
  <si>
    <t xml:space="preserve">1年未満</t>
  </si>
  <si>
    <t xml:space="preserve">3年未満</t>
  </si>
  <si>
    <t xml:space="preserve">7年未満</t>
  </si>
  <si>
    <t xml:space="preserve">10年未満</t>
  </si>
  <si>
    <t xml:space="preserve">15年未満</t>
  </si>
  <si>
    <t xml:space="preserve">20年未満</t>
  </si>
  <si>
    <t xml:space="preserve">i216</t>
  </si>
  <si>
    <t xml:space="preserve">エアコン性能</t>
  </si>
  <si>
    <t xml:space="preserve">エアコンを購入したときには、省エネ型を選びましたか</t>
  </si>
  <si>
    <t xml:space="preserve">i217</t>
  </si>
  <si>
    <t xml:space="preserve">エアコンのフィルター掃除</t>
  </si>
  <si>
    <t xml:space="preserve">エアコンのフィルター掃除をしていますか</t>
  </si>
  <si>
    <t xml:space="preserve">i231</t>
  </si>
  <si>
    <t xml:space="preserve">i232</t>
  </si>
  <si>
    <t xml:space="preserve">i233</t>
  </si>
  <si>
    <t xml:space="preserve">i234</t>
  </si>
  <si>
    <t xml:space="preserve">i235</t>
  </si>
  <si>
    <t xml:space="preserve">i236</t>
  </si>
  <si>
    <t xml:space="preserve">加湿器の使用期間</t>
  </si>
  <si>
    <t xml:space="preserve">加湿器を使う期間は、1年で何ヶ月くらいですか</t>
  </si>
  <si>
    <t xml:space="preserve">加湿をしない</t>
  </si>
  <si>
    <t xml:space="preserve">i237</t>
  </si>
  <si>
    <t xml:space="preserve">断熱シートの設置</t>
  </si>
  <si>
    <t xml:space="preserve">冬場の厚手のカーテン・断熱シートの設置</t>
  </si>
  <si>
    <t xml:space="preserve">i238</t>
  </si>
  <si>
    <t xml:space="preserve">部屋を戸で締め切れますか</t>
  </si>
  <si>
    <t xml:space="preserve">できる</t>
  </si>
  <si>
    <t xml:space="preserve">できない</t>
  </si>
  <si>
    <t xml:space="preserve">i239</t>
  </si>
  <si>
    <t xml:space="preserve">吹き抜け</t>
  </si>
  <si>
    <t xml:space="preserve">吹き抜けもしくは、部屋から階段で上階に上がれますか</t>
  </si>
  <si>
    <t xml:space="preserve">ある</t>
  </si>
  <si>
    <t xml:space="preserve">ない</t>
  </si>
  <si>
    <t xml:space="preserve">i240</t>
  </si>
  <si>
    <t xml:space="preserve">部屋のしきりによる暖房面積の削減</t>
  </si>
  <si>
    <t xml:space="preserve">2割減</t>
  </si>
  <si>
    <t xml:space="preserve">3～4割減</t>
  </si>
  <si>
    <t xml:space="preserve">半減</t>
  </si>
  <si>
    <t xml:space="preserve">6～7割減</t>
  </si>
  <si>
    <t xml:space="preserve">i241</t>
  </si>
  <si>
    <t xml:space="preserve">電気ストーブの使用時間</t>
  </si>
  <si>
    <t xml:space="preserve">電気ストーブ・オイルヒータの使用時間はどのくらいですか</t>
  </si>
  <si>
    <t xml:space="preserve">電気ストーブ・オイルヒータの使用時間</t>
  </si>
  <si>
    <t xml:space="preserve">i242</t>
  </si>
  <si>
    <t xml:space="preserve">部屋の寒さ</t>
  </si>
  <si>
    <t xml:space="preserve">その部屋は暖房は効きますか</t>
  </si>
  <si>
    <t xml:space="preserve">暖房すると寒さは感じない</t>
  </si>
  <si>
    <t xml:space="preserve">やや寒い</t>
  </si>
  <si>
    <t xml:space="preserve">なかなか暖まらない</t>
  </si>
  <si>
    <t xml:space="preserve">暖房しても寒い</t>
  </si>
  <si>
    <t xml:space="preserve">暖房はしない</t>
  </si>
  <si>
    <t xml:space="preserve">i243</t>
  </si>
  <si>
    <t xml:space="preserve">窓の結露の有無</t>
  </si>
  <si>
    <t xml:space="preserve">窓の結露はありますか</t>
  </si>
  <si>
    <t xml:space="preserve">よく結露する</t>
  </si>
  <si>
    <t xml:space="preserve">少し結露する</t>
  </si>
  <si>
    <t xml:space="preserve">ほとんど結露しない</t>
  </si>
  <si>
    <t xml:space="preserve">結露しない</t>
  </si>
  <si>
    <t xml:space="preserve">i244</t>
  </si>
  <si>
    <t xml:space="preserve">押入れなどの壁面の結露</t>
  </si>
  <si>
    <t xml:space="preserve">押入れなどの壁面の結露はありますか</t>
  </si>
  <si>
    <t xml:space="preserve">i245</t>
  </si>
  <si>
    <t xml:space="preserve">朝方寒さを感じること</t>
  </si>
  <si>
    <t xml:space="preserve">最も実感できる寒さを選んで下さい</t>
  </si>
  <si>
    <t xml:space="preserve">寒さで朝起きるのがつらい</t>
  </si>
  <si>
    <t xml:space="preserve">手足が冷たい</t>
  </si>
  <si>
    <t xml:space="preserve">窓に霜がつく</t>
  </si>
  <si>
    <t xml:space="preserve">部屋で息が白く曇る</t>
  </si>
  <si>
    <t xml:space="preserve">i246</t>
  </si>
  <si>
    <t xml:space="preserve">朝方の寒さが始まる時期</t>
  </si>
  <si>
    <t xml:space="preserve">朝方の寒さはいつから感じますか</t>
  </si>
  <si>
    <t xml:space="preserve">朝方の寒さはいつからですか</t>
  </si>
  <si>
    <t xml:space="preserve">10月上旬</t>
  </si>
  <si>
    <t xml:space="preserve">10月下旬</t>
  </si>
  <si>
    <t xml:space="preserve">11月上旬</t>
  </si>
  <si>
    <t xml:space="preserve">11月下旬</t>
  </si>
  <si>
    <t xml:space="preserve">12月上旬</t>
  </si>
  <si>
    <t xml:space="preserve">12月下旬</t>
  </si>
  <si>
    <t xml:space="preserve">1月上旬</t>
  </si>
  <si>
    <t xml:space="preserve">1月下旬</t>
  </si>
  <si>
    <t xml:space="preserve">i247</t>
  </si>
  <si>
    <t xml:space="preserve">朝方の寒さが終わる時期</t>
  </si>
  <si>
    <t xml:space="preserve">朝方の寒さはいつまでですか</t>
  </si>
  <si>
    <t xml:space="preserve">2月上旬</t>
  </si>
  <si>
    <t xml:space="preserve">2月下旬</t>
  </si>
  <si>
    <t xml:space="preserve">3月上旬</t>
  </si>
  <si>
    <t xml:space="preserve">3月下旬</t>
  </si>
  <si>
    <t xml:space="preserve">4月上旬</t>
  </si>
  <si>
    <t xml:space="preserve">4月下旬</t>
  </si>
  <si>
    <t xml:space="preserve">5月上旬</t>
  </si>
  <si>
    <t xml:space="preserve">5月下旬</t>
  </si>
  <si>
    <t xml:space="preserve">i248</t>
  </si>
  <si>
    <t xml:space="preserve">厚着の工夫</t>
  </si>
  <si>
    <t xml:space="preserve">暖房をつけるまえにまず厚着をするよう心がけていますか</t>
  </si>
  <si>
    <t xml:space="preserve">i249</t>
  </si>
  <si>
    <t xml:space="preserve">不在部屋の暖房</t>
  </si>
  <si>
    <t xml:space="preserve">人がいない部屋を暖房しないようにしていますか</t>
  </si>
  <si>
    <t xml:space="preserve">i261</t>
  </si>
  <si>
    <t xml:space="preserve">冷房時間</t>
  </si>
  <si>
    <t xml:space="preserve">夏に冷房は1日に何時間くらい使いますか。</t>
  </si>
  <si>
    <t xml:space="preserve">i262</t>
  </si>
  <si>
    <t xml:space="preserve">冷房時間帯</t>
  </si>
  <si>
    <t xml:space="preserve">主にいつの時間帯に冷房を使いますか</t>
  </si>
  <si>
    <t xml:space="preserve">朝</t>
  </si>
  <si>
    <t xml:space="preserve">昼</t>
  </si>
  <si>
    <t xml:space="preserve">夕方</t>
  </si>
  <si>
    <t xml:space="preserve">夜</t>
  </si>
  <si>
    <t xml:space="preserve">i263</t>
  </si>
  <si>
    <t xml:space="preserve">冷房をするときには何℃に設定しますか。</t>
  </si>
  <si>
    <t xml:space="preserve">24℃以下</t>
  </si>
  <si>
    <t xml:space="preserve">26℃</t>
  </si>
  <si>
    <t xml:space="preserve">27℃</t>
  </si>
  <si>
    <t xml:space="preserve">28℃</t>
  </si>
  <si>
    <t xml:space="preserve">29℃</t>
  </si>
  <si>
    <t xml:space="preserve">30℃</t>
  </si>
  <si>
    <t xml:space="preserve">i264</t>
  </si>
  <si>
    <t xml:space="preserve">冷房する期間（除湿含む）</t>
  </si>
  <si>
    <t xml:space="preserve">冷房する期間（除湿含む）は何ヶ月ですか</t>
  </si>
  <si>
    <t xml:space="preserve">冷房をしない</t>
  </si>
  <si>
    <t xml:space="preserve">i265</t>
  </si>
  <si>
    <t xml:space="preserve">部屋の暑さ</t>
  </si>
  <si>
    <t xml:space="preserve">その部屋は暑いですか</t>
  </si>
  <si>
    <t xml:space="preserve">冷房すると暑さは感じない</t>
  </si>
  <si>
    <t xml:space="preserve">やや暑い</t>
  </si>
  <si>
    <t xml:space="preserve">なかなか涼しくならない</t>
  </si>
  <si>
    <t xml:space="preserve">冷房しても暑い</t>
  </si>
  <si>
    <t xml:space="preserve">冷房はしない</t>
  </si>
  <si>
    <t xml:space="preserve">なかなか涼しくならなお</t>
  </si>
  <si>
    <t xml:space="preserve">i266</t>
  </si>
  <si>
    <t xml:space="preserve">日射の流入の有無</t>
  </si>
  <si>
    <t xml:space="preserve">日射流入の有無</t>
  </si>
  <si>
    <t xml:space="preserve">夏の朝や夕方に日光が部屋に入りますか</t>
  </si>
  <si>
    <t xml:space="preserve">よく入る</t>
  </si>
  <si>
    <t xml:space="preserve">少しはいる</t>
  </si>
  <si>
    <t xml:space="preserve">入らない</t>
  </si>
  <si>
    <t xml:space="preserve">i267</t>
  </si>
  <si>
    <t xml:space="preserve">日射カット</t>
  </si>
  <si>
    <t xml:space="preserve">西日や朝日が入ると部屋が暑くなります。日射が入らないように工夫していますか</t>
  </si>
  <si>
    <t xml:space="preserve">i268</t>
  </si>
  <si>
    <t xml:space="preserve">扇風機利用</t>
  </si>
  <si>
    <t xml:space="preserve">扇風機を活用するなどしてエアコンをなるべく使わないようにしていますか</t>
  </si>
  <si>
    <t xml:space="preserve">i271</t>
  </si>
  <si>
    <t xml:space="preserve">i272</t>
  </si>
  <si>
    <t xml:space="preserve">i273</t>
  </si>
  <si>
    <t xml:space="preserve">i274</t>
  </si>
  <si>
    <t xml:space="preserve">i275</t>
  </si>
  <si>
    <t xml:space="preserve">i276</t>
  </si>
  <si>
    <t xml:space="preserve">i277</t>
  </si>
  <si>
    <t xml:space="preserve">i278</t>
  </si>
  <si>
    <t xml:space="preserve">i281</t>
  </si>
  <si>
    <t xml:space="preserve">セントラルヒーティング</t>
  </si>
  <si>
    <t xml:space="preserve">consHTcold</t>
  </si>
  <si>
    <t xml:space="preserve">セントラルヒーティングですか</t>
  </si>
  <si>
    <t xml:space="preserve">i282</t>
  </si>
  <si>
    <t xml:space="preserve">セントラル熱源</t>
  </si>
  <si>
    <t xml:space="preserve">セントラルヒーティングの熱源は何ですか</t>
  </si>
  <si>
    <t xml:space="preserve">セントラルヒーティングの熱源は</t>
  </si>
  <si>
    <t xml:space="preserve">電気</t>
  </si>
  <si>
    <t xml:space="preserve">電気（ヒートポンプ）</t>
  </si>
  <si>
    <t xml:space="preserve">ハイブリッド（ヒートポンプ＋ガス）</t>
  </si>
  <si>
    <t xml:space="preserve">i283</t>
  </si>
  <si>
    <t xml:space="preserve">セントラル専用熱源</t>
  </si>
  <si>
    <t xml:space="preserve">セントラルの熱源機と風呂の熱源は別ですか</t>
  </si>
  <si>
    <t xml:space="preserve">セントラル専用</t>
  </si>
  <si>
    <t xml:space="preserve">風呂と共用</t>
  </si>
  <si>
    <t xml:space="preserve">i284</t>
  </si>
  <si>
    <t xml:space="preserve">セントラル暖房期間</t>
  </si>
  <si>
    <t xml:space="preserve">セントラル暖房を使う期間はどのくらいですか</t>
  </si>
  <si>
    <t xml:space="preserve">セントラル暖房を使う期間は</t>
  </si>
  <si>
    <t xml:space="preserve">i285</t>
  </si>
  <si>
    <t xml:space="preserve">熱交換換気</t>
  </si>
  <si>
    <t xml:space="preserve">熱交換式の換気ですか</t>
  </si>
  <si>
    <t xml:space="preserve">i286</t>
  </si>
  <si>
    <t xml:space="preserve">ロードヒーティング</t>
  </si>
  <si>
    <t xml:space="preserve">ロードヒーティングを使っていますか</t>
  </si>
  <si>
    <t xml:space="preserve">i287</t>
  </si>
  <si>
    <t xml:space="preserve">ロードヒーティング熱源</t>
  </si>
  <si>
    <t xml:space="preserve">ロードヒーティングの熱源は何ですか</t>
  </si>
  <si>
    <t xml:space="preserve">ロードヒーティングの熱源</t>
  </si>
  <si>
    <t xml:space="preserve">i288</t>
  </si>
  <si>
    <t xml:space="preserve">ロードヒーティング面積</t>
  </si>
  <si>
    <t xml:space="preserve">ロードヒーティング面積はどのくらいですか</t>
  </si>
  <si>
    <t xml:space="preserve">1坪（3m2)</t>
  </si>
  <si>
    <t xml:space="preserve">2坪（7m2)</t>
  </si>
  <si>
    <t xml:space="preserve">3坪（10m2)</t>
  </si>
  <si>
    <t xml:space="preserve">5坪（15m2)</t>
  </si>
  <si>
    <t xml:space="preserve">10坪（30m2)</t>
  </si>
  <si>
    <t xml:space="preserve">15坪（50m2)</t>
  </si>
  <si>
    <t xml:space="preserve">20坪（65m2)</t>
  </si>
  <si>
    <t xml:space="preserve">30坪（100m2)</t>
  </si>
  <si>
    <t xml:space="preserve">i289</t>
  </si>
  <si>
    <t xml:space="preserve">ロードヒーティング利用頻度</t>
  </si>
  <si>
    <t xml:space="preserve">ロードヒーティング利用頻度はどのくらいですか</t>
  </si>
  <si>
    <t xml:space="preserve">年2-3日</t>
  </si>
  <si>
    <t xml:space="preserve">月に1日くらい</t>
  </si>
  <si>
    <t xml:space="preserve">月に2-3日</t>
  </si>
  <si>
    <t xml:space="preserve">週に2-3日</t>
  </si>
  <si>
    <t xml:space="preserve">センサーで常時ON</t>
  </si>
  <si>
    <t xml:space="preserve">センサーなしで常時ON</t>
  </si>
  <si>
    <t xml:space="preserve">月に2〜3日</t>
  </si>
  <si>
    <t xml:space="preserve">週に2〜3日</t>
  </si>
  <si>
    <t xml:space="preserve">i290</t>
  </si>
  <si>
    <t xml:space="preserve">ルーフヒーティングの利用</t>
  </si>
  <si>
    <t xml:space="preserve">ルーフヒーティングを使っていますか</t>
  </si>
  <si>
    <t xml:space="preserve">i291</t>
  </si>
  <si>
    <t xml:space="preserve">ルーフヒーティングの対象面積</t>
  </si>
  <si>
    <t xml:space="preserve">ルーフヒーティングの対象面積はどのくらいですか</t>
  </si>
  <si>
    <t xml:space="preserve">:樋のまわりのみ</t>
  </si>
  <si>
    <t xml:space="preserve">屋根面全体</t>
  </si>
  <si>
    <t xml:space="preserve">i292</t>
  </si>
  <si>
    <t xml:space="preserve">ルーフヒーティングの熱源</t>
  </si>
  <si>
    <t xml:space="preserve">ルーフヒーティングの熱源は何ですか</t>
  </si>
  <si>
    <t xml:space="preserve">コジェネ（ガス）</t>
  </si>
  <si>
    <t xml:space="preserve">コジェネ（灯油）</t>
  </si>
  <si>
    <t xml:space="preserve">i293</t>
  </si>
  <si>
    <t xml:space="preserve">ルーフヒーティングの利用頻度</t>
  </si>
  <si>
    <t xml:space="preserve">ルーフヒーティングを使う頻度はどのくらいですか</t>
  </si>
  <si>
    <t xml:space="preserve">ルーフヒーティングを使う頻度は</t>
  </si>
  <si>
    <t xml:space="preserve">i294</t>
  </si>
  <si>
    <t xml:space="preserve">融雪槽の利用</t>
  </si>
  <si>
    <t xml:space="preserve">融雪槽の利用をしていますか</t>
  </si>
  <si>
    <t xml:space="preserve">i295</t>
  </si>
  <si>
    <t xml:space="preserve">融雪槽の熱源</t>
  </si>
  <si>
    <t xml:space="preserve">融雪槽の熱源は何ですか</t>
  </si>
  <si>
    <t xml:space="preserve">i320</t>
  </si>
  <si>
    <t xml:space="preserve">日中の在宅</t>
  </si>
  <si>
    <t xml:space="preserve">日中にだれか在宅していますか？</t>
  </si>
  <si>
    <t xml:space="preserve">sel320</t>
  </si>
  <si>
    <t xml:space="preserve">在宅</t>
  </si>
  <si>
    <t xml:space="preserve">不在</t>
  </si>
  <si>
    <t xml:space="preserve">D6.scenario.defInput["i320"] = {  cons:"consTotal",  title:"日中の在宅",  unit:"人",  text:"日中にだれか在宅していますか？", inputType:"sel320", right:"", postfix:"", nodata:"", varType:"Number", min:"", max:"", defaultValue:"-1", d11t:"3",d11p:"2",d12t:"2",d12p:"1",d13t:"1",d13p:"0",d1w:"2",d1d:"1", d21t:"",d21p:"",d22t:"",d22p:"",d23t:"",d23p:"",d2w:"",d2d:"", d31t:"",d31p:"",d32t:"",d32p:"",d33t:"",d33p:"",d3w:"",d3d:""}; </t>
  </si>
  <si>
    <t xml:space="preserve">D6.scenario.defSelectValue["sel320"]= [ "選んで下さい", "在宅", "不在" ];</t>
  </si>
  <si>
    <t xml:space="preserve">D6.scenario.defSelectData['sel320']= [ '-1', '1', '2' ];</t>
  </si>
  <si>
    <t xml:space="preserve">i401</t>
  </si>
  <si>
    <t xml:space="preserve">衣類乾燥機の利用頻度</t>
  </si>
  <si>
    <t xml:space="preserve">洗濯の乾燥機や乾燥機能を使っていますか。使っている場合にはどの程度使うのか選んで下さい。</t>
  </si>
  <si>
    <t xml:space="preserve">月1～3回</t>
  </si>
  <si>
    <t xml:space="preserve">週1～2回</t>
  </si>
  <si>
    <t xml:space="preserve">2日に1回</t>
  </si>
  <si>
    <t xml:space="preserve">i402</t>
  </si>
  <si>
    <t xml:space="preserve">乾燥機の種類</t>
  </si>
  <si>
    <t xml:space="preserve">乾燥機の種類は何ですか</t>
  </si>
  <si>
    <t xml:space="preserve">電気(ヒートポンプ式）</t>
  </si>
  <si>
    <t xml:space="preserve">i403</t>
  </si>
  <si>
    <t xml:space="preserve">洗濯の頻度</t>
  </si>
  <si>
    <t xml:space="preserve">洗濯機の使い方はどうですか</t>
  </si>
  <si>
    <t xml:space="preserve">毎日何回も洗濯機を回す</t>
  </si>
  <si>
    <t xml:space="preserve">毎日2回程度洗濯機を回す</t>
  </si>
  <si>
    <t xml:space="preserve">毎日1回洗濯機を回す</t>
  </si>
  <si>
    <t xml:space="preserve">汚れ物がたまったら洗濯機を回す</t>
  </si>
  <si>
    <t xml:space="preserve">i411</t>
  </si>
  <si>
    <t xml:space="preserve">掃除機の強弱</t>
  </si>
  <si>
    <t xml:space="preserve">掃除機の強弱の設定はどうしていますか</t>
  </si>
  <si>
    <t xml:space="preserve">ほとんど強で使っている</t>
  </si>
  <si>
    <t xml:space="preserve">場所により使い分けている</t>
  </si>
  <si>
    <t xml:space="preserve">基本、弱で使っている</t>
  </si>
  <si>
    <t xml:space="preserve">設定がない</t>
  </si>
  <si>
    <t xml:space="preserve">i412</t>
  </si>
  <si>
    <t xml:space="preserve">掃除機利用</t>
  </si>
  <si>
    <t xml:space="preserve">掃除機を１日にどの程度使いますか</t>
  </si>
  <si>
    <t xml:space="preserve">ほとんど使わない</t>
  </si>
  <si>
    <t xml:space="preserve">ロボット掃除機を使用</t>
  </si>
  <si>
    <t xml:space="preserve">i501</t>
  </si>
  <si>
    <t xml:space="preserve">リビングの照明</t>
  </si>
  <si>
    <t xml:space="preserve">W</t>
  </si>
  <si>
    <t xml:space="preserve">リビングの照明器具には、主に何を使っていますか。</t>
  </si>
  <si>
    <t xml:space="preserve">sel501</t>
  </si>
  <si>
    <t xml:space="preserve">白熱電球</t>
  </si>
  <si>
    <t xml:space="preserve">LED</t>
  </si>
  <si>
    <t xml:space="preserve">i502</t>
  </si>
  <si>
    <t xml:space="preserve">不在部屋の照明</t>
  </si>
  <si>
    <t xml:space="preserve">人がいない部屋の照明は消していますか</t>
  </si>
  <si>
    <t xml:space="preserve">全てつける</t>
  </si>
  <si>
    <t xml:space="preserve">つけっぱなしの場所もある</t>
  </si>
  <si>
    <t xml:space="preserve">ほとんど消している</t>
  </si>
  <si>
    <t xml:space="preserve">消している</t>
  </si>
  <si>
    <t xml:space="preserve">i511</t>
  </si>
  <si>
    <t xml:space="preserve">照明の場所</t>
  </si>
  <si>
    <t xml:space="preserve">照明を使っている場所はどこですか</t>
  </si>
  <si>
    <t xml:space="preserve">玄関</t>
  </si>
  <si>
    <t xml:space="preserve">門灯</t>
  </si>
  <si>
    <t xml:space="preserve">廊下</t>
  </si>
  <si>
    <t xml:space="preserve">脱衣所</t>
  </si>
  <si>
    <t xml:space="preserve">風呂</t>
  </si>
  <si>
    <t xml:space="preserve">居室</t>
  </si>
  <si>
    <t xml:space="preserve">i512</t>
  </si>
  <si>
    <t xml:space="preserve">照明の種類</t>
  </si>
  <si>
    <t xml:space="preserve">使っている照明の種類は何ですか</t>
  </si>
  <si>
    <t xml:space="preserve">電球形蛍光灯</t>
  </si>
  <si>
    <t xml:space="preserve">細管蛍光灯</t>
  </si>
  <si>
    <t xml:space="preserve">センサー式ライト</t>
  </si>
  <si>
    <t xml:space="preserve">i513</t>
  </si>
  <si>
    <t xml:space="preserve">1球（本）の消費電力</t>
  </si>
  <si>
    <t xml:space="preserve">1球（もしくは1本）の消費電力はどれだけですか（電球なら40～60W、直管蛍光灯なら15～40W、環形蛍光灯なら30～40W程度です）</t>
  </si>
  <si>
    <t xml:space="preserve">5W</t>
  </si>
  <si>
    <t xml:space="preserve">10W</t>
  </si>
  <si>
    <t xml:space="preserve">15W</t>
  </si>
  <si>
    <t xml:space="preserve">20W</t>
  </si>
  <si>
    <t xml:space="preserve">30W</t>
  </si>
  <si>
    <t xml:space="preserve">40W</t>
  </si>
  <si>
    <t xml:space="preserve">60W</t>
  </si>
  <si>
    <t xml:space="preserve">80W</t>
  </si>
  <si>
    <t xml:space="preserve">100W</t>
  </si>
  <si>
    <t xml:space="preserve">i514</t>
  </si>
  <si>
    <t xml:space="preserve">球数・本数</t>
  </si>
  <si>
    <t xml:space="preserve">球・本</t>
  </si>
  <si>
    <t xml:space="preserve">器具に複数の球がある場合、何球・何本ありますか</t>
  </si>
  <si>
    <t xml:space="preserve">中に複数ある場合、何球・何本ありますか</t>
  </si>
  <si>
    <t xml:space="preserve">1球・本</t>
  </si>
  <si>
    <t xml:space="preserve">2球・本</t>
  </si>
  <si>
    <t xml:space="preserve">3球・本</t>
  </si>
  <si>
    <t xml:space="preserve">4球・本</t>
  </si>
  <si>
    <t xml:space="preserve">6球・本</t>
  </si>
  <si>
    <t xml:space="preserve">8球・本</t>
  </si>
  <si>
    <t xml:space="preserve">10球・本</t>
  </si>
  <si>
    <t xml:space="preserve">15球・本</t>
  </si>
  <si>
    <t xml:space="preserve">20球・本</t>
  </si>
  <si>
    <t xml:space="preserve">30球・本</t>
  </si>
  <si>
    <t xml:space="preserve">i515</t>
  </si>
  <si>
    <t xml:space="preserve">照明の使用時間</t>
  </si>
  <si>
    <t xml:space="preserve">時間/日</t>
  </si>
  <si>
    <t xml:space="preserve">1日に何時間使いますか</t>
  </si>
  <si>
    <t xml:space="preserve">i601</t>
  </si>
  <si>
    <t xml:space="preserve">テレビの時間</t>
  </si>
  <si>
    <t xml:space="preserve">家にある全てのテレビの合計で、１日に何時間点けていますか。テレビゲームの時間も含めて下さい。</t>
  </si>
  <si>
    <t xml:space="preserve">32時間</t>
  </si>
  <si>
    <t xml:space="preserve">40時間</t>
  </si>
  <si>
    <t xml:space="preserve">i631</t>
  </si>
  <si>
    <t xml:space="preserve">テレビのサイズ</t>
  </si>
  <si>
    <t xml:space="preserve">インチ</t>
  </si>
  <si>
    <t xml:space="preserve">テレビのサイズはどのくらいですか</t>
  </si>
  <si>
    <t xml:space="preserve">20インチ未満</t>
  </si>
  <si>
    <t xml:space="preserve">20～30インチ</t>
  </si>
  <si>
    <t xml:space="preserve">30～40インチ</t>
  </si>
  <si>
    <t xml:space="preserve">40～50インチ</t>
  </si>
  <si>
    <t xml:space="preserve">50～65インチ</t>
  </si>
  <si>
    <t xml:space="preserve">65インチ以上</t>
  </si>
  <si>
    <t xml:space="preserve">i632</t>
  </si>
  <si>
    <t xml:space="preserve">テレビの使用年数</t>
  </si>
  <si>
    <t xml:space="preserve">テレビをおよそ何年使用していますか</t>
  </si>
  <si>
    <t xml:space="preserve">i633</t>
  </si>
  <si>
    <t xml:space="preserve">テレビをつける時間はどのくらいですか</t>
  </si>
  <si>
    <t xml:space="preserve">i701</t>
  </si>
  <si>
    <t xml:space="preserve">冷蔵庫の台数</t>
  </si>
  <si>
    <t xml:space="preserve">台</t>
  </si>
  <si>
    <t xml:space="preserve">冷蔵庫を何台使っていますか。ストッカー（冷凍庫）も1台と数えて下さい。</t>
  </si>
  <si>
    <t xml:space="preserve">1台</t>
  </si>
  <si>
    <t xml:space="preserve">2台</t>
  </si>
  <si>
    <t xml:space="preserve">3台</t>
  </si>
  <si>
    <t xml:space="preserve">4台</t>
  </si>
  <si>
    <t xml:space="preserve">5台</t>
  </si>
  <si>
    <t xml:space="preserve">i711</t>
  </si>
  <si>
    <t xml:space="preserve">冷蔵庫の使用年数</t>
  </si>
  <si>
    <t xml:space="preserve">冷蔵庫は何年使用していますか</t>
  </si>
  <si>
    <t xml:space="preserve">i712</t>
  </si>
  <si>
    <t xml:space="preserve">冷蔵庫の種類</t>
  </si>
  <si>
    <t xml:space="preserve">冷蔵庫の種類はどれですか</t>
  </si>
  <si>
    <t xml:space="preserve">冷凍冷蔵庫</t>
  </si>
  <si>
    <t xml:space="preserve">冷凍庫（ストッカー）</t>
  </si>
  <si>
    <t xml:space="preserve">i713</t>
  </si>
  <si>
    <t xml:space="preserve">定格内容量</t>
  </si>
  <si>
    <t xml:space="preserve">定格内容量はどのくらいですか</t>
  </si>
  <si>
    <t xml:space="preserve">100L未満</t>
  </si>
  <si>
    <t xml:space="preserve">101-200リットル</t>
  </si>
  <si>
    <t xml:space="preserve">201-300リットル</t>
  </si>
  <si>
    <t xml:space="preserve">301-400リットル</t>
  </si>
  <si>
    <t xml:space="preserve">401-500リットル</t>
  </si>
  <si>
    <t xml:space="preserve">501リットル以上</t>
  </si>
  <si>
    <t xml:space="preserve">i714</t>
  </si>
  <si>
    <t xml:space="preserve">冷蔵庫温度設定</t>
  </si>
  <si>
    <t xml:space="preserve">温度設定はどうしていますか</t>
  </si>
  <si>
    <t xml:space="preserve">強</t>
  </si>
  <si>
    <t xml:space="preserve">中</t>
  </si>
  <si>
    <t xml:space="preserve">弱</t>
  </si>
  <si>
    <t xml:space="preserve">i715</t>
  </si>
  <si>
    <t xml:space="preserve">中身のつめすぎ</t>
  </si>
  <si>
    <t xml:space="preserve">つめすぎないように心がけていますか</t>
  </si>
  <si>
    <t xml:space="preserve">気をつけている</t>
  </si>
  <si>
    <t xml:space="preserve">あまりできていない</t>
  </si>
  <si>
    <t xml:space="preserve">できていない</t>
  </si>
  <si>
    <t xml:space="preserve">i716</t>
  </si>
  <si>
    <t xml:space="preserve">壁からすきまを開けた設置</t>
  </si>
  <si>
    <t xml:space="preserve">側面・裏面に5cm程度のすきまをあけていますか</t>
  </si>
  <si>
    <t xml:space="preserve">できている</t>
  </si>
  <si>
    <t xml:space="preserve">i801</t>
  </si>
  <si>
    <t xml:space="preserve">コンロの熱源</t>
  </si>
  <si>
    <t xml:space="preserve">コンロの熱源は何ですか</t>
  </si>
  <si>
    <t xml:space="preserve">コンロの熱源は</t>
  </si>
  <si>
    <t xml:space="preserve">電気(IHなど）</t>
  </si>
  <si>
    <t xml:space="preserve">i802</t>
  </si>
  <si>
    <t xml:space="preserve">調理の頻度</t>
  </si>
  <si>
    <t xml:space="preserve">調理はどのくらいの頻度でしますか</t>
  </si>
  <si>
    <t xml:space="preserve">しない</t>
  </si>
  <si>
    <t xml:space="preserve">週１食以下</t>
  </si>
  <si>
    <t xml:space="preserve">週に2-3食</t>
  </si>
  <si>
    <t xml:space="preserve">1日1食</t>
  </si>
  <si>
    <t xml:space="preserve">1日2食</t>
  </si>
  <si>
    <t xml:space="preserve">1日3食</t>
  </si>
  <si>
    <t xml:space="preserve">i811</t>
  </si>
  <si>
    <t xml:space="preserve">ジャーの保温</t>
  </si>
  <si>
    <t xml:space="preserve">炊飯ジャーの保温をしていますか</t>
  </si>
  <si>
    <t xml:space="preserve">6時間程度している</t>
  </si>
  <si>
    <t xml:space="preserve">12時間程度している</t>
  </si>
  <si>
    <t xml:space="preserve">ほぼ24時間している</t>
  </si>
  <si>
    <t xml:space="preserve">i821</t>
  </si>
  <si>
    <t xml:space="preserve">ポットの保温</t>
  </si>
  <si>
    <t xml:space="preserve">ポットの保温をしていますか</t>
  </si>
  <si>
    <t xml:space="preserve">i822</t>
  </si>
  <si>
    <t xml:space="preserve">電気ポットの省エネ性</t>
  </si>
  <si>
    <t xml:space="preserve">電気ポットは省エネタイプですか</t>
  </si>
  <si>
    <t xml:space="preserve">i901</t>
  </si>
  <si>
    <t xml:space="preserve">車の保有台数</t>
  </si>
  <si>
    <t xml:space="preserve">自家用車を何台保有していますか</t>
  </si>
  <si>
    <t xml:space="preserve">5台以上</t>
  </si>
  <si>
    <t xml:space="preserve">i902</t>
  </si>
  <si>
    <t xml:space="preserve">スクータ・バイクの保有台数</t>
  </si>
  <si>
    <t xml:space="preserve">スクータ・バイクを何台保有していますか</t>
  </si>
  <si>
    <t xml:space="preserve">i911</t>
  </si>
  <si>
    <t xml:space="preserve">車の種類</t>
  </si>
  <si>
    <t xml:space="preserve">車の種類は何ですか</t>
  </si>
  <si>
    <t xml:space="preserve">軽自動車</t>
  </si>
  <si>
    <t xml:space="preserve">小型車</t>
  </si>
  <si>
    <t xml:space="preserve">バン</t>
  </si>
  <si>
    <t xml:space="preserve">3ナンバー</t>
  </si>
  <si>
    <t xml:space="preserve">バイク・スクータ</t>
  </si>
  <si>
    <t xml:space="preserve">大型バイク</t>
  </si>
  <si>
    <t xml:space="preserve">i912</t>
  </si>
  <si>
    <t xml:space="preserve">車の燃費</t>
  </si>
  <si>
    <t xml:space="preserve">車の燃費はどのくらいですか</t>
  </si>
  <si>
    <t xml:space="preserve">6km/L以下</t>
  </si>
  <si>
    <t xml:space="preserve">7-9km/L</t>
  </si>
  <si>
    <t xml:space="preserve">10-12km/L</t>
  </si>
  <si>
    <t xml:space="preserve">13-15km/L</t>
  </si>
  <si>
    <t xml:space="preserve">16-20km/L</t>
  </si>
  <si>
    <t xml:space="preserve">21-26km/L</t>
  </si>
  <si>
    <t xml:space="preserve">27-35km/L</t>
  </si>
  <si>
    <t xml:space="preserve">36km/L以上</t>
  </si>
  <si>
    <t xml:space="preserve">i913</t>
  </si>
  <si>
    <t xml:space="preserve">車の主な利用者</t>
  </si>
  <si>
    <t xml:space="preserve">だれの車ですか。もしくは呼び方があれば記入してください。</t>
  </si>
  <si>
    <t xml:space="preserve">i914</t>
  </si>
  <si>
    <t xml:space="preserve">エコタイヤの使用</t>
  </si>
  <si>
    <t xml:space="preserve">エコタイヤを使っていますか</t>
  </si>
  <si>
    <t xml:space="preserve">i921</t>
  </si>
  <si>
    <t xml:space="preserve">行き先</t>
  </si>
  <si>
    <t xml:space="preserve">よく出かける行き先はどこですか</t>
  </si>
  <si>
    <t xml:space="preserve">よく出かける行き先</t>
  </si>
  <si>
    <t xml:space="preserve">i922</t>
  </si>
  <si>
    <t xml:space="preserve">頻度</t>
  </si>
  <si>
    <t xml:space="preserve">どの程度車で行きますか</t>
  </si>
  <si>
    <t xml:space="preserve">週5回</t>
  </si>
  <si>
    <t xml:space="preserve">週2～3回</t>
  </si>
  <si>
    <t xml:space="preserve">週1回</t>
  </si>
  <si>
    <t xml:space="preserve">月に2回</t>
  </si>
  <si>
    <t xml:space="preserve">月1回</t>
  </si>
  <si>
    <t xml:space="preserve">２ヶ月に1回</t>
  </si>
  <si>
    <t xml:space="preserve">年2-3回</t>
  </si>
  <si>
    <t xml:space="preserve">年1回</t>
  </si>
  <si>
    <t xml:space="preserve">i923</t>
  </si>
  <si>
    <t xml:space="preserve">片道距離</t>
  </si>
  <si>
    <t xml:space="preserve">km</t>
  </si>
  <si>
    <t xml:space="preserve">片道距離はどのくらいですか</t>
  </si>
  <si>
    <t xml:space="preserve">1km</t>
  </si>
  <si>
    <t xml:space="preserve">2km</t>
  </si>
  <si>
    <t xml:space="preserve">3km</t>
  </si>
  <si>
    <t xml:space="preserve">5km</t>
  </si>
  <si>
    <t xml:space="preserve">10km</t>
  </si>
  <si>
    <t xml:space="preserve">20km</t>
  </si>
  <si>
    <t xml:space="preserve">30km</t>
  </si>
  <si>
    <t xml:space="preserve">50km</t>
  </si>
  <si>
    <t xml:space="preserve">100km</t>
  </si>
  <si>
    <t xml:space="preserve">200km</t>
  </si>
  <si>
    <t xml:space="preserve">400km</t>
  </si>
  <si>
    <t xml:space="preserve">600km以上</t>
  </si>
  <si>
    <t xml:space="preserve">i924</t>
  </si>
  <si>
    <t xml:space="preserve">使用する車</t>
  </si>
  <si>
    <t xml:space="preserve">どの車を主に使いますか</t>
  </si>
  <si>
    <t xml:space="preserve">1台目</t>
  </si>
  <si>
    <t xml:space="preserve">2台目</t>
  </si>
  <si>
    <t xml:space="preserve">3台目</t>
  </si>
  <si>
    <t xml:space="preserve">4台目</t>
  </si>
  <si>
    <t xml:space="preserve">5台目</t>
  </si>
  <si>
    <t xml:space="preserve">i931</t>
  </si>
  <si>
    <t xml:space="preserve">アイドリングストップ</t>
  </si>
  <si>
    <t xml:space="preserve">長時間の停車でアイドリングストップをしていますか</t>
  </si>
  <si>
    <t xml:space="preserve">いつもしている</t>
  </si>
  <si>
    <t xml:space="preserve">i932</t>
  </si>
  <si>
    <t xml:space="preserve">急加速や急発進</t>
  </si>
  <si>
    <t xml:space="preserve">急加速や急発進をしないようにしていますか</t>
  </si>
  <si>
    <t xml:space="preserve">i933</t>
  </si>
  <si>
    <t xml:space="preserve">加減速の少ない運転</t>
  </si>
  <si>
    <t xml:space="preserve">加減速の少ない運転をしていますか</t>
  </si>
  <si>
    <t xml:space="preserve">i934</t>
  </si>
  <si>
    <t xml:space="preserve">早めのアクセルオフ</t>
  </si>
  <si>
    <r>
      <rPr>
        <sz val="10"/>
        <rFont val="ＭＳ Ｐゴシック"/>
        <family val="3"/>
        <charset val="128"/>
      </rPr>
      <t xml:space="preserve">早めのアクセルオフ</t>
    </r>
    <r>
      <rPr>
        <sz val="10"/>
        <rFont val="ＭＳ Ｐゴシック"/>
        <family val="3"/>
      </rPr>
      <t xml:space="preserve">をしていますか</t>
    </r>
  </si>
  <si>
    <t xml:space="preserve">i935</t>
  </si>
  <si>
    <t xml:space="preserve">道路交通情報の活用</t>
  </si>
  <si>
    <r>
      <rPr>
        <sz val="10"/>
        <rFont val="ＭＳ Ｐゴシック"/>
        <family val="3"/>
        <charset val="128"/>
      </rPr>
      <t xml:space="preserve">道路交通情報の活用</t>
    </r>
    <r>
      <rPr>
        <sz val="10"/>
        <rFont val="ＭＳ Ｐゴシック"/>
        <family val="3"/>
      </rPr>
      <t xml:space="preserve">をしていますか</t>
    </r>
  </si>
  <si>
    <t xml:space="preserve">i936</t>
  </si>
  <si>
    <t xml:space="preserve"> 不要な荷物を積まない</t>
  </si>
  <si>
    <r>
      <rPr>
        <sz val="10"/>
        <rFont val="ＭＳ Ｐゴシック"/>
        <family val="3"/>
        <charset val="128"/>
      </rPr>
      <t xml:space="preserve"> 不要な荷物は積まずに走行</t>
    </r>
    <r>
      <rPr>
        <sz val="10"/>
        <rFont val="ＭＳ Ｐゴシック"/>
        <family val="3"/>
      </rPr>
      <t xml:space="preserve">をしていますか</t>
    </r>
  </si>
  <si>
    <t xml:space="preserve"> 不要な荷物は積まずに走行</t>
  </si>
  <si>
    <t xml:space="preserve">i937</t>
  </si>
  <si>
    <t xml:space="preserve">カーエアコンの温度調節</t>
  </si>
  <si>
    <t xml:space="preserve">カーエアコンの温度・風量をこまめに調節していますか</t>
  </si>
  <si>
    <t xml:space="preserve">i938</t>
  </si>
  <si>
    <t xml:space="preserve">暖機運転せずに走行する</t>
  </si>
  <si>
    <t xml:space="preserve">寒い日に暖機運転をしていますか</t>
  </si>
  <si>
    <t xml:space="preserve">i939</t>
  </si>
  <si>
    <t xml:space="preserve">タイヤの空気圧のチェック</t>
  </si>
  <si>
    <t xml:space="preserve">タイヤの空気圧を適切に保つよう心がけていますか</t>
  </si>
  <si>
    <t xml:space="preserve">i221</t>
  </si>
  <si>
    <t xml:space="preserve">エアコンの性能</t>
  </si>
  <si>
    <t xml:space="preserve">エアコンの省エネ性能は良いですか</t>
  </si>
  <si>
    <t xml:space="preserve">エアコンの省エネ性能はよいですか</t>
  </si>
  <si>
    <t xml:space="preserve">あまりよくない</t>
  </si>
  <si>
    <t xml:space="preserve">i121</t>
  </si>
  <si>
    <t xml:space="preserve">温水器の性能</t>
  </si>
  <si>
    <t xml:space="preserve">温水器の省エネ性能は良いですか。</t>
  </si>
  <si>
    <t xml:space="preserve">温水器の省エネ性能はよいですか</t>
  </si>
  <si>
    <t xml:space="preserve">i621</t>
  </si>
  <si>
    <t xml:space="preserve">テレビの性能</t>
  </si>
  <si>
    <t xml:space="preserve">テレビの省エネ性能は良いですか。</t>
  </si>
  <si>
    <t xml:space="preserve">テレビの省エネ性能はよいですか</t>
  </si>
  <si>
    <t xml:space="preserve">i421</t>
  </si>
  <si>
    <t xml:space="preserve">洗濯機の性能</t>
  </si>
  <si>
    <t xml:space="preserve">洗濯機の省エネ性能は良いですか。</t>
  </si>
  <si>
    <t xml:space="preserve">洗濯機の省エネ性能はよいですか</t>
  </si>
  <si>
    <t xml:space="preserve">i721</t>
  </si>
  <si>
    <t xml:space="preserve">冷蔵庫の性能</t>
  </si>
  <si>
    <t xml:space="preserve">冷蔵庫の省エネ性能は良いですか。</t>
  </si>
  <si>
    <t xml:space="preserve">冷蔵庫の省エネ性能はよいですか</t>
  </si>
  <si>
    <t xml:space="preserve">i941</t>
  </si>
  <si>
    <t xml:space="preserve">ガソリン車</t>
  </si>
  <si>
    <t xml:space="preserve">ガソリン車を何台お持ちですか</t>
  </si>
  <si>
    <t xml:space="preserve">3台以上</t>
  </si>
  <si>
    <t xml:space="preserve">無し</t>
  </si>
  <si>
    <t xml:space="preserve">i942</t>
  </si>
  <si>
    <t xml:space="preserve">ハイブリッド車</t>
  </si>
  <si>
    <t xml:space="preserve">ハイブリッド車を何台お持ちですか</t>
  </si>
  <si>
    <t xml:space="preserve">i943</t>
  </si>
  <si>
    <t xml:space="preserve">電気自動車を何台お持ちですか</t>
  </si>
  <si>
    <t xml:space="preserve">i951</t>
  </si>
  <si>
    <t xml:space="preserve">太陽光発電の設置可能容量</t>
  </si>
  <si>
    <t xml:space="preserve">太陽光の設置可能サイズ</t>
  </si>
  <si>
    <t xml:space="preserve">設置可能な太陽光発電装置のサイズを選んで下さい。</t>
  </si>
  <si>
    <t xml:space="preserve">すでに設置している/設置できない</t>
  </si>
  <si>
    <t xml:space="preserve">1kW（6畳程度）</t>
  </si>
  <si>
    <t xml:space="preserve">2kW（12畳程度）</t>
  </si>
  <si>
    <t xml:space="preserve">3kW（18畳程度）</t>
  </si>
  <si>
    <t xml:space="preserve">4kW（25畳程度）</t>
  </si>
  <si>
    <t xml:space="preserve">5kW（30畳程度）</t>
  </si>
  <si>
    <t xml:space="preserve">6kW(（35畳程度）</t>
  </si>
  <si>
    <t xml:space="preserve">7kW（40畳程度）</t>
  </si>
  <si>
    <t xml:space="preserve">8kW（50畳程度）</t>
  </si>
  <si>
    <t xml:space="preserve">9kW（55畳程度）</t>
  </si>
  <si>
    <t xml:space="preserve">10kW（60畳程度）</t>
  </si>
  <si>
    <t xml:space="preserve">&lt;?php // set to Language/*.php ========================</t>
  </si>
  <si>
    <t xml:space="preserve">""check</t>
  </si>
  <si>
    <t xml:space="preserve">draw data from v2</t>
  </si>
  <si>
    <t xml:space="preserve">// </t>
  </si>
  <si>
    <t xml:space="preserve">treat</t>
  </si>
  <si>
    <t xml:space="preserve">//----------system title-----------------------------------------------	</t>
  </si>
  <si>
    <t xml:space="preserve">$lang["code"]=</t>
  </si>
  <si>
    <t xml:space="preserve">;	</t>
  </si>
  <si>
    <t xml:space="preserve">ja</t>
  </si>
  <si>
    <t xml:space="preserve">$lang['home_title']=</t>
  </si>
  <si>
    <t xml:space="preserve">家庭の省エネ診断</t>
  </si>
  <si>
    <t xml:space="preserve">$lang['home_joy_title']=</t>
  </si>
  <si>
    <t xml:space="preserve">家庭の省エネ診断（お気楽版）</t>
  </si>
  <si>
    <t xml:space="preserve">$lang['countfix_pre_after']=</t>
  </si>
  <si>
    <t xml:space="preserve">//--energy -----------------	</t>
  </si>
  <si>
    <t xml:space="preserve">$lang["show_electricity"]=</t>
  </si>
  <si>
    <t xml:space="preserve">;</t>
  </si>
  <si>
    <t xml:space="preserve">$lang["show_gas"]=</t>
  </si>
  <si>
    <t xml:space="preserve">$lang["show_kerosene"]=</t>
  </si>
  <si>
    <t xml:space="preserve">$lang["show_briquet"]=</t>
  </si>
  <si>
    <t xml:space="preserve">$lang["show_area"]=</t>
  </si>
  <si>
    <t xml:space="preserve">$lang["show_gasoline"]=</t>
  </si>
  <si>
    <t xml:space="preserve">$lang["electricitytitle"]=</t>
  </si>
  <si>
    <t xml:space="preserve">$lang["gastitle"]=</t>
  </si>
  <si>
    <t xml:space="preserve">$lang["kerosenetitle"]=</t>
  </si>
  <si>
    <t xml:space="preserve">$lang["briquettitle"]=</t>
  </si>
  <si>
    <t xml:space="preserve">練炭</t>
  </si>
  <si>
    <t xml:space="preserve">$lang["areatitle"]=</t>
  </si>
  <si>
    <t xml:space="preserve">$lang["gasolinetitle"]=</t>
  </si>
  <si>
    <t xml:space="preserve">ガソリン</t>
  </si>
  <si>
    <t xml:space="preserve">$lang["electricityunit"]=</t>
  </si>
  <si>
    <t xml:space="preserve">kWh</t>
  </si>
  <si>
    <t xml:space="preserve">$lang["gasunit"]=</t>
  </si>
  <si>
    <t xml:space="preserve">m3</t>
  </si>
  <si>
    <t xml:space="preserve">$lang["keroseneunit"]=</t>
  </si>
  <si>
    <t xml:space="preserve">L</t>
  </si>
  <si>
    <t xml:space="preserve">$lang["briquetunit"]=</t>
  </si>
  <si>
    <t xml:space="preserve">kg</t>
  </si>
  <si>
    <t xml:space="preserve">$lang["areaunit"]=</t>
  </si>
  <si>
    <t xml:space="preserve">MJ</t>
  </si>
  <si>
    <t xml:space="preserve">$lang["gasolineunit"]=</t>
  </si>
  <si>
    <t xml:space="preserve">	</t>
  </si>
  <si>
    <t xml:space="preserve">//--common unit-----------------	</t>
  </si>
  <si>
    <t xml:space="preserve">$lang['point_disp']=</t>
  </si>
  <si>
    <t xml:space="preserve">param</t>
  </si>
  <si>
    <t xml:space="preserve">num</t>
  </si>
  <si>
    <t xml:space="preserve">template</t>
  </si>
  <si>
    <t xml:space="preserve">num + "点"</t>
  </si>
  <si>
    <t xml:space="preserve">$lang["priceunit"]=</t>
  </si>
  <si>
    <t xml:space="preserve">$lang['co2unit']=</t>
  </si>
  <si>
    <t xml:space="preserve">GJ</t>
  </si>
  <si>
    <t xml:space="preserve">$lang['energyunit']=</t>
  </si>
  <si>
    <t xml:space="preserve">$lang['monthunit']=</t>
  </si>
  <si>
    <t xml:space="preserve">月</t>
  </si>
  <si>
    <t xml:space="preserve">$lang['yearunit']=</t>
  </si>
  <si>
    <t xml:space="preserve">//--common page-----------------	</t>
  </si>
  <si>
    <t xml:space="preserve">$lang["startPageName"]=</t>
  </si>
  <si>
    <t xml:space="preserve">全体（簡易）</t>
  </si>
  <si>
    <t xml:space="preserve">$lang['header_attension']=</t>
  </si>
  <si>
    <t xml:space="preserve">（動作モデルのため提案数値の保証はありません。ニーズに応じた開発ができます。）</t>
  </si>
  <si>
    <t xml:space="preserve">$lang["dataClear"]=</t>
  </si>
  <si>
    <t xml:space="preserve">入力データを全て削除します。よろしいですか。</t>
  </si>
  <si>
    <t xml:space="preserve">$lang["savetobrowser"]=</t>
  </si>
  <si>
    <t xml:space="preserve">ブラウザに保存しました。</t>
  </si>
  <si>
    <t xml:space="preserve">$lang["savedataisshown"]=</t>
  </si>
  <si>
    <t xml:space="preserve">保存値は以下のとおりです。</t>
  </si>
  <si>
    <t xml:space="preserve">//--question page-----------------	</t>
  </si>
  <si>
    <t xml:space="preserve">$lang["QuestionNumber"]=</t>
  </si>
  <si>
    <t xml:space="preserve">numques, nowques</t>
  </si>
  <si>
    <t xml:space="preserve"> "（" + numques +"問中" + nowques + "問目）"</t>
  </si>
  <si>
    <t xml:space="preserve">//--compare-----------------	</t>
  </si>
  <si>
    <t xml:space="preserve">$lang["youcall"]=</t>
  </si>
  <si>
    <t xml:space="preserve">あなた</t>
  </si>
  <si>
    <t xml:space="preserve">$lang["youcount"]=</t>
  </si>
  <si>
    <t xml:space="preserve">世帯</t>
  </si>
  <si>
    <t xml:space="preserve">$lang["totalhome"]=</t>
  </si>
  <si>
    <t xml:space="preserve">家庭全体</t>
  </si>
  <si>
    <t xml:space="preserve">$lang["comparehome"]=</t>
  </si>
  <si>
    <t xml:space="preserve">"同じ世帯人数の"+target+"の家庭"</t>
  </si>
  <si>
    <t xml:space="preserve">$lang["rankin100"]=</t>
  </si>
  <si>
    <t xml:space="preserve">"100" + count +"中順位"</t>
  </si>
  <si>
    <t xml:space="preserve">中順位</t>
  </si>
  <si>
    <t xml:space="preserve">$lang["rankcall"]=</t>
  </si>
  <si>
    <t xml:space="preserve">位</t>
  </si>
  <si>
    <t xml:space="preserve">$lang["co2ratio"]=</t>
  </si>
  <si>
    <t xml:space="preserve">ratio</t>
  </si>
  <si>
    <t xml:space="preserve">"　CO2排出量は、平均の" + ratio +"倍です。"</t>
  </si>
  <si>
    <t xml:space="preserve">倍です。</t>
  </si>
  <si>
    <t xml:space="preserve">$lang["co2compare06"]=</t>
  </si>
  <si>
    <t xml:space="preserve">平均よりもだいぶ少ないです。とてもすてきな暮らしです。</t>
  </si>
  <si>
    <t xml:space="preserve">$lang["co2compare08"]=</t>
  </si>
  <si>
    <t xml:space="preserve">平均よりも少なめです。すてきな暮らしです。</t>
  </si>
  <si>
    <t xml:space="preserve">$lang["co2compare10"]=</t>
  </si>
  <si>
    <t xml:space="preserve">平均と同じ程度です。</t>
  </si>
  <si>
    <t xml:space="preserve">$lang["co2compare12"]=</t>
  </si>
  <si>
    <t xml:space="preserve">平均よりもやや多めです。改善により光熱費が下がる余地は大きそうです。</t>
  </si>
  <si>
    <t xml:space="preserve">$lang["co2compare14"]=</t>
  </si>
  <si>
    <t xml:space="preserve">平均よりも多めです。改善により光熱費が下がる余地は大きそうです。</t>
  </si>
  <si>
    <t xml:space="preserve">$lang["rankcomment"]=</t>
  </si>
  <si>
    <t xml:space="preserve">same,youcount,rank</t>
  </si>
  <si>
    <t xml:space="preserve">same +"が100" + youcount + "あったとすると、少ないほうから" +   youcount+ "番目です。&lt;br&gt;"</t>
  </si>
  <si>
    <t xml:space="preserve">が100</t>
  </si>
  <si>
    <t xml:space="preserve">あったとすると、少ないほうから</t>
  </si>
  <si>
    <t xml:space="preserve">番目です。&lt;br&gt;</t>
  </si>
  <si>
    <t xml:space="preserve">//itemize-----------	</t>
  </si>
  <si>
    <t xml:space="preserve">$lang["itemize"]=</t>
  </si>
  <si>
    <t xml:space="preserve">内訳</t>
  </si>
  <si>
    <t xml:space="preserve">$lang["itemname"]=</t>
  </si>
  <si>
    <t xml:space="preserve">分野</t>
  </si>
  <si>
    <t xml:space="preserve">$lang["percent"]=</t>
  </si>
  <si>
    <t xml:space="preserve">割合(%)</t>
  </si>
  <si>
    <t xml:space="preserve">$lang["measure"]=</t>
  </si>
  <si>
    <t xml:space="preserve">対策</t>
  </si>
  <si>
    <t xml:space="preserve">$lang["merit"]=</t>
  </si>
  <si>
    <t xml:space="preserve">お得</t>
  </si>
  <si>
    <t xml:space="preserve">$lang["select"]=</t>
  </si>
  <si>
    <t xml:space="preserve">選択</t>
  </si>
  <si>
    <t xml:space="preserve">$lang["itemizecomment"]=</t>
  </si>
  <si>
    <t xml:space="preserve">main3,sum</t>
  </si>
  <si>
    <t xml:space="preserve">main3+"の割合が大きく、この3分野で" + sum+"%を占めます。こうした大きい分野の対策が効果的です。"</t>
  </si>
  <si>
    <t xml:space="preserve">の割合が大きく、この3分野で</t>
  </si>
  <si>
    <t xml:space="preserve">%を占めます。こうした大きい分野の対策が効果的です。</t>
  </si>
  <si>
    <t xml:space="preserve">//--result-----------------	</t>
  </si>
  <si>
    <t xml:space="preserve">$lang["effectivemeasures"]=</t>
  </si>
  <si>
    <t xml:space="preserve">効果的な対策</t>
  </si>
  <si>
    <t xml:space="preserve">$lang["comment_combined_reduce"]=</t>
  </si>
  <si>
    <t xml:space="preserve">percent,fee,co2</t>
  </si>
  <si>
    <t xml:space="preserve">"　組み合わせると" + percent+"%、年間" + ( hidePrice != 1  ? fee +"円の光熱費と、":"") + co2+"kgのCO2が削減できます。すでに取り組んでいる場合、これだけの成果があがるエコ生活ができていることを意味しています。"</t>
  </si>
  <si>
    <t xml:space="preserve">　組み合わせると</t>
  </si>
  <si>
    <t xml:space="preserve">%、年間</t>
  </si>
  <si>
    <t xml:space="preserve">円の光熱費と、</t>
  </si>
  <si>
    <t xml:space="preserve">kgのCO2が削減できます。すでに取り組んでいる場合、これだけの成果があがるエコ生活ができていることを意味しています。</t>
  </si>
  <si>
    <t xml:space="preserve">$lang["titlemessage"]=</t>
  </si>
  <si>
    <t xml:space="preserve"> title+"取り組みが効果的です。"</t>
  </si>
  <si>
    <t xml:space="preserve">取り組みが効果的です。</t>
  </si>
  <si>
    <t xml:space="preserve">$lang["co2reduction"]=</t>
  </si>
  <si>
    <t xml:space="preserve">co2</t>
  </si>
  <si>
    <t xml:space="preserve">"年間" + co2+"kgのCO2を減らすことができます。"</t>
  </si>
  <si>
    <t xml:space="preserve">年間</t>
  </si>
  <si>
    <t xml:space="preserve">kgのCO2を減らすことができます。</t>
  </si>
  <si>
    <t xml:space="preserve">$lang["reducepercent"]=</t>
  </si>
  <si>
    <t xml:space="preserve">name,percent</t>
  </si>
  <si>
    <t xml:space="preserve">"これは" + name+"の" +percent+"%を減らすことに相当します。"</t>
  </si>
  <si>
    <t xml:space="preserve">これは</t>
  </si>
  <si>
    <t xml:space="preserve">の</t>
  </si>
  <si>
    <t xml:space="preserve">%を減らすことに相当します。</t>
  </si>
  <si>
    <t xml:space="preserve">$lang["co2minus"]=</t>
  </si>
  <si>
    <t xml:space="preserve">CO2を排出しない生活が達成できます。</t>
  </si>
  <si>
    <t xml:space="preserve">$lang["error"]=</t>
  </si>
  <si>
    <t xml:space="preserve"> ※詳細の記入がないため概算です。</t>
  </si>
  <si>
    <t xml:space="preserve">$lang["feereduction"]=</t>
  </si>
  <si>
    <t xml:space="preserve">fee</t>
  </si>
  <si>
    <t xml:space="preserve">"年間約" + fee+"円お得な取り組みです。"</t>
  </si>
  <si>
    <t xml:space="preserve">年間約</t>
  </si>
  <si>
    <t xml:space="preserve">円お得な取り組みです。</t>
  </si>
  <si>
    <t xml:space="preserve">$lang["feenochange"]=</t>
  </si>
  <si>
    <t xml:space="preserve">光熱費等の変化はありません。</t>
  </si>
  <si>
    <t xml:space="preserve">//result payback----------------------------	</t>
  </si>
  <si>
    <t xml:space="preserve">$lang["initialcost"]=</t>
  </si>
  <si>
    <t xml:space="preserve">price,lifetime,load</t>
  </si>
  <si>
    <t xml:space="preserve">"新たに購入するために、約" + price+"円（参考価格）かかり、" + lifetime+"年の寿命で割ると、年間約"+ load+"円の負担になります。"</t>
  </si>
  <si>
    <t xml:space="preserve">新たに購入するために、約</t>
  </si>
  <si>
    <t xml:space="preserve">円（参考価格）かかり、</t>
  </si>
  <si>
    <t xml:space="preserve">年の寿命で割ると、年間約</t>
  </si>
  <si>
    <t xml:space="preserve">円の負担になります。</t>
  </si>
  <si>
    <t xml:space="preserve">$lang["payback"]=</t>
  </si>
  <si>
    <t xml:space="preserve">change,totalchange,down</t>
  </si>
  <si>
    <t xml:space="preserve">"一方、光熱費が毎年約" + change+ "円安くなるため、トータルでは年間約" + totalchange +(down?"円お得となります。":"円の負担ですみます。" )</t>
  </si>
  <si>
    <t xml:space="preserve">一方、光熱費が毎年約</t>
  </si>
  <si>
    <t xml:space="preserve">	円安くなるため、トータルでは年間約</t>
  </si>
  <si>
    <t xml:space="preserve">円お得となります。</t>
  </si>
  <si>
    <t xml:space="preserve">円の負担ですみます。</t>
  </si>
  <si>
    <t xml:space="preserve">$lang["payback1month"]=</t>
  </si>
  <si>
    <t xml:space="preserve">1ヶ月以内に元をとれます。</t>
  </si>
  <si>
    <t xml:space="preserve">$lang["paybackmonth"]=</t>
  </si>
  <si>
    <t xml:space="preserve">month</t>
  </si>
  <si>
    <t xml:space="preserve">"約" + month+"ヶ月で元をとれます。"</t>
  </si>
  <si>
    <t xml:space="preserve">約</t>
  </si>
  <si>
    <t xml:space="preserve">ヶ月で元をとれます。</t>
  </si>
  <si>
    <t xml:space="preserve">$lang["paybackyear"]=</t>
  </si>
  <si>
    <t xml:space="preserve">year</t>
  </si>
  <si>
    <t xml:space="preserve">"約" + year+"年で元をとれます。"</t>
  </si>
  <si>
    <t xml:space="preserve">年で元をとれます。</t>
  </si>
  <si>
    <t xml:space="preserve">$lang["paybacknever"]=</t>
  </si>
  <si>
    <t xml:space="preserve">なお、製品の寿命までに、光熱費削減額で元をとることはできません。</t>
  </si>
  <si>
    <t xml:space="preserve">$lang["notinstallfee"]=</t>
  </si>
  <si>
    <t xml:space="preserve">"光熱費は年間約" + fee+"円安くなります。"</t>
  </si>
  <si>
    <t xml:space="preserve">光熱費は年間約</t>
  </si>
  <si>
    <t xml:space="preserve">円安くなります。</t>
  </si>
  <si>
    <t xml:space="preserve">//monthly-----------	</t>
  </si>
  <si>
    <t xml:space="preserve">$lang["monthlytitle"]=</t>
  </si>
  <si>
    <t xml:space="preserve">月ごとの光熱費推計</t>
  </si>
  <si>
    <t xml:space="preserve">$lang["month"]=</t>
  </si>
  <si>
    <t xml:space="preserve">$lang["energy"]=</t>
  </si>
  <si>
    <t xml:space="preserve">エネルギー</t>
  </si>
  <si>
    <t xml:space="preserve">//----------buttons -----------------------------------------------	</t>
  </si>
  <si>
    <t xml:space="preserve">$lang['button_clear']=</t>
  </si>
  <si>
    <t xml:space="preserve">クリア</t>
  </si>
  <si>
    <t xml:space="preserve">$lang['button_savenew']=</t>
  </si>
  <si>
    <t xml:space="preserve">新規保存</t>
  </si>
  <si>
    <t xml:space="preserve">$lang['button_save']=</t>
  </si>
  <si>
    <t xml:space="preserve">保存</t>
  </si>
  <si>
    <t xml:space="preserve">$lang['button_open']=</t>
  </si>
  <si>
    <t xml:space="preserve">開く</t>
  </si>
  <si>
    <t xml:space="preserve">$lang['button_close']=</t>
  </si>
  <si>
    <t xml:space="preserve">閉じる</t>
  </si>
  <si>
    <t xml:space="preserve">$lang['button_showall']=</t>
  </si>
  <si>
    <t xml:space="preserve">全て表示</t>
  </si>
  <si>
    <t xml:space="preserve">$lang["add"]=</t>
  </si>
  <si>
    <t xml:space="preserve">追加</t>
  </si>
  <si>
    <t xml:space="preserve">$lang['button_menu']=</t>
  </si>
  <si>
    <t xml:space="preserve">メニュー</t>
  </si>
  <si>
    <t xml:space="preserve">$lang['button_back_toppage']=</t>
  </si>
  <si>
    <t xml:space="preserve">最初のページに戻る</t>
  </si>
  <si>
    <t xml:space="preserve">$lang['button_back']=</t>
  </si>
  <si>
    <t xml:space="preserve">戻る</t>
  </si>
  <si>
    <t xml:space="preserve">$lang['button_prev']=</t>
  </si>
  <si>
    <t xml:space="preserve">前へ</t>
  </si>
  <si>
    <t xml:space="preserve">$lang['button_next']=</t>
  </si>
  <si>
    <t xml:space="preserve">次へ</t>
  </si>
  <si>
    <t xml:space="preserve">$lang['button_top']=</t>
  </si>
  <si>
    <t xml:space="preserve">トップ</t>
  </si>
  <si>
    <t xml:space="preserve">$lang['button_input']=</t>
  </si>
  <si>
    <t xml:space="preserve">現状記入</t>
  </si>
  <si>
    <t xml:space="preserve">$lang['button_queslist']=</t>
  </si>
  <si>
    <t xml:space="preserve">質問一覧</t>
  </si>
  <si>
    <t xml:space="preserve">$lang['button_diagnosis']=</t>
  </si>
  <si>
    <t xml:space="preserve">診断画面</t>
  </si>
  <si>
    <t xml:space="preserve">$lang['button_measures']=</t>
  </si>
  <si>
    <t xml:space="preserve">対策検討</t>
  </si>
  <si>
    <t xml:space="preserve">$lang['button_selectcategory']=</t>
  </si>
  <si>
    <t xml:space="preserve">評価分野設定</t>
  </si>
  <si>
    <t xml:space="preserve">$lang['button_calcresult']=</t>
  </si>
  <si>
    <t xml:space="preserve">計算結果</t>
  </si>
  <si>
    <t xml:space="preserve">$lang['button_about']=</t>
  </si>
  <si>
    <t xml:space="preserve">解説</t>
  </si>
  <si>
    <t xml:space="preserve">$lang['button_fullversion']=</t>
  </si>
  <si>
    <t xml:space="preserve">全機能版</t>
  </si>
  <si>
    <t xml:space="preserve">$lang['clear_confirm']=</t>
  </si>
  <si>
    <t xml:space="preserve">一覧モード</t>
  </si>
  <si>
    <t xml:space="preserve">$lang['button_co2emission']=</t>
  </si>
  <si>
    <t xml:space="preserve">CO2排出量</t>
  </si>
  <si>
    <t xml:space="preserve">$lang['button_firstenergy']=</t>
  </si>
  <si>
    <t xml:space="preserve">一次エネルギー量</t>
  </si>
  <si>
    <t xml:space="preserve">$lang['button_energyfee']=</t>
  </si>
  <si>
    <t xml:space="preserve">光熱費</t>
  </si>
  <si>
    <t xml:space="preserve">//---- 1 button mode -----------	</t>
  </si>
  <si>
    <t xml:space="preserve">$lang['home_button_intro1']=</t>
  </si>
  <si>
    <t xml:space="preserve">　あなたの家庭でのエネルギー機器や、その使い方に応じて、有効な省エネ対策を提案します。家庭でのエネルギーの使い方について20問程度の質問があります。答えられる質問だけで結構ですので、回答いただくと、あなたの家庭にあった対策を提案することができます。</t>
  </si>
  <si>
    <t xml:space="preserve">$lang['home_button_intro2']=</t>
  </si>
  <si>
    <t xml:space="preserve">　入力された情報については、この端末を利用するあなただけが閲覧でき、サーバーには蓄積されません。</t>
  </si>
  <si>
    <t xml:space="preserve">$lang['home_button_startdiagnosis']=</t>
  </si>
  <si>
    <t xml:space="preserve">診断をはじめる</t>
  </si>
  <si>
    <t xml:space="preserve">$lang['home_button_about']=</t>
  </si>
  <si>
    <t xml:space="preserve">この診断について</t>
  </si>
  <si>
    <t xml:space="preserve">$lang['home_button_result']=</t>
  </si>
  <si>
    <t xml:space="preserve">結果をみる</t>
  </si>
  <si>
    <t xml:space="preserve">$lang['home_button_retry']=</t>
  </si>
  <si>
    <t xml:space="preserve">回答しなおす</t>
  </si>
  <si>
    <t xml:space="preserve">$lang['home_button_average']=</t>
  </si>
  <si>
    <t xml:space="preserve">平均比較</t>
  </si>
  <si>
    <t xml:space="preserve">$lang['home_button_monthly']=</t>
  </si>
  <si>
    <t xml:space="preserve">月変化</t>
  </si>
  <si>
    <t xml:space="preserve">$lang['home_button_measure']=</t>
  </si>
  <si>
    <t xml:space="preserve">有効な対策</t>
  </si>
  <si>
    <t xml:space="preserve">$lang['home_button_resultmessage']=</t>
  </si>
  <si>
    <t xml:space="preserve">　平均との比較をグラフにしました。「有効な対策」を実行した場合の効果が中央のグラフに表示されます。</t>
  </si>
  <si>
    <t xml:space="preserve">$lang['home_button_measuremessage']=</t>
  </si>
  <si>
    <t xml:space="preserve">　有効な対策の一覧です。「選択」にチェックをすると、効果がグラフで表示されます。</t>
  </si>
  <si>
    <t xml:space="preserve">$lang['home_button_pagemessage']=</t>
  </si>
  <si>
    <t xml:space="preserve">　分野を指定して詳しく回答しなおすことができます。「追加」で部屋や機器を追加できます。</t>
  </si>
  <si>
    <t xml:space="preserve">//---------- 2 focus mode page -----------------------------------------------	</t>
  </si>
  <si>
    <t xml:space="preserve">$lang['home_focus_title_after']=</t>
  </si>
  <si>
    <t xml:space="preserve">　一覧モード</t>
  </si>
  <si>
    <t xml:space="preserve">$lang['intro1']=</t>
  </si>
  <si>
    <t xml:space="preserve">ようこそ新省エネ診断ソフト(D6)へ。いまのエネルギーの使い方を入力することで、有効な省エネ対策を計算して提案できます。</t>
  </si>
  <si>
    <t xml:space="preserve">$lang['intro2']=</t>
  </si>
  <si>
    <t xml:space="preserve">わかる範囲で、今のエネルギーの使い方を選んでください。おおよそでも構いませんし、わからない質問は飛ばしてください。</t>
  </si>
  <si>
    <t xml:space="preserve">$lang['intro3']=</t>
  </si>
  <si>
    <t xml:space="preserve">入力に応じた分析結果が随時表示されます。</t>
  </si>
  <si>
    <t xml:space="preserve">$lang['intro4']=</t>
  </si>
  <si>
    <t xml:space="preserve">CO2排出量を用途別に分析した推計結果です。左があなたの現状です。右が比較として、同様の家庭（事業者）を示しています。中央は、対策を選択したときの削減成果が示されます。</t>
  </si>
  <si>
    <t xml:space="preserve">$lang['intro5']=</t>
  </si>
  <si>
    <t xml:space="preserve">月別の光熱費をグラフにしています。</t>
  </si>
  <si>
    <t xml:space="preserve">$lang['intro6']=</t>
  </si>
  <si>
    <t xml:space="preserve">有効な省エネ対策が随時表示されます。タイトルをクリックすると、詳しく解説されます。お得の★は、購入費用があっても元を取れる対策です。右の列をクリックして選択すると、対策をした場合の成果が、中央のグラフに反映されます。</t>
  </si>
  <si>
    <t xml:space="preserve">$lang['intro7']=</t>
  </si>
  <si>
    <t xml:space="preserve">ブラウザに入力情報を保存しておくことができます。</t>
  </si>
  <si>
    <t xml:space="preserve">$lang['intro8']=</t>
  </si>
  <si>
    <t xml:space="preserve">この画面は20項目程度の限られた質問だけですが、詳しく診断することもできます。ではさっそく[Done]を押して診断をはじめてください。</t>
  </si>
  <si>
    <t xml:space="preserve">//---------- 3 easy mode page -----------------------------------------------	</t>
  </si>
  <si>
    <t xml:space="preserve">$lang['home_easy_title']=</t>
  </si>
  <si>
    <t xml:space="preserve">快適生活のための簡単エコチェック</t>
  </si>
  <si>
    <t xml:space="preserve">$lang['home_easy_step1']=</t>
  </si>
  <si>
    <t xml:space="preserve">質問</t>
  </si>
  <si>
    <t xml:space="preserve">$lang['home_easy_step2']=</t>
  </si>
  <si>
    <t xml:space="preserve">比較</t>
  </si>
  <si>
    <t xml:space="preserve">$lang['home_easy_step3']=</t>
  </si>
  <si>
    <t xml:space="preserve">特徴</t>
  </si>
  <si>
    <t xml:space="preserve">$lang['home_easy_step4']=</t>
  </si>
  <si>
    <t xml:space="preserve">$lang['home_easy_toptitle']=</t>
  </si>
  <si>
    <t xml:space="preserve">家の光熱費を安くしてみませんか</t>
  </si>
  <si>
    <t xml:space="preserve">$lang['home_easy_top1']=</t>
  </si>
  <si>
    <t xml:space="preserve">　日本では「省エネ」が誤解されています。決して「がまんする」ものではなく、より生活を豊かにするものです。光熱費も安くなり、生活が快適になり、それで未来の子どもたちのためにもなります。</t>
  </si>
  <si>
    <t xml:space="preserve">$lang['home_easy_top2']=</t>
  </si>
  <si>
    <t xml:space="preserve">　かんたんな質問で、あなたの生活にあった対策を示します。3分間でできるエコチェックしてみてください。</t>
  </si>
  <si>
    <t xml:space="preserve">$lang['home_easy_top3sm']=</t>
  </si>
  <si>
    <t xml:space="preserve">※完全無料です。名前やメールアドレスなど、あなたを特定する情報の入力は必要ありません。この診断ソフトは、計算ロジック自体を端末にダウンロードして行うため、入力した値を利用端末以外に送ることはありません。このページは利用状況を把握するためにGoogle Anarliticsを使用しています。</t>
  </si>
  <si>
    <t xml:space="preserve">$lang['home_easy_top_button_start']=</t>
  </si>
  <si>
    <t xml:space="preserve">$lang['home_easy_top_button_about']=</t>
  </si>
  <si>
    <t xml:space="preserve">　解説　</t>
  </si>
  <si>
    <t xml:space="preserve">$lang['home_easy_p5title']=</t>
  </si>
  <si>
    <t xml:space="preserve">この質問にお答えください</t>
  </si>
  <si>
    <t xml:space="preserve">$lang['home_easy_p5_1']=</t>
  </si>
  <si>
    <t xml:space="preserve">　おおよそあてはまる選択肢を選んでください。わからない場合には、回答しなくても構いません。</t>
  </si>
  <si>
    <t xml:space="preserve">$lang['home_easy_p5_button_next']=</t>
  </si>
  <si>
    <t xml:space="preserve">$lang['home_easy_p2title']=</t>
  </si>
  <si>
    <t xml:space="preserve">平均世帯とくらべて</t>
  </si>
  <si>
    <t xml:space="preserve">$lang['home_easy_p2_button_next']=</t>
  </si>
  <si>
    <t xml:space="preserve">大きな原因を明らかにします</t>
  </si>
  <si>
    <t xml:space="preserve">$lang['home_easy_p3title']=</t>
  </si>
  <si>
    <t xml:space="preserve">あなたの生活の特徴</t>
  </si>
  <si>
    <t xml:space="preserve">$lang['home_easy_p3_1']=</t>
  </si>
  <si>
    <t xml:space="preserve">　CO2がどこから出ているのか分析した結果です。左があなた、右は条件があなたに似た家庭の標準値を示しています。</t>
  </si>
  <si>
    <t xml:space="preserve">$lang['home_easy_p3_button_next']=</t>
  </si>
  <si>
    <t xml:space="preserve">おすすめの対策はこちら</t>
  </si>
  <si>
    <t xml:space="preserve">$lang['home_easy_p4title_pre']=</t>
  </si>
  <si>
    <t xml:space="preserve">　</t>
  </si>
  <si>
    <t xml:space="preserve">$lang['home_easy_p4title_after']=</t>
  </si>
  <si>
    <t xml:space="preserve">つのおすすめ対策</t>
  </si>
  <si>
    <t xml:space="preserve">$lang['home_easy_p4_button_next']=</t>
  </si>
  <si>
    <t xml:space="preserve">一番おすすめの対策</t>
  </si>
  <si>
    <t xml:space="preserve">$lang['home_easy_p4_1']=</t>
  </si>
  <si>
    <t xml:space="preserve">　あなたの家庭に合わせた、おすすめの省エネ対策です。タイトルをクリックすると、詳しく解説されます。お得の★マークは、購入費用があっても元を取れる対策です。</t>
  </si>
  <si>
    <t xml:space="preserve">$lang['home_easy_p4_2']=</t>
  </si>
  <si>
    <t xml:space="preserve">　これは概算です。詳しい診断で、よりあなたにあった提案をすることもできます。</t>
  </si>
  <si>
    <t xml:space="preserve">$lang['home_easy_p4_button_next2']=</t>
  </si>
  <si>
    <t xml:space="preserve">さらに詳しい診断はこちらからできます</t>
  </si>
  <si>
    <t xml:space="preserve">$lang['home_easy_p4_button_next3']=</t>
  </si>
  <si>
    <t xml:space="preserve">家電製品の買い換えを考えているかた</t>
  </si>
  <si>
    <t xml:space="preserve">$lang['home_easy_measure_show']= </t>
  </si>
  <si>
    <t xml:space="preserve">num + "番目におすすめを表示"</t>
  </si>
  <si>
    <t xml:space="preserve">//--5 maintenance page-----------------	</t>
  </si>
  <si>
    <t xml:space="preserve">$lang['home_maintenance_message']=</t>
  </si>
  <si>
    <t xml:space="preserve">　あなたの選択した対策は以下のとおりです。取り組めていますか？</t>
  </si>
  <si>
    <t xml:space="preserve">$lang['home_maintenance_list']=</t>
  </si>
  <si>
    <t xml:space="preserve">選択した対策</t>
  </si>
  <si>
    <t xml:space="preserve">$lang['home_maintenance_selected']=</t>
  </si>
  <si>
    <t xml:space="preserve">この対策を選択しました</t>
  </si>
  <si>
    <t xml:space="preserve">//-- 6 action page-----------------	</t>
  </si>
  <si>
    <t xml:space="preserve">$lang['home_action_title']=</t>
  </si>
  <si>
    <t xml:space="preserve">低炭素生活のための簡単エコチェック</t>
  </si>
  <si>
    <t xml:space="preserve">$lang['home_action_step1']=</t>
  </si>
  <si>
    <t xml:space="preserve">$lang['home_action_step2']=</t>
  </si>
  <si>
    <t xml:space="preserve">評価</t>
  </si>
  <si>
    <t xml:space="preserve">$lang['home_action_step3']=</t>
  </si>
  <si>
    <t xml:space="preserve">$lang['home_action_toptitle']=</t>
  </si>
  <si>
    <t xml:space="preserve">めざせ低炭素家庭</t>
  </si>
  <si>
    <t xml:space="preserve">$lang['home_action_top1']=</t>
  </si>
  <si>
    <t xml:space="preserve">削減ができます</t>
  </si>
  <si>
    <t xml:space="preserve">$lang['home_action_top2']=</t>
  </si>
  <si>
    <t xml:space="preserve">かんたんな方法で</t>
  </si>
  <si>
    <t xml:space="preserve">$lang['home_action_axis1']=</t>
  </si>
  <si>
    <t xml:space="preserve">持続可能性</t>
  </si>
  <si>
    <t xml:space="preserve">$lang['home_action_axis2']=</t>
  </si>
  <si>
    <t xml:space="preserve">省エネ機器</t>
  </si>
  <si>
    <t xml:space="preserve">$lang['home_action_axis3']=</t>
  </si>
  <si>
    <t xml:space="preserve">省エネ行動</t>
  </si>
  <si>
    <t xml:space="preserve">$lang['home_action_label1']=</t>
  </si>
  <si>
    <t xml:space="preserve">すばらしい！</t>
  </si>
  <si>
    <t xml:space="preserve">$lang['home_action_label2']=</t>
  </si>
  <si>
    <t xml:space="preserve">まあまあよい</t>
  </si>
  <si>
    <t xml:space="preserve">$lang['home_action_label3']=</t>
  </si>
  <si>
    <t xml:space="preserve">ちょっと残念</t>
  </si>
  <si>
    <t xml:space="preserve">$lang['home_action_good_point']=</t>
  </si>
  <si>
    <t xml:space="preserve">良い点</t>
  </si>
  <si>
    <t xml:space="preserve">$lang['home_action_bad_point']=</t>
  </si>
  <si>
    <t xml:space="preserve">改善点</t>
  </si>
  <si>
    <t xml:space="preserve">//--99 list page-----------------	</t>
  </si>
  <si>
    <t xml:space="preserve">$lang['home_list_message']=</t>
  </si>
  <si>
    <t xml:space="preserve">この中からあなたにあった対策を厳選します</t>
  </si>
  <si>
    <t xml:space="preserve">//--createpage-----------------	</t>
  </si>
  <si>
    <t xml:space="preserve">$lang["younow"]=</t>
  </si>
  <si>
    <t xml:space="preserve">現状</t>
  </si>
  <si>
    <t xml:space="preserve">$lang["youafter"]=</t>
  </si>
  <si>
    <t xml:space="preserve">対策後</t>
  </si>
  <si>
    <t xml:space="preserve">$lang["average"]=</t>
  </si>
  <si>
    <t xml:space="preserve">平均</t>
  </si>
  <si>
    <t xml:space="preserve">$lang["compare"]=</t>
  </si>
  <si>
    <t xml:space="preserve">$lang["comparetoaverage"]=</t>
  </si>
  <si>
    <t xml:space="preserve">$lang["co2emission"]=</t>
  </si>
  <si>
    <t xml:space="preserve">$lang["co2reductiontitle"]=</t>
  </si>
  <si>
    <t xml:space="preserve">CO2削減効果</t>
  </si>
  <si>
    <t xml:space="preserve">$lang["fee"]=</t>
  </si>
  <si>
    <t xml:space="preserve">$lang["feereductiontitle"]=</t>
  </si>
  <si>
    <t xml:space="preserve">光熱費削減</t>
  </si>
  <si>
    <t xml:space="preserve">$lang["initialcosttitle"]=</t>
  </si>
  <si>
    <t xml:space="preserve">初期投資額</t>
  </si>
  <si>
    <t xml:space="preserve">$lang["loadperyear"]=</t>
  </si>
  <si>
    <t xml:space="preserve">年間負担額</t>
  </si>
  <si>
    <t xml:space="preserve">$lang["primaryenergy"]=</t>
  </si>
  <si>
    <t xml:space="preserve">一次エネルギー消費量</t>
  </si>
  <si>
    <t xml:space="preserve">$lang["other"]=</t>
  </si>
  <si>
    <t xml:space="preserve">その他</t>
  </si>
  <si>
    <t xml:space="preserve">//----------for office -----------------------------------------------	</t>
  </si>
  <si>
    <t xml:space="preserve">$lang['office_title']=</t>
  </si>
  <si>
    <t xml:space="preserve">事業所簡易省エネ診断</t>
  </si>
  <si>
    <t xml:space="preserve">$lang["officecall"]=</t>
  </si>
  <si>
    <t xml:space="preserve">御社</t>
  </si>
  <si>
    <t xml:space="preserve">$lang["officecount"]=</t>
  </si>
  <si>
    <t xml:space="preserve">事業所</t>
  </si>
  <si>
    <t xml:space="preserve">$lang["totaloffice"]=</t>
  </si>
  <si>
    <t xml:space="preserve">事業所全体</t>
  </si>
  <si>
    <t xml:space="preserve">$lang["officenow"]=</t>
  </si>
  <si>
    <t xml:space="preserve">$lang["compareoffice"]=</t>
  </si>
  <si>
    <t xml:space="preserve">"同じ規模の" + target</t>
  </si>
  <si>
    <t xml:space="preserve">同じ規模の</t>
  </si>
  <si>
    <t xml:space="preserve">$lang['button_demand']=</t>
  </si>
  <si>
    <t xml:space="preserve">デマンド</t>
  </si>
  <si>
    <t xml:space="preserve">//----------7 lifegame -----------------------------------------------	</t>
  </si>
  <si>
    <t xml:space="preserve">$lang['home_lifegame_title']=</t>
  </si>
  <si>
    <t xml:space="preserve">CO2ゼロ時代サバイバル</t>
  </si>
  <si>
    <t xml:space="preserve">$lang['home_lifegame_toptitle']=</t>
  </si>
  <si>
    <t xml:space="preserve">あなたの月の収入が1万円あがりました！</t>
  </si>
  <si>
    <t xml:space="preserve">$lang['home_lifegame_top1']=</t>
  </si>
  <si>
    <t xml:space="preserve">　景気が良くなったのか、あなたの仕事が認められるようになったのかわかりませんが、収入が月1万円増えました。おめでとうございます。え？たいした額ではないですって？　まあそう謙遜しなくても結構です。</t>
  </si>
  <si>
    <t xml:space="preserve">$lang['home_lifegame_top2']=</t>
  </si>
  <si>
    <t xml:space="preserve">　何に使おうが自由なのですが、あまり自由に消費すると、人類がこの地球上で生存できなくなることが明らかになっています。気候変動（地球温暖化）問題です。21世紀中には石油や石炭が使えなくすることが、世界中で合意されています。というわけで、この毎月の1万円を使って、あなたの生活のCO2排出をゼロにしてください。</t>
  </si>
  <si>
    <t xml:space="preserve">$lang['home_lifegame_top3']=</t>
  </si>
  <si>
    <t xml:space="preserve">　ありがとうございます。何年かかっても構いませんが、生きている間にはゼロにしましょう。ただし追加で支払うお金は、月1万円です。</t>
  </si>
  <si>
    <t xml:space="preserve">$lang['home_lifegame_top3b']=</t>
  </si>
  <si>
    <t xml:space="preserve">　ところであなたは、もしかして、&lt;br&gt;&lt;ul&gt;&lt;li&gt;25歳独身、賃貸アパートぐらし&lt;/li&gt;&lt;li&gt;光熱費日本平均&lt;/li&gt;&lt;/ul&gt;の生活をされている方ですか？</t>
  </si>
  <si>
    <t xml:space="preserve">$lang['home_lifegame_toptitle4']=</t>
  </si>
  <si>
    <t xml:space="preserve">取り組みを選んでください</t>
  </si>
  <si>
    <t xml:space="preserve">$lang['home_lifegame_top4']=</t>
  </si>
  <si>
    <t xml:space="preserve">　最初なので、まだ使える予算は1万円しかありません。1万円以内で取り組めること、お金がかからない取り組みにはこのようなものがあります。ただし、1回の選択では3項目までしか選ぶことはできません。それ以上選んでも、人間は忘れてしまいます。</t>
  </si>
  <si>
    <t xml:space="preserve">$lang['home_lifegame_toptitle5']=</t>
  </si>
  <si>
    <t xml:space="preserve">取り組みありがとうございます</t>
  </si>
  <si>
    <t xml:space="preserve">$lang['home_lifegame_top5']=</t>
  </si>
  <si>
    <t xml:space="preserve">　○○、○○の取り組みを実行しました。このため○万円のお金が使われ、残りは○万円になりました。</t>
  </si>
  <si>
    <t xml:space="preserve">$lang['home_lifegame_toptitle6']=</t>
  </si>
  <si>
    <t xml:space="preserve">効果があらわれました</t>
  </si>
  <si>
    <t xml:space="preserve">$lang['home_lifegame_top6']=</t>
  </si>
  <si>
    <t xml:space="preserve">　けれども、取り組みにより毎月○万円が追加で安くなりました。もし何もしなかった場合と比較すると、今までの積み重ねで、毎月○万円安くなっています。CO2排出量は、初期状態から○%減になっています。</t>
  </si>
  <si>
    <t xml:space="preserve">$lang['home_lifegame_top6b']=</t>
  </si>
  <si>
    <t xml:space="preserve">　1年間が経過し、収入が上がった分、12万円が追加で使えます。加えて、1年の光熱費削減により、○万円が使えます。使えるお金は、○万円から○万円に増加しました。</t>
  </si>
  <si>
    <t xml:space="preserve">$lang['home_lifegame_toptitle7']=</t>
  </si>
  <si>
    <t xml:space="preserve">取り組み時期になりました</t>
  </si>
  <si>
    <t xml:space="preserve">$lang['home_lifegame_top7']=</t>
  </si>
  <si>
    <t xml:space="preserve">　現在、使える予算は○万円あります。この金額以内で取り組めること、お金がかからない取り組みにはこのようなものがあります。取り組む項目を選んでください。</t>
  </si>
  <si>
    <t xml:space="preserve">$lang['home_lifegame_toptitle90']=</t>
  </si>
  <si>
    <t xml:space="preserve">あなたの設定を選んでください</t>
  </si>
  <si>
    <t xml:space="preserve">$lang['home_lifegame_top90']=</t>
  </si>
  <si>
    <t xml:space="preserve">　現在の生活を選ぶと、現在から本当にCO2をゼロにしていくシミュレーションが始まります。</t>
  </si>
  <si>
    <t xml:space="preserve">$lang['home_lifegame_toptitle99']=</t>
  </si>
  <si>
    <t xml:space="preserve">死にました。おつかれさまでした。</t>
  </si>
  <si>
    <t xml:space="preserve">$lang['home_lifegame_top99']=</t>
  </si>
  <si>
    <t xml:space="preserve">　人類は地球温暖化の進行を止めることができず、巨大な暴風雨で都市が壊滅状態となることが繰り返されました。世界の食料生産地では水不足が深刻化し、食料が世界的に不足し、食料をめぐる戦争が各地で起こりました。幸いなことに、あなたは、小さな子どもたちが苦しみ悲しむ姿を見ることなく、無事にあの世に行くことができました。よかったですね。</t>
  </si>
  <si>
    <t xml:space="preserve">$lang['button_end']=</t>
  </si>
  <si>
    <t xml:space="preserve">やめる</t>
  </si>
  <si>
    <t xml:space="preserve">$lang['button_agree']=</t>
  </si>
  <si>
    <t xml:space="preserve">設定する</t>
  </si>
  <si>
    <t xml:space="preserve">$lang['button_commit']=</t>
  </si>
  <si>
    <t xml:space="preserve">実行します</t>
  </si>
  <si>
    <t xml:space="preserve">$lang['home_lifegame_button_sel99']=</t>
  </si>
  <si>
    <t xml:space="preserve">すみません、やります。</t>
  </si>
  <si>
    <t xml:space="preserve">$lang['home_lifegame_button_sel3a']=</t>
  </si>
  <si>
    <t xml:space="preserve">ちがいます</t>
  </si>
  <si>
    <t xml:space="preserve">$lang['home_lifegame_button_sel3b']=</t>
  </si>
  <si>
    <t xml:space="preserve">まあ、それでいいです。</t>
  </si>
  <si>
    <t xml:space="preserve">//----------8 uchieco web -----------------------------------------------	</t>
  </si>
  <si>
    <t xml:space="preserve">$lang['home_uchieco_title']=</t>
  </si>
  <si>
    <t xml:space="preserve">うちエコ診断WEB</t>
  </si>
  <si>
    <t xml:space="preserve">average templature</t>
  </si>
  <si>
    <t xml:space="preserve">similar templature area in Japan</t>
  </si>
  <si>
    <t xml:space="preserve">Place/Area</t>
  </si>
  <si>
    <t xml:space="preserve">annual average templature</t>
  </si>
  <si>
    <t xml:space="preserve">Paris</t>
  </si>
  <si>
    <t xml:space="preserve">秋田</t>
  </si>
  <si>
    <t xml:space="preserve">北海道</t>
  </si>
  <si>
    <t xml:space="preserve">Lyon</t>
  </si>
  <si>
    <t xml:space="preserve">新潟</t>
  </si>
  <si>
    <t xml:space="preserve">青森</t>
  </si>
  <si>
    <t xml:space="preserve">Marseille</t>
  </si>
  <si>
    <t xml:space="preserve">鹿児島</t>
  </si>
  <si>
    <t xml:space="preserve">岩手</t>
  </si>
  <si>
    <t xml:space="preserve">宮城</t>
  </si>
  <si>
    <t xml:space="preserve">山形</t>
  </si>
  <si>
    <t xml:space="preserve">福島</t>
  </si>
  <si>
    <t xml:space="preserve">茨城</t>
  </si>
  <si>
    <t xml:space="preserve">栃木</t>
  </si>
  <si>
    <t xml:space="preserve">群馬</t>
  </si>
  <si>
    <t xml:space="preserve">埼玉</t>
  </si>
  <si>
    <t xml:space="preserve">千葉</t>
  </si>
  <si>
    <t xml:space="preserve">東京</t>
  </si>
  <si>
    <t xml:space="preserve">神奈川</t>
  </si>
  <si>
    <t xml:space="preserve">富山</t>
  </si>
  <si>
    <t xml:space="preserve">石川</t>
  </si>
  <si>
    <t xml:space="preserve">福井</t>
  </si>
  <si>
    <t xml:space="preserve">山梨</t>
  </si>
  <si>
    <t xml:space="preserve">長野</t>
  </si>
  <si>
    <t xml:space="preserve">岐阜</t>
  </si>
  <si>
    <t xml:space="preserve">静岡</t>
  </si>
  <si>
    <t xml:space="preserve">愛知</t>
  </si>
  <si>
    <t xml:space="preserve">三重</t>
  </si>
  <si>
    <t xml:space="preserve">滋賀</t>
  </si>
  <si>
    <t xml:space="preserve">京都</t>
  </si>
  <si>
    <t xml:space="preserve">大阪</t>
  </si>
  <si>
    <t xml:space="preserve">兵庫</t>
  </si>
  <si>
    <t xml:space="preserve">奈良</t>
  </si>
  <si>
    <t xml:space="preserve">和歌山</t>
  </si>
  <si>
    <t xml:space="preserve">鳥取</t>
  </si>
  <si>
    <t xml:space="preserve">島根</t>
  </si>
  <si>
    <t xml:space="preserve">岡山</t>
  </si>
  <si>
    <t xml:space="preserve">広島</t>
  </si>
  <si>
    <t xml:space="preserve">山口</t>
  </si>
  <si>
    <t xml:space="preserve">徳島</t>
  </si>
  <si>
    <t xml:space="preserve">香川</t>
  </si>
  <si>
    <t xml:space="preserve">愛媛</t>
  </si>
  <si>
    <t xml:space="preserve">高知</t>
  </si>
  <si>
    <t xml:space="preserve">福岡</t>
  </si>
  <si>
    <t xml:space="preserve">佐賀</t>
  </si>
  <si>
    <t xml:space="preserve">長崎</t>
  </si>
  <si>
    <t xml:space="preserve">熊本</t>
  </si>
  <si>
    <t xml:space="preserve">大分</t>
  </si>
  <si>
    <t xml:space="preserve">宮崎</t>
  </si>
  <si>
    <t xml:space="preserve">沖縄</t>
  </si>
  <si>
    <t xml:space="preserve">//set now price and performance</t>
  </si>
  <si>
    <t xml:space="preserve">equip</t>
  </si>
  <si>
    <t xml:space="preserve">comment</t>
  </si>
  <si>
    <t xml:space="preserve">size</t>
  </si>
  <si>
    <t xml:space="preserve">pf_good</t>
  </si>
  <si>
    <t xml:space="preserve">pf_average</t>
  </si>
  <si>
    <t xml:space="preserve">price_good</t>
  </si>
  <si>
    <t xml:space="preserve">price_average</t>
  </si>
  <si>
    <t xml:space="preserve">Air Conditioner</t>
  </si>
  <si>
    <t xml:space="preserve">kW-cooling, APF</t>
  </si>
  <si>
    <t xml:space="preserve">Refregerator</t>
  </si>
  <si>
    <t xml:space="preserve">L, kWh/a</t>
  </si>
  <si>
    <t xml:space="preserve">W-bulb, W</t>
  </si>
  <si>
    <t xml:space="preserve">潜熱回収型給湯器</t>
  </si>
  <si>
    <t xml:space="preserve">kW, performance</t>
  </si>
  <si>
    <t xml:space="preserve">イラストID</t>
  </si>
  <si>
    <t xml:space="preserve">詳細表示画面等でのイラスト表示</t>
  </si>
  <si>
    <t xml:space="preserve">内容</t>
  </si>
  <si>
    <t xml:space="preserve">暖房器具（ストーブ）</t>
  </si>
  <si>
    <t xml:space="preserve">窓（サッシ）</t>
  </si>
  <si>
    <t xml:space="preserve">電球型LED</t>
  </si>
  <si>
    <t xml:space="preserve">LEDシーリングライト</t>
  </si>
  <si>
    <t xml:space="preserve">液晶テレビ</t>
  </si>
  <si>
    <t xml:space="preserve">シャワーヘッド</t>
  </si>
  <si>
    <t xml:space="preserve">食器洗いの様子</t>
  </si>
  <si>
    <t xml:space="preserve">ガスコンロの炎が鍋からはみださないように</t>
  </si>
  <si>
    <t xml:space="preserve">食器洗い乾燥機</t>
  </si>
  <si>
    <t xml:space="preserve">衣類乾燥機</t>
  </si>
  <si>
    <t xml:space="preserve">ジャー</t>
  </si>
  <si>
    <t xml:space="preserve">保温便座</t>
  </si>
  <si>
    <t xml:space="preserve">コンセントを抜く</t>
  </si>
  <si>
    <t xml:space="preserve">電車</t>
  </si>
  <si>
    <t xml:space="preserve">バイク</t>
  </si>
  <si>
    <t xml:space="preserve">自転車</t>
  </si>
  <si>
    <t xml:space="preserve">太陽光パネル</t>
  </si>
  <si>
    <t xml:space="preserve">シングルレバー水栓</t>
  </si>
  <si>
    <t xml:space="preserve">こたつ</t>
  </si>
  <si>
    <t xml:space="preserve">換気</t>
  </si>
  <si>
    <t xml:space="preserve">fm</t>
  </si>
  <si>
    <t xml:space="preserve">error</t>
  </si>
  <si>
    <t xml:space="preserve">reason</t>
  </si>
  <si>
    <t xml:space="preserve">JP</t>
  </si>
  <si>
    <t xml:space="preserve">check ; after functions</t>
  </si>
  <si>
    <t xml:space="preserve">JP_en</t>
  </si>
  <si>
    <t xml:space="preserve">select prefecture</t>
  </si>
  <si>
    <t xml:space="preserve">other</t>
  </si>
  <si>
    <t xml:space="preserve">monthly</t>
  </si>
  <si>
    <t xml:space="preserve">Object.getAverageCostEnergy (d6home_core.js:956)</t>
  </si>
  <si>
    <t xml:space="preserve">JP office</t>
  </si>
  <si>
    <t xml:space="preserve">Object.getCoolFactor (d6office_core.js:1075)</t>
  </si>
  <si>
    <t xml:space="preserve">JP IE11</t>
  </si>
  <si>
    <t xml:space="preserve">対策番号（自動生成）</t>
  </si>
  <si>
    <t xml:space="preserve">入力番号（自動生成）</t>
  </si>
  <si>
    <t xml:space="preserve">消費量関連図</t>
  </si>
  <si>
    <t xml:space="preserve">始点</t>
  </si>
  <si>
    <t xml:space="preserve">Total</t>
  </si>
  <si>
    <t xml:space="preserve">Show</t>
  </si>
  <si>
    <t xml:space="preserve">部屋面積割</t>
  </si>
  <si>
    <t xml:space="preserve">季節変動</t>
  </si>
  <si>
    <t xml:space="preserve">ConsTotal</t>
  </si>
  <si>
    <t xml:space="preserve">ConsHEAT</t>
  </si>
  <si>
    <t xml:space="preserve">ConsACHeat</t>
  </si>
  <si>
    <t xml:space="preserve">ConsAC</t>
  </si>
  <si>
    <t xml:space="preserve">気温</t>
  </si>
  <si>
    <t xml:space="preserve">水温</t>
  </si>
  <si>
    <t xml:space="preserve">ConsCOOL</t>
  </si>
  <si>
    <t xml:space="preserve">ConsACCool</t>
  </si>
  <si>
    <t xml:space="preserve">関連する部分の量を差し引く</t>
  </si>
  <si>
    <t xml:space="preserve">日照量</t>
  </si>
  <si>
    <t xml:space="preserve">利用時間</t>
  </si>
  <si>
    <t xml:space="preserve">温水暖房をしている場合効率の割り戻し（追加質問）</t>
  </si>
  <si>
    <t xml:space="preserve">利用頻度</t>
  </si>
  <si>
    <t xml:space="preserve">ConsRFsum</t>
  </si>
  <si>
    <t xml:space="preserve">ConsRF</t>
  </si>
  <si>
    <t xml:space="preserve">関連は；配列で定義</t>
  </si>
  <si>
    <t xml:space="preserve">ConsLIsum</t>
  </si>
  <si>
    <t xml:space="preserve">ConsLI</t>
  </si>
  <si>
    <t xml:space="preserve">計算は：Consに定義</t>
  </si>
  <si>
    <t xml:space="preserve">ConsTVsum</t>
  </si>
  <si>
    <t xml:space="preserve">ConsTV</t>
  </si>
  <si>
    <t xml:space="preserve">※小型テレビを使う</t>
  </si>
  <si>
    <t xml:space="preserve">機器性能はConsに定義</t>
  </si>
  <si>
    <t xml:space="preserve">ConsHW</t>
  </si>
  <si>
    <t xml:space="preserve">ConsHWbath</t>
  </si>
  <si>
    <t xml:space="preserve">※風呂をためずにシャワー</t>
  </si>
  <si>
    <t xml:space="preserve">効率で均等に割り戻し</t>
  </si>
  <si>
    <t xml:space="preserve">ConsHWshower</t>
  </si>
  <si>
    <t xml:space="preserve">ConsHWdresser</t>
  </si>
  <si>
    <t xml:space="preserve">ConsCK</t>
  </si>
  <si>
    <t xml:space="preserve">ConsCKcook</t>
  </si>
  <si>
    <t xml:space="preserve">ConsCKwash</t>
  </si>
  <si>
    <t xml:space="preserve">セントラルのとき効率で割り戻し</t>
  </si>
  <si>
    <t xml:space="preserve">ConsDR</t>
  </si>
  <si>
    <t xml:space="preserve">ConsPT</t>
  </si>
  <si>
    <t xml:space="preserve">ConsPTplug</t>
  </si>
  <si>
    <t xml:space="preserve">ConsPTpot</t>
  </si>
  <si>
    <t xml:space="preserve">ConsPTrice</t>
  </si>
  <si>
    <t xml:space="preserve">ConsPTtoilet</t>
  </si>
  <si>
    <t xml:space="preserve">ConsGasoline</t>
  </si>
  <si>
    <t xml:space="preserve">ConsCar</t>
  </si>
  <si>
    <t xml:space="preserve">※燃費のいい車を使う</t>
  </si>
  <si>
    <t xml:space="preserve">ConsTrip</t>
  </si>
  <si>
    <t xml:space="preserve">効率で割り戻し</t>
  </si>
  <si>
    <t xml:space="preserve">機器のサイズクラス</t>
  </si>
  <si>
    <t xml:space="preserve">getOldPerformance</t>
  </si>
  <si>
    <t xml:space="preserve">消費クラスで定義、詳細条件は消費クラスで定義</t>
  </si>
  <si>
    <t xml:space="preserve">getNewPerformance</t>
  </si>
  <si>
    <t xml:space="preserve">※消費クラスで機器が1つではない場合どうする？</t>
  </si>
  <si>
    <t xml:space="preserve">プログラムコード</t>
  </si>
  <si>
    <t xml:space="preserve">eqCode</t>
  </si>
  <si>
    <t xml:space="preserve">rID</t>
  </si>
  <si>
    <t xml:space="preserve">oldPerform</t>
  </si>
  <si>
    <t xml:space="preserve">bestPerform</t>
  </si>
  <si>
    <t xml:space="preserve">bestPrice</t>
  </si>
  <si>
    <t xml:space="preserve">ordinalPerform</t>
  </si>
  <si>
    <t xml:space="preserve">ordinalPrice</t>
  </si>
  <si>
    <t xml:space="preserve">機器コード</t>
  </si>
  <si>
    <t xml:space="preserve">機器名</t>
  </si>
  <si>
    <t xml:space="preserve">所属消費クラス</t>
  </si>
  <si>
    <t xml:space="preserve">ランク単位</t>
  </si>
  <si>
    <t xml:space="preserve">性能単位</t>
  </si>
  <si>
    <t xml:space="preserve">ランクID</t>
  </si>
  <si>
    <t xml:space="preserve">ランク・サイズ</t>
  </si>
  <si>
    <t xml:space="preserve">過去性能</t>
  </si>
  <si>
    <t xml:space="preserve">省エネ型性能</t>
  </si>
  <si>
    <t xml:space="preserve">省エネ型価格</t>
  </si>
  <si>
    <t xml:space="preserve">標準性能</t>
  </si>
  <si>
    <t xml:space="preserve">標準価格</t>
  </si>
  <si>
    <t xml:space="preserve">kWh/年</t>
  </si>
  <si>
    <t xml:space="preserve">defEquipment</t>
  </si>
  <si>
    <t xml:space="preserve">defEquipmentSize</t>
  </si>
  <si>
    <t xml:space="preserve">// 0</t>
  </si>
  <si>
    <t xml:space="preserve">// 1</t>
  </si>
  <si>
    <t xml:space="preserve">// 2</t>
  </si>
  <si>
    <t xml:space="preserve">// 3</t>
  </si>
  <si>
    <t xml:space="preserve">LI_FB</t>
  </si>
  <si>
    <t xml:space="preserve">電球型蛍光灯</t>
  </si>
  <si>
    <t xml:space="preserve">型</t>
  </si>
  <si>
    <t xml:space="preserve">// 4</t>
  </si>
  <si>
    <t xml:space="preserve">// 5</t>
  </si>
  <si>
    <t xml:space="preserve">LI_LED</t>
  </si>
  <si>
    <t xml:space="preserve">Simpleでは使用せず</t>
  </si>
  <si>
    <t xml:space="preserve">計算ロジック</t>
  </si>
  <si>
    <t xml:space="preserve">設定</t>
  </si>
  <si>
    <t xml:space="preserve">D6.setSenario()</t>
  </si>
  <si>
    <t xml:space="preserve">定義からのロジックの生成</t>
  </si>
  <si>
    <t xml:space="preserve">D6.addSet(consName)</t>
  </si>
  <si>
    <t xml:space="preserve">分野内の区分（機器・部屋）の追加</t>
  </si>
  <si>
    <t xml:space="preserve">consName:分野名コード</t>
  </si>
  <si>
    <t xml:space="preserve">計算</t>
  </si>
  <si>
    <t xml:space="preserve">D6.calcAverage()</t>
  </si>
  <si>
    <t xml:space="preserve">平均値の計算</t>
  </si>
  <si>
    <t xml:space="preserve">D6.calcMeasures(cid)</t>
  </si>
  <si>
    <t xml:space="preserve">消費量・対策の計算</t>
  </si>
  <si>
    <t xml:space="preserve">cid:分野ID,-1なら全体を計算</t>
  </si>
  <si>
    <t xml:space="preserve">入力</t>
  </si>
  <si>
    <t xml:space="preserve">D6.inSet(id,val)</t>
  </si>
  <si>
    <t xml:space="preserve">入力値の設定</t>
  </si>
  <si>
    <t xml:space="preserve">id:入力番号</t>
  </si>
  <si>
    <t xml:space="preserve">val:入力値</t>
  </si>
  <si>
    <t xml:space="preserve">D6.measureAdd(mesId)</t>
  </si>
  <si>
    <t xml:space="preserve">対策の選択</t>
  </si>
  <si>
    <t xml:space="preserve">D6.measureDelete(mesid)</t>
  </si>
  <si>
    <t xml:space="preserve">対策の選択解除</t>
  </si>
  <si>
    <t xml:space="preserve">mesid:対策ID</t>
  </si>
  <si>
    <t xml:space="preserve">IO</t>
  </si>
  <si>
    <t xml:space="preserve">D6.doc.serialize()</t>
  </si>
  <si>
    <t xml:space="preserve">入力データのシリアライズ</t>
  </si>
  <si>
    <t xml:space="preserve">D6.doc.loadDataSet(data)</t>
  </si>
  <si>
    <t xml:space="preserve">保存値の計算式への設定</t>
  </si>
  <si>
    <t xml:space="preserve">data:保存値</t>
  </si>
  <si>
    <t xml:space="preserve">計算結果・画面出力情報作成</t>
  </si>
  <si>
    <t xml:space="preserve">入力欄</t>
  </si>
  <si>
    <t xml:space="preserve">D6.disp.getInputPage(consName,subName)</t>
  </si>
  <si>
    <t xml:space="preserve">分野ごとの入力ページの生成(disp_input.js)</t>
  </si>
  <si>
    <t xml:space="preserve">consName:分野名</t>
  </si>
  <si>
    <t xml:space="preserve">subName:分野名-サブ分野名</t>
  </si>
  <si>
    <t xml:space="preserve">返り値</t>
  </si>
  <si>
    <t xml:space="preserve">group[cname]</t>
  </si>
  <si>
    <t xml:space="preserve">タブ名、cnameはconsShowに列挙されている消費名</t>
  </si>
  <si>
    <t xml:space="preserve">groupAddable[cname]</t>
  </si>
  <si>
    <t xml:space="preserve">加算可能なタブ名</t>
  </si>
  <si>
    <t xml:space="preserve">consName</t>
  </si>
  <si>
    <t xml:space="preserve">追加グループ名</t>
  </si>
  <si>
    <t xml:space="preserve">caption</t>
  </si>
  <si>
    <t xml:space="preserve">表示</t>
  </si>
  <si>
    <t xml:space="preserve">subgroup[cname]</t>
  </si>
  <si>
    <t xml:space="preserve">サブグループ名</t>
  </si>
  <si>
    <t xml:space="preserve">subguide[cname][subgroup]</t>
  </si>
  <si>
    <t xml:space="preserve">サブページのガイド</t>
  </si>
  <si>
    <t xml:space="preserve">combos[cname][subgroup]</t>
  </si>
  <si>
    <t xml:space="preserve">質問ごとのコンボボックスhtml (cnameはconsNameと一致している場合のみ</t>
  </si>
  <si>
    <t xml:space="preserve">分野名</t>
  </si>
  <si>
    <t xml:space="preserve">subName</t>
  </si>
  <si>
    <t xml:space="preserve">分野名-サブ分野名</t>
  </si>
  <si>
    <t xml:space="preserve">結果</t>
  </si>
  <si>
    <t xml:space="preserve">D6.disp.showResultTable(consName)</t>
  </si>
  <si>
    <t xml:space="preserve">結果一覧の表示（デマンド以外）</t>
  </si>
  <si>
    <t xml:space="preserve">graphItemize</t>
  </si>
  <si>
    <t xml:space="preserve">内訳グラフデータ</t>
  </si>
  <si>
    <t xml:space="preserve">D6.disp.showItemizeGraph(consCode, sort )</t>
  </si>
  <si>
    <t xml:space="preserve">graphMonthly</t>
  </si>
  <si>
    <t xml:space="preserve">月変化グラフ</t>
  </si>
  <si>
    <t xml:space="preserve">data[n]</t>
  </si>
  <si>
    <t xml:space="preserve">グラフの一要素</t>
  </si>
  <si>
    <t xml:space="preserve">item</t>
  </si>
  <si>
    <t xml:space="preserve">エネルギー種類</t>
  </si>
  <si>
    <t xml:space="preserve">cost</t>
  </si>
  <si>
    <t xml:space="preserve">yaxis</t>
  </si>
  <si>
    <t xml:space="preserve">Y軸の単位</t>
  </si>
  <si>
    <t xml:space="preserve">average</t>
  </si>
  <si>
    <t xml:space="preserve">平均値</t>
  </si>
  <si>
    <t xml:space="preserve">you</t>
  </si>
  <si>
    <t xml:space="preserve">あなたCO2</t>
  </si>
  <si>
    <t xml:space="preserve">after</t>
  </si>
  <si>
    <t xml:space="preserve">対策後CO2</t>
  </si>
  <si>
    <t xml:space="preserve">av</t>
  </si>
  <si>
    <t xml:space="preserve">平均CO2</t>
  </si>
  <si>
    <t xml:space="preserve">youc</t>
  </si>
  <si>
    <t xml:space="preserve">あなた金額</t>
  </si>
  <si>
    <t xml:space="preserve">afterc</t>
  </si>
  <si>
    <t xml:space="preserve">対策後金額</t>
  </si>
  <si>
    <t xml:space="preserve">avc</t>
  </si>
  <si>
    <t xml:space="preserve">平均金額</t>
  </si>
  <si>
    <t xml:space="preserve">rank100</t>
  </si>
  <si>
    <t xml:space="preserve">順位</t>
  </si>
  <si>
    <t xml:space="preserve">afterrank100</t>
  </si>
  <si>
    <t xml:space="preserve">対策後順位</t>
  </si>
  <si>
    <t xml:space="preserve">samehome</t>
  </si>
  <si>
    <t xml:space="preserve">同様の家庭に関する情報</t>
  </si>
  <si>
    <t xml:space="preserve">sameoffice</t>
  </si>
  <si>
    <t xml:space="preserve">同様の事業所に関する情報</t>
  </si>
  <si>
    <t xml:space="preserve">consCode</t>
  </si>
  <si>
    <t xml:space="preserve">消費コード</t>
  </si>
  <si>
    <t xml:space="preserve">cons[i]</t>
  </si>
  <si>
    <t xml:space="preserve">分野消費量：消費が多い分野順</t>
  </si>
  <si>
    <t xml:space="preserve">分野コード</t>
  </si>
  <si>
    <t xml:space="preserve">subID</t>
  </si>
  <si>
    <t xml:space="preserve">sumConsName</t>
  </si>
  <si>
    <t xml:space="preserve">集約側分野名</t>
  </si>
  <si>
    <t xml:space="preserve">sumCons2Name</t>
  </si>
  <si>
    <t xml:space="preserve">countCall </t>
  </si>
  <si>
    <t xml:space="preserve">CO2</t>
  </si>
  <si>
    <t xml:space="preserve">co2Total</t>
  </si>
  <si>
    <t xml:space="preserve">全体でのCO2</t>
  </si>
  <si>
    <t xml:space="preserve">electricity</t>
  </si>
  <si>
    <t xml:space="preserve">nightelectricity</t>
  </si>
  <si>
    <t xml:space="preserve">gas</t>
  </si>
  <si>
    <t xml:space="preserve">water</t>
  </si>
  <si>
    <t xml:space="preserve">kerosene</t>
  </si>
  <si>
    <t xml:space="preserve">car</t>
  </si>
  <si>
    <t xml:space="preserve">measure</t>
  </si>
  <si>
    <t xml:space="preserve">対策一覧</t>
  </si>
  <si>
    <t xml:space="preserve">mesID</t>
  </si>
  <si>
    <t xml:space="preserve">対策ID</t>
  </si>
  <si>
    <t xml:space="preserve">対策名</t>
  </si>
  <si>
    <t xml:space="preserve">selected</t>
  </si>
  <si>
    <t xml:space="preserve">選択中かどうか</t>
  </si>
  <si>
    <t xml:space="preserve">現在表示の消費名</t>
  </si>
  <si>
    <t xml:space="preserve">consconsName</t>
  </si>
  <si>
    <t xml:space="preserve">関連消費名</t>
  </si>
  <si>
    <t xml:space="preserve">conssumConsName</t>
  </si>
  <si>
    <t xml:space="preserve">関連消費の集約消費名</t>
  </si>
  <si>
    <t xml:space="preserve">conssumCons2Name</t>
  </si>
  <si>
    <t xml:space="preserve">co2ChangeOriginal</t>
  </si>
  <si>
    <t xml:space="preserve">CO2変化</t>
  </si>
  <si>
    <t xml:space="preserve">costChangeOriginal</t>
  </si>
  <si>
    <t xml:space="preserve">コスト変化</t>
  </si>
  <si>
    <t xml:space="preserve">conssubID </t>
  </si>
  <si>
    <t xml:space="preserve">分野のサブID</t>
  </si>
  <si>
    <t xml:space="preserve">consmesTitlePrefix</t>
  </si>
  <si>
    <t xml:space="preserve">relation</t>
  </si>
  <si>
    <t xml:space="preserve">他分野に関連付けられているか</t>
  </si>
  <si>
    <t xml:space="preserve">inpage</t>
  </si>
  <si>
    <t xml:space="preserve">内訳グラフの表示（showResultTableに含まれる）</t>
  </si>
  <si>
    <t xml:space="preserve">consCode:分野名コード</t>
  </si>
  <si>
    <t xml:space="preserve">sort:表示対象(CO2,Energy,cost)</t>
  </si>
  <si>
    <t xml:space="preserve">値(co2,jule,cost)</t>
  </si>
  <si>
    <t xml:space="preserve">percent</t>
  </si>
  <si>
    <t xml:space="preserve">割合</t>
  </si>
  <si>
    <t xml:space="preserve">category</t>
  </si>
  <si>
    <t xml:space="preserve">カテゴリー</t>
  </si>
  <si>
    <t xml:space="preserve">ord[n]</t>
  </si>
  <si>
    <t xml:space="preserve">分野の表示順</t>
  </si>
  <si>
    <t xml:space="preserve">clist[n]</t>
  </si>
  <si>
    <t xml:space="preserve">値？</t>
  </si>
  <si>
    <t xml:space="preserve">averageCaption</t>
  </si>
  <si>
    <t xml:space="preserve">平均値の表示</t>
  </si>
  <si>
    <t xml:space="preserve">captions</t>
  </si>
  <si>
    <t xml:space="preserve">カテゴリー名</t>
  </si>
  <si>
    <t xml:space="preserve">consTitle</t>
  </si>
  <si>
    <t xml:space="preserve">D6.disp.getInputDemandSumup()</t>
  </si>
  <si>
    <t xml:space="preserve">デマンド積み上げ入力</t>
  </si>
  <si>
    <t xml:space="preserve">data[consName][i][j]</t>
  </si>
  <si>
    <t xml:space="preserve">consName:消費カテゴリー名</t>
  </si>
  <si>
    <t xml:space="preserve">i:連番</t>
  </si>
  <si>
    <t xml:space="preserve">j:表示位置</t>
  </si>
  <si>
    <t xml:space="preserve">title[consName]</t>
  </si>
  <si>
    <t xml:space="preserve">D6.disp.getInputDemandLog()</t>
  </si>
  <si>
    <t xml:space="preserve">デマンド1時間毎入力</t>
  </si>
  <si>
    <t xml:space="preserve">demandlog[i]</t>
  </si>
  <si>
    <t xml:space="preserve">i時における数値入力欄</t>
  </si>
  <si>
    <t xml:space="preserve">D6.disp.getDemandGraph()</t>
  </si>
  <si>
    <t xml:space="preserve">デマンドグラフ</t>
  </si>
  <si>
    <t xml:space="preserve">log[time]</t>
  </si>
  <si>
    <t xml:space="preserve">時間ごとの値</t>
  </si>
  <si>
    <t xml:space="preserve">機器</t>
  </si>
  <si>
    <t xml:space="preserve">time</t>
  </si>
  <si>
    <t xml:space="preserve">時刻</t>
  </si>
  <si>
    <t xml:space="preserve">electricity(kW)</t>
  </si>
  <si>
    <t xml:space="preserve">消費電力</t>
  </si>
  <si>
    <t xml:space="preserve">sumup[i]</t>
  </si>
  <si>
    <t xml:space="preserve">機器ごとのグラフ</t>
  </si>
  <si>
    <t xml:space="preserve">clist</t>
  </si>
  <si>
    <t xml:space="preserve">色リスト</t>
  </si>
  <si>
    <t xml:space="preserve">対策情報</t>
  </si>
  <si>
    <t xml:space="preserve">D6.disp.getMeasureDetail(id)</t>
  </si>
  <si>
    <t xml:space="preserve">対策ごとの詳細情報</t>
  </si>
  <si>
    <t xml:space="preserve">id:対策ID</t>
  </si>
  <si>
    <t xml:space="preserve">measureName</t>
  </si>
  <si>
    <t xml:space="preserve">groupID</t>
  </si>
  <si>
    <t xml:space="preserve">total</t>
  </si>
  <si>
    <t xml:space="preserve">(cons.total)</t>
  </si>
  <si>
    <t xml:space="preserve">consTotal.co2</t>
  </si>
  <si>
    <t xml:space="preserve">co2Change</t>
  </si>
  <si>
    <t xml:space="preserve">jules</t>
  </si>
  <si>
    <t xml:space="preserve">costChange</t>
  </si>
  <si>
    <t xml:space="preserve">costTotalChange</t>
  </si>
  <si>
    <t xml:space="preserve">costTotalChangeOriginal</t>
  </si>
  <si>
    <t xml:space="preserve">costUnique</t>
  </si>
  <si>
    <t xml:space="preserve">priceOrg</t>
  </si>
  <si>
    <t xml:space="preserve">priceNew</t>
  </si>
  <si>
    <t xml:space="preserve">payBackYear</t>
  </si>
  <si>
    <t xml:space="preserve">電力会社コード</t>
  </si>
  <si>
    <t xml:space="preserve">Unit.asで定義</t>
  </si>
  <si>
    <t xml:space="preserve">電力会社名</t>
  </si>
  <si>
    <t xml:space="preserve">中国電力</t>
  </si>
  <si>
    <t xml:space="preserve">都道府県コード</t>
  </si>
  <si>
    <t xml:space="preserve">priceset.ｔxtでの設定値</t>
  </si>
  <si>
    <t xml:space="preserve">小数点1桁は電力会社</t>
  </si>
  <si>
    <t xml:space="preserve">電力会社が違う場合</t>
  </si>
  <si>
    <t xml:space="preserve">小数点2-3桁は地域変数</t>
  </si>
  <si>
    <t xml:space="preserve">予約</t>
  </si>
  <si>
    <t xml:space="preserve">電力会社関連</t>
  </si>
  <si>
    <t xml:space="preserve">気候条件（冷暖房月数、冷暖房時間帯別の冷暖房ウェイト）</t>
  </si>
  <si>
    <t xml:space="preserve">JISコード</t>
  </si>
  <si>
    <t xml:space="preserve">設定値</t>
  </si>
  <si>
    <t xml:space="preserve">都道府県名</t>
  </si>
  <si>
    <t xml:space="preserve">平均気温（℃）</t>
  </si>
  <si>
    <t xml:space="preserve">・資料出所　　気象庁｢気象庁年報｣</t>
  </si>
  <si>
    <t xml:space="preserve">現在都道府県別に設定－＞地域別に設定</t>
  </si>
  <si>
    <t xml:space="preserve">・調査時点　　平成19年</t>
  </si>
  <si>
    <t xml:space="preserve">・調査周期　　毎年</t>
  </si>
  <si>
    <t xml:space="preserve">・算出（注）　　数値は各都道府県の県庁所在地の気象官署の観測値。（ただし、埼玉県は熊谷市、</t>
  </si>
  <si>
    <t xml:space="preserve">・算出方法　　滋賀県は彦根市の気象官署の観測値)</t>
  </si>
  <si>
    <t xml:space="preserve">・算出方法　　※　全国は、47都道府県の算術平均</t>
  </si>
  <si>
    <t xml:space="preserve">福井（敦賀以北）</t>
  </si>
  <si>
    <t xml:space="preserve">福井（敦賀より西）</t>
  </si>
  <si>
    <t xml:space="preserve">岐阜（神岡等）</t>
  </si>
  <si>
    <t xml:space="preserve">静岡（富士川以東）</t>
  </si>
  <si>
    <t xml:space="preserve">静岡（富士川以西）</t>
  </si>
  <si>
    <t xml:space="preserve">三重（熊野以南）</t>
  </si>
  <si>
    <t xml:space="preserve">入力変数命名規則</t>
  </si>
  <si>
    <t xml:space="preserve">Ver2</t>
  </si>
  <si>
    <t xml:space="preserve">In+数字3桁＋（数字2桁）</t>
  </si>
  <si>
    <t xml:space="preserve">数字3桁の最初は、家庭分野コード（右）</t>
  </si>
  <si>
    <t xml:space="preserve">同じ内容で複数場面（機器）の入力がある場合には、数字2桁を加える</t>
  </si>
  <si>
    <t xml:space="preserve">同じ質問で選択肢がある場合には最後にaからのアルファベットを加える</t>
  </si>
  <si>
    <t xml:space="preserve">Web版</t>
  </si>
  <si>
    <t xml:space="preserve">保存内容</t>
  </si>
  <si>
    <t xml:space="preserve">選択肢（入力が選択・ラジオボタンの場合）</t>
  </si>
  <si>
    <t xml:space="preserve">画面・分野</t>
  </si>
  <si>
    <t xml:space="preserve">入力変数名</t>
  </si>
  <si>
    <t xml:space="preserve">設問</t>
  </si>
  <si>
    <t xml:space="preserve">重要</t>
  </si>
  <si>
    <t xml:space="preserve">選択肢・記入内容等の概要</t>
  </si>
  <si>
    <t xml:space="preserve">単位</t>
  </si>
  <si>
    <t xml:space="preserve">オブジェクト</t>
  </si>
  <si>
    <t xml:space="preserve">入力処理</t>
  </si>
  <si>
    <t xml:space="preserve">形式</t>
  </si>
  <si>
    <t xml:space="preserve">範囲</t>
  </si>
  <si>
    <t xml:space="preserve">初期値</t>
  </si>
  <si>
    <t xml:space="preserve">初期設定</t>
  </si>
  <si>
    <t xml:space="preserve">version</t>
  </si>
  <si>
    <t xml:space="preserve">－</t>
  </si>
  <si>
    <t xml:space="preserve">バージョン番号で入力不可、ソフトコンパイル時に設定</t>
  </si>
  <si>
    <t xml:space="preserve">アンケート1ページ目</t>
  </si>
  <si>
    <t xml:space="preserve">In001</t>
  </si>
  <si>
    <t xml:space="preserve">世帯人数</t>
  </si>
  <si>
    <t xml:space="preserve">○1</t>
  </si>
  <si>
    <t xml:space="preserve">text（右詰）</t>
  </si>
  <si>
    <t xml:space="preserve">数値変換</t>
  </si>
  <si>
    <t xml:space="preserve">familyName</t>
  </si>
  <si>
    <t xml:space="preserve">名前</t>
  </si>
  <si>
    <t xml:space="preserve">familyZip</t>
  </si>
  <si>
    <t xml:space="preserve">郵便番号</t>
  </si>
  <si>
    <t xml:space="preserve">familyAddress</t>
  </si>
  <si>
    <t xml:space="preserve">住所</t>
  </si>
  <si>
    <t xml:space="preserve">電力会社が違う場合は同じ都道府県でも別の選択肢。この場合には小数点以下の数値がある。</t>
  </si>
  <si>
    <t xml:space="preserve">0-47</t>
  </si>
  <si>
    <t xml:space="preserve">↓都道府県</t>
  </si>
  <si>
    <t xml:space="preserve">・</t>
  </si>
  <si>
    <t xml:space="preserve">47沖縄まで</t>
  </si>
  <si>
    <t xml:space="preserve">AreaOrg</t>
  </si>
  <si>
    <t xml:space="preserve">入力不可。都道府県設定の初期値</t>
  </si>
  <si>
    <t xml:space="preserve">Urban</t>
  </si>
  <si>
    <t xml:space="preserve">都市部・郊外</t>
  </si>
  <si>
    <t xml:space="preserve">都市部,郊外</t>
  </si>
  <si>
    <t xml:space="preserve">0-2</t>
  </si>
  <si>
    <t xml:space="preserve">↓選んで下さい</t>
  </si>
  <si>
    <t xml:space="preserve">都市部</t>
  </si>
  <si>
    <t xml:space="preserve">郊外</t>
  </si>
  <si>
    <t xml:space="preserve">In990</t>
  </si>
  <si>
    <t xml:space="preserve">温暖化防止・省エネ行動へのご協力</t>
  </si>
  <si>
    <t xml:space="preserve">診断の希望状況</t>
  </si>
  <si>
    <t xml:space="preserve">ラジオボタン</t>
  </si>
  <si>
    <t xml:space="preserve">true/false</t>
  </si>
  <si>
    <t xml:space="preserve">協力したい</t>
  </si>
  <si>
    <t xml:space="preserve">協力したくない</t>
  </si>
  <si>
    <t xml:space="preserve">In99101</t>
  </si>
  <si>
    <t xml:space="preserve">エコロジー度</t>
  </si>
  <si>
    <t xml:space="preserve">チェックボックス</t>
  </si>
  <si>
    <t xml:space="preserve">In99102</t>
  </si>
  <si>
    <t xml:space="preserve">家電製品の省エネ性能</t>
  </si>
  <si>
    <t xml:space="preserve">In99103</t>
  </si>
  <si>
    <t xml:space="preserve">交通・移動</t>
  </si>
  <si>
    <t xml:space="preserve">In99104</t>
  </si>
  <si>
    <t xml:space="preserve">お風呂、台所</t>
  </si>
  <si>
    <t xml:space="preserve">In99105</t>
  </si>
  <si>
    <t xml:space="preserve">In99106</t>
  </si>
  <si>
    <t xml:space="preserve">家屋の断熱性能</t>
  </si>
  <si>
    <t xml:space="preserve">In99107</t>
  </si>
  <si>
    <t xml:space="preserve">In992</t>
  </si>
  <si>
    <t xml:space="preserve">診断を希望する製品：</t>
  </si>
  <si>
    <t xml:space="preserve">In993</t>
  </si>
  <si>
    <t xml:space="preserve">その他の具体的内容</t>
  </si>
  <si>
    <t xml:space="preserve">In903</t>
  </si>
  <si>
    <t xml:space="preserve">家の造り</t>
  </si>
  <si>
    <t xml:space="preserve">★3の選択肢（ハイツ）は2010年度から使わない</t>
  </si>
  <si>
    <t xml:space="preserve">1,2,4</t>
  </si>
  <si>
    <t xml:space="preserve">一戸建て</t>
  </si>
  <si>
    <t xml:space="preserve">マンション</t>
  </si>
  <si>
    <t xml:space="preserve">In902</t>
  </si>
  <si>
    <t xml:space="preserve">持ち家ですか</t>
  </si>
  <si>
    <t xml:space="preserve">1,2</t>
  </si>
  <si>
    <t xml:space="preserve">持ち家でない</t>
  </si>
  <si>
    <t xml:space="preserve">In904</t>
  </si>
  <si>
    <t xml:space="preserve">屋根の日当たりがよい</t>
  </si>
  <si>
    <t xml:space="preserve">1-3</t>
  </si>
  <si>
    <t xml:space="preserve">少し陰る</t>
  </si>
  <si>
    <t xml:space="preserve">悪い</t>
  </si>
  <si>
    <t xml:space="preserve">In905</t>
  </si>
  <si>
    <t xml:space="preserve">太陽光発電（2kW以上）を設置していますか</t>
  </si>
  <si>
    <t xml:space="preserve">はい,いいえ</t>
  </si>
  <si>
    <t xml:space="preserve">True/False</t>
  </si>
  <si>
    <t xml:space="preserve">True:はい</t>
  </si>
  <si>
    <t xml:space="preserve">False:いいえ</t>
  </si>
  <si>
    <t xml:space="preserve">In925</t>
  </si>
  <si>
    <t xml:space="preserve">設置している太陽光発電の容量</t>
  </si>
  <si>
    <t xml:space="preserve">In917</t>
  </si>
  <si>
    <t xml:space="preserve">延べ床面積は</t>
  </si>
  <si>
    <t xml:space="preserve">15m2～165m2</t>
  </si>
  <si>
    <t xml:space="preserve">平方m</t>
  </si>
  <si>
    <t xml:space="preserve">○2</t>
  </si>
  <si>
    <t xml:space="preserve">-1-165</t>
  </si>
  <si>
    <t xml:space="preserve">15：5坪（15m2)</t>
  </si>
  <si>
    <t xml:space="preserve">30：10坪（30m2)</t>
  </si>
  <si>
    <t xml:space="preserve">50：15坪（50m2)</t>
  </si>
  <si>
    <t xml:space="preserve">65：20坪（65m2)</t>
  </si>
  <si>
    <t xml:space="preserve">100：30坪（100m2)</t>
  </si>
  <si>
    <t xml:space="preserve">130：40坪（130m2)</t>
  </si>
  <si>
    <t xml:space="preserve">165：50坪（165m2)以上</t>
  </si>
  <si>
    <t xml:space="preserve">-1:わからない</t>
  </si>
  <si>
    <t xml:space="preserve">In927</t>
  </si>
  <si>
    <t xml:space="preserve">建築年代は</t>
  </si>
  <si>
    <t xml:space="preserve">0-5</t>
  </si>
  <si>
    <t xml:space="preserve">昭和52（1977）年以前</t>
  </si>
  <si>
    <t xml:space="preserve">昭和53（1978）年～平成3（1991）年</t>
  </si>
  <si>
    <t xml:space="preserve">平成4（1992）年～平成12(2000)年</t>
  </si>
  <si>
    <t xml:space="preserve">平成13（2001）年以降</t>
  </si>
  <si>
    <t xml:space="preserve">In928</t>
  </si>
  <si>
    <t xml:space="preserve">公庫の割増融資を受けましたか</t>
  </si>
  <si>
    <t xml:space="preserve">★ ver2.07削除</t>
  </si>
  <si>
    <t xml:space="preserve">0-4</t>
  </si>
  <si>
    <t xml:space="preserve">割増融資を受けた</t>
  </si>
  <si>
    <t xml:space="preserve">融資を受けたが割増分はしていない</t>
  </si>
  <si>
    <t xml:space="preserve">融資を受けなかった</t>
  </si>
  <si>
    <t xml:space="preserve">In929</t>
  </si>
  <si>
    <t xml:space="preserve">建設時に断熱に配慮した設計としましたか</t>
  </si>
  <si>
    <t xml:space="preserve">とても配慮した</t>
  </si>
  <si>
    <t xml:space="preserve">一定配慮した</t>
  </si>
  <si>
    <t xml:space="preserve">少し配慮した</t>
  </si>
  <si>
    <t xml:space="preserve">考えなかった</t>
  </si>
  <si>
    <t xml:space="preserve">アンケート2ページ目</t>
  </si>
  <si>
    <t xml:space="preserve">In003</t>
  </si>
  <si>
    <t xml:space="preserve">ガスの種類</t>
  </si>
  <si>
    <t xml:space="preserve">0-3</t>
  </si>
  <si>
    <t xml:space="preserve">In005</t>
  </si>
  <si>
    <t xml:space="preserve">台所のコンロの熱源</t>
  </si>
  <si>
    <t xml:space="preserve">In007</t>
  </si>
  <si>
    <t xml:space="preserve">風呂の熱源</t>
  </si>
  <si>
    <t xml:space="preserve">In012</t>
  </si>
  <si>
    <t xml:space="preserve">電気の夜間料金契約をしている</t>
  </si>
  <si>
    <t xml:space="preserve">True:している</t>
  </si>
  <si>
    <t xml:space="preserve">False:していない</t>
  </si>
  <si>
    <t xml:space="preserve">In01101</t>
  </si>
  <si>
    <t xml:space="preserve">年平均電気代</t>
  </si>
  <si>
    <t xml:space="preserve">★使用しない（予約）</t>
  </si>
  <si>
    <t xml:space="preserve">整数</t>
  </si>
  <si>
    <t xml:space="preserve">In01301</t>
  </si>
  <si>
    <t xml:space="preserve">年平均ガス代</t>
  </si>
  <si>
    <t xml:space="preserve">In01401</t>
  </si>
  <si>
    <t xml:space="preserve">年平均灯油代</t>
  </si>
  <si>
    <t xml:space="preserve">In01502</t>
  </si>
  <si>
    <t xml:space="preserve">冬の1ヶ月のガソリン代</t>
  </si>
  <si>
    <t xml:space="preserve">In01503</t>
  </si>
  <si>
    <t xml:space="preserve">春・秋の1ヶ月のガソリン代</t>
  </si>
  <si>
    <t xml:space="preserve">In01504</t>
  </si>
  <si>
    <t xml:space="preserve">夏の1ヶ月のガソリン代</t>
  </si>
  <si>
    <t xml:space="preserve">In01102</t>
  </si>
  <si>
    <t xml:space="preserve">冬の1ヶ月の電気代</t>
  </si>
  <si>
    <t xml:space="preserve">太陽光発電を行っている場合には差額（実質購入している金額）。</t>
  </si>
  <si>
    <t xml:space="preserve">数値変換マイナス許可</t>
  </si>
  <si>
    <t xml:space="preserve">In01103</t>
  </si>
  <si>
    <t xml:space="preserve">春・秋の1ヶ月の電気代</t>
  </si>
  <si>
    <t xml:space="preserve">In01104</t>
  </si>
  <si>
    <t xml:space="preserve">夏の1ヶ月の電気代</t>
  </si>
  <si>
    <t xml:space="preserve">In01302</t>
  </si>
  <si>
    <t xml:space="preserve">冬の1ヶ月のガス代</t>
  </si>
  <si>
    <t xml:space="preserve">In01303</t>
  </si>
  <si>
    <t xml:space="preserve">春・秋の1ヶ月のガス代</t>
  </si>
  <si>
    <t xml:space="preserve">In01304</t>
  </si>
  <si>
    <t xml:space="preserve">夏の1ヶ月のガス代</t>
  </si>
  <si>
    <t xml:space="preserve">In01402</t>
  </si>
  <si>
    <t xml:space="preserve">冬の1ヶ月の灯油代・量</t>
  </si>
  <si>
    <t xml:space="preserve">In01403</t>
  </si>
  <si>
    <t xml:space="preserve">春・秋の1ヶ月の灯油代・量</t>
  </si>
  <si>
    <t xml:space="preserve">In01404</t>
  </si>
  <si>
    <t xml:space="preserve">夏の1ヶ月の灯油消費（円・L）</t>
  </si>
  <si>
    <t xml:space="preserve">In01501</t>
  </si>
  <si>
    <t xml:space="preserve">年平均ガソリン消費（円・L）</t>
  </si>
  <si>
    <t xml:space="preserve">In016</t>
  </si>
  <si>
    <t xml:space="preserve">ガソリンの単位</t>
  </si>
  <si>
    <t xml:space="preserve">↓選択</t>
  </si>
  <si>
    <t xml:space="preserve">リットル</t>
  </si>
  <si>
    <t xml:space="preserve">In017</t>
  </si>
  <si>
    <t xml:space="preserve">灯油の単位</t>
  </si>
  <si>
    <t xml:space="preserve">自動車の燃料</t>
  </si>
  <si>
    <t xml:space="preserve">軽油</t>
  </si>
  <si>
    <t xml:space="preserve">In106</t>
  </si>
  <si>
    <t xml:space="preserve">浴槽の大きさ</t>
  </si>
  <si>
    <t xml:space="preserve">1-400</t>
  </si>
  <si>
    <t xml:space="preserve">1:選んで下さい</t>
  </si>
  <si>
    <t xml:space="preserve">200:1人用</t>
  </si>
  <si>
    <t xml:space="preserve">300:1.5人用</t>
  </si>
  <si>
    <t xml:space="preserve">400:それ以上</t>
  </si>
  <si>
    <t xml:space="preserve">In10101</t>
  </si>
  <si>
    <t xml:space="preserve">浴槽にためる日数（夏）</t>
  </si>
  <si>
    <t xml:space="preserve">ためない～週7日</t>
  </si>
  <si>
    <t xml:space="preserve">日／週</t>
  </si>
  <si>
    <t xml:space="preserve">0-7</t>
  </si>
  <si>
    <t xml:space="preserve">0：ためない</t>
  </si>
  <si>
    <t xml:space="preserve">1：週1日</t>
  </si>
  <si>
    <t xml:space="preserve">2：週2日</t>
  </si>
  <si>
    <t xml:space="preserve">4：週3～5日</t>
  </si>
  <si>
    <t xml:space="preserve">7:毎日</t>
  </si>
  <si>
    <t xml:space="preserve">In10102</t>
  </si>
  <si>
    <t xml:space="preserve">浴槽にためる日数（夏以外）</t>
  </si>
  <si>
    <t xml:space="preserve">In10201</t>
  </si>
  <si>
    <t xml:space="preserve">家族全員でシャワーを使う時間（夏）</t>
  </si>
  <si>
    <t xml:space="preserve">0分（使わない）～60分　</t>
  </si>
  <si>
    <t xml:space="preserve">分</t>
  </si>
  <si>
    <t xml:space="preserve">0-60</t>
  </si>
  <si>
    <t xml:space="preserve">0：使わない</t>
  </si>
  <si>
    <t xml:space="preserve">5：5分</t>
  </si>
  <si>
    <t xml:space="preserve">10：10分</t>
  </si>
  <si>
    <t xml:space="preserve">15：15分</t>
  </si>
  <si>
    <t xml:space="preserve">20：20分</t>
  </si>
  <si>
    <t xml:space="preserve">30：30分</t>
  </si>
  <si>
    <t xml:space="preserve">40：40分</t>
  </si>
  <si>
    <t xml:space="preserve">60：60分</t>
  </si>
  <si>
    <t xml:space="preserve">In10202</t>
  </si>
  <si>
    <t xml:space="preserve">家族全員でシャワーを使う時間（夏以外）</t>
  </si>
  <si>
    <t xml:space="preserve">0分（使わない）～60分</t>
  </si>
  <si>
    <t xml:space="preserve">In104</t>
  </si>
  <si>
    <t xml:space="preserve">家族全員で洗面でお湯を使う時間</t>
  </si>
  <si>
    <t xml:space="preserve">In105</t>
  </si>
  <si>
    <t xml:space="preserve">洗面でお湯を使う期間</t>
  </si>
  <si>
    <t xml:space="preserve">0ヶ月～12ヶ月</t>
  </si>
  <si>
    <t xml:space="preserve">0-12</t>
  </si>
  <si>
    <t xml:space="preserve">2:2ヶ月</t>
  </si>
  <si>
    <t xml:space="preserve">4:4ヶ月</t>
  </si>
  <si>
    <t xml:space="preserve">6：6ヶ月</t>
  </si>
  <si>
    <t xml:space="preserve">8：8ヶ月</t>
  </si>
  <si>
    <t xml:space="preserve">10：10ヶ月</t>
  </si>
  <si>
    <t xml:space="preserve">12：12ヶ月</t>
  </si>
  <si>
    <t xml:space="preserve">In20101</t>
  </si>
  <si>
    <t xml:space="preserve">ふだん過ごすことの多い部屋の名前は（3ヶ所まで）</t>
  </si>
  <si>
    <t xml:space="preserve">ここに入力した内容が、冷暖房やテレビの部屋の名前になります</t>
  </si>
  <si>
    <t xml:space="preserve">In20102</t>
  </si>
  <si>
    <t xml:space="preserve">In20103</t>
  </si>
  <si>
    <t xml:space="preserve">In513</t>
  </si>
  <si>
    <t xml:space="preserve">居間で蛍光灯でなく白熱電球を使っていますか</t>
  </si>
  <si>
    <t xml:space="preserve">○3</t>
  </si>
  <si>
    <t xml:space="preserve">true:はい</t>
  </si>
  <si>
    <t xml:space="preserve">false：いいえ</t>
  </si>
  <si>
    <t xml:space="preserve">In514</t>
  </si>
  <si>
    <t xml:space="preserve">廊下や使っていない部屋をつけっぱなしにしていますか</t>
  </si>
  <si>
    <t xml:space="preserve">アンケート3ページ目</t>
  </si>
  <si>
    <t xml:space="preserve">In910</t>
  </si>
  <si>
    <t xml:space="preserve">よく冷暖房する範囲は</t>
  </si>
  <si>
    <t xml:space="preserve">0-6</t>
  </si>
  <si>
    <t xml:space="preserve">半分くらい</t>
  </si>
  <si>
    <t xml:space="preserve">一部の部屋</t>
  </si>
  <si>
    <t xml:space="preserve">部屋暖房をしない</t>
  </si>
  <si>
    <t xml:space="preserve">家全体（セントラル）</t>
  </si>
  <si>
    <t xml:space="preserve">In20309a</t>
  </si>
  <si>
    <t xml:space="preserve">部屋を暖房する器具として主に使っているか</t>
  </si>
  <si>
    <t xml:space="preserve">In20309c</t>
  </si>
  <si>
    <t xml:space="preserve">電気部屋暖房（電気ストーブ、セラミックファンヒータなど）</t>
  </si>
  <si>
    <t xml:space="preserve">〃</t>
  </si>
  <si>
    <t xml:space="preserve">In20309d</t>
  </si>
  <si>
    <t xml:space="preserve">ガス暖房（ガスストーブ、ガスファンヒータなど）</t>
  </si>
  <si>
    <t xml:space="preserve">In20309e</t>
  </si>
  <si>
    <t xml:space="preserve">灯油暖房（石油ストーブ、石油ファンヒータなど）</t>
  </si>
  <si>
    <t xml:space="preserve">In20309b</t>
  </si>
  <si>
    <t xml:space="preserve">夜間蓄熱式暖房（床暖房、床設置型など）</t>
  </si>
  <si>
    <t xml:space="preserve">In20309g</t>
  </si>
  <si>
    <t xml:space="preserve">ヒートポンプ式床暖房</t>
  </si>
  <si>
    <t xml:space="preserve">In20309h</t>
  </si>
  <si>
    <t xml:space="preserve">ガス床暖房</t>
  </si>
  <si>
    <t xml:space="preserve">In20309i</t>
  </si>
  <si>
    <t xml:space="preserve">石油床暖房</t>
  </si>
  <si>
    <t xml:space="preserve">In20309ｆ</t>
  </si>
  <si>
    <t xml:space="preserve">部屋暖房を使わない（こたつやホットカーペットのみ）</t>
  </si>
  <si>
    <t xml:space="preserve">In20409</t>
  </si>
  <si>
    <t xml:space="preserve">冬の暖房月数</t>
  </si>
  <si>
    <t xml:space="preserve">0ヶ月（使わない）～8ヶ月</t>
  </si>
  <si>
    <t xml:space="preserve">0-8</t>
  </si>
  <si>
    <t xml:space="preserve">1：1ヶ月</t>
  </si>
  <si>
    <t xml:space="preserve">2：2ヶ月</t>
  </si>
  <si>
    <t xml:space="preserve">3：3ヶ月</t>
  </si>
  <si>
    <t xml:space="preserve">4：4ヶ月</t>
  </si>
  <si>
    <t xml:space="preserve">5:5ヶ月</t>
  </si>
  <si>
    <t xml:space="preserve">In20509</t>
  </si>
  <si>
    <t xml:space="preserve">冬の暖房時間</t>
  </si>
  <si>
    <t xml:space="preserve">0時間～24時間</t>
  </si>
  <si>
    <t xml:space="preserve">0-24</t>
  </si>
  <si>
    <t xml:space="preserve">1：1時間</t>
  </si>
  <si>
    <t xml:space="preserve">2：2時間</t>
  </si>
  <si>
    <t xml:space="preserve">3：3時間</t>
  </si>
  <si>
    <t xml:space="preserve">4：4時間</t>
  </si>
  <si>
    <t xml:space="preserve">6：6時間</t>
  </si>
  <si>
    <t xml:space="preserve">8：8時間</t>
  </si>
  <si>
    <t xml:space="preserve">12：12時間</t>
  </si>
  <si>
    <t xml:space="preserve">16：16時間</t>
  </si>
  <si>
    <t xml:space="preserve">24：24時間</t>
  </si>
  <si>
    <t xml:space="preserve">In20609</t>
  </si>
  <si>
    <t xml:space="preserve">夏の冷房月</t>
  </si>
  <si>
    <t xml:space="preserve">0.5：半月</t>
  </si>
  <si>
    <t xml:space="preserve">In20709</t>
  </si>
  <si>
    <t xml:space="preserve">夏の冷房時間</t>
  </si>
  <si>
    <t xml:space="preserve">In60509</t>
  </si>
  <si>
    <t xml:space="preserve">テレビは合計で何時間点けていますか</t>
  </si>
  <si>
    <t xml:space="preserve">家にあるテレビの合計、ビデオ・ゲームも含む。0時間～24時間</t>
  </si>
  <si>
    <t xml:space="preserve">-1-24</t>
  </si>
  <si>
    <t xml:space="preserve">In31009</t>
  </si>
  <si>
    <t xml:space="preserve">ポットやジャーの保温をしていますか</t>
  </si>
  <si>
    <t xml:space="preserve">はい、いいえ</t>
  </si>
  <si>
    <t xml:space="preserve">In401</t>
  </si>
  <si>
    <t xml:space="preserve">洗濯機の乾燥機能、もしくは衣類乾燥機を使っていますか</t>
  </si>
  <si>
    <t xml:space="preserve">1：毎日</t>
  </si>
  <si>
    <t xml:space="preserve">2：2日に1回</t>
  </si>
  <si>
    <t xml:space="preserve">3：週1～2回</t>
  </si>
  <si>
    <t xml:space="preserve">4：月1～3回</t>
  </si>
  <si>
    <t xml:space="preserve">5：使わない</t>
  </si>
  <si>
    <t xml:space="preserve">6：持っていない</t>
  </si>
  <si>
    <t xml:space="preserve">In912</t>
  </si>
  <si>
    <t xml:space="preserve">冷蔵庫は何台ありますか</t>
  </si>
  <si>
    <t xml:space="preserve">台（使っている台数）、★0台は選べない</t>
  </si>
  <si>
    <t xml:space="preserve">6台</t>
  </si>
  <si>
    <t xml:space="preserve">In30201</t>
  </si>
  <si>
    <t xml:space="preserve">冷蔵庫使用年数</t>
  </si>
  <si>
    <t xml:space="preserve">1台目使用年数</t>
  </si>
  <si>
    <t xml:space="preserve">数値処理</t>
  </si>
  <si>
    <t xml:space="preserve">In30202</t>
  </si>
  <si>
    <t xml:space="preserve">2台目使用年数</t>
  </si>
  <si>
    <t xml:space="preserve">In30501</t>
  </si>
  <si>
    <t xml:space="preserve">1台目内容量　50～700リットル</t>
  </si>
  <si>
    <t xml:space="preserve">In30502</t>
  </si>
  <si>
    <t xml:space="preserve">2台目内容量　50～700リットル</t>
  </si>
  <si>
    <t xml:space="preserve">In911</t>
  </si>
  <si>
    <t xml:space="preserve">車は何台ありますか</t>
  </si>
  <si>
    <t xml:space="preserve">台数</t>
  </si>
  <si>
    <t xml:space="preserve">-1-6</t>
  </si>
  <si>
    <t xml:space="preserve">In81001</t>
  </si>
  <si>
    <t xml:space="preserve">主な行き先は</t>
  </si>
  <si>
    <t xml:space="preserve">行き先A</t>
  </si>
  <si>
    <t xml:space="preserve">In81002</t>
  </si>
  <si>
    <t xml:space="preserve">行き先B</t>
  </si>
  <si>
    <t xml:space="preserve">In81003</t>
  </si>
  <si>
    <t xml:space="preserve">行き先C</t>
  </si>
  <si>
    <t xml:space="preserve">In81004</t>
  </si>
  <si>
    <t xml:space="preserve">行き先D ※詳細入力で使用</t>
  </si>
  <si>
    <t xml:space="preserve">In81005</t>
  </si>
  <si>
    <t xml:space="preserve">行き先E ※詳細入力で使用</t>
  </si>
  <si>
    <t xml:space="preserve">In81101</t>
  </si>
  <si>
    <t xml:space="preserve">どの程度行きますか</t>
  </si>
  <si>
    <t xml:space="preserve">2：週5回</t>
  </si>
  <si>
    <t xml:space="preserve">3：週2～3回</t>
  </si>
  <si>
    <t xml:space="preserve">4：週1回</t>
  </si>
  <si>
    <t xml:space="preserve">5：月に2回</t>
  </si>
  <si>
    <t xml:space="preserve">6：月1回</t>
  </si>
  <si>
    <t xml:space="preserve">In81102</t>
  </si>
  <si>
    <t xml:space="preserve">In81103</t>
  </si>
  <si>
    <t xml:space="preserve">In81104</t>
  </si>
  <si>
    <t xml:space="preserve">In81105</t>
  </si>
  <si>
    <t xml:space="preserve">In812</t>
  </si>
  <si>
    <t xml:space="preserve">家から近い鉄道駅、バス停はどこですか</t>
  </si>
  <si>
    <t xml:space="preserve">In81201</t>
  </si>
  <si>
    <t xml:space="preserve">片道の距離</t>
  </si>
  <si>
    <t xml:space="preserve">In81202</t>
  </si>
  <si>
    <t xml:space="preserve">In81203</t>
  </si>
  <si>
    <t xml:space="preserve">In81204</t>
  </si>
  <si>
    <t xml:space="preserve">In81205</t>
  </si>
  <si>
    <t xml:space="preserve">In808</t>
  </si>
  <si>
    <t xml:space="preserve">主に使う車の燃費</t>
  </si>
  <si>
    <t xml:space="preserve">おおよその燃費（詳細は詳細入力）</t>
  </si>
  <si>
    <t xml:space="preserve">1：とてもいい（18km/L以上）</t>
  </si>
  <si>
    <t xml:space="preserve">2：いい（13～17km/L）</t>
  </si>
  <si>
    <t xml:space="preserve">3：ふつう（10～12km/L)</t>
  </si>
  <si>
    <t xml:space="preserve">4：少し悪い（7～9km/L)</t>
  </si>
  <si>
    <t xml:space="preserve">5：悪い（6km/L以下）</t>
  </si>
  <si>
    <t xml:space="preserve">6：わからない</t>
  </si>
  <si>
    <t xml:space="preserve">兵庫県設定（Web版のみ）</t>
  </si>
  <si>
    <t xml:space="preserve">taimen</t>
  </si>
  <si>
    <t xml:space="preserve">対面診断のアンケートを記入しますか</t>
  </si>
  <si>
    <t xml:space="preserve">web版で対面申込みアンケート直接記入者はtrue。郵送希望はfalse</t>
  </si>
  <si>
    <t xml:space="preserve">boolean</t>
  </si>
  <si>
    <t xml:space="preserve">Ture:Web記入申込み</t>
  </si>
  <si>
    <t xml:space="preserve">False：郵送希望</t>
  </si>
  <si>
    <t xml:space="preserve">familyTel</t>
  </si>
  <si>
    <t xml:space="preserve">電話番号</t>
  </si>
  <si>
    <t xml:space="preserve">Web申込みのみ</t>
  </si>
  <si>
    <t xml:space="preserve">テキスト</t>
  </si>
  <si>
    <t xml:space="preserve">familyYear</t>
  </si>
  <si>
    <t xml:space="preserve">年齢</t>
  </si>
  <si>
    <t xml:space="preserve">申込者の年齢</t>
  </si>
  <si>
    <t xml:space="preserve">familyTel2</t>
  </si>
  <si>
    <t xml:space="preserve">電話番号（連絡先）</t>
  </si>
  <si>
    <t xml:space="preserve">familyEmail</t>
  </si>
  <si>
    <t xml:space="preserve">e-mail</t>
  </si>
  <si>
    <t xml:space="preserve">familyPlace</t>
  </si>
  <si>
    <t xml:space="preserve">診断希望場所</t>
  </si>
  <si>
    <t xml:space="preserve">1:エコプラザ、2：地域、3：自宅</t>
  </si>
  <si>
    <t xml:space="preserve">エコプラザ</t>
  </si>
  <si>
    <t xml:space="preserve">地域</t>
  </si>
  <si>
    <t xml:space="preserve">自宅</t>
  </si>
  <si>
    <t xml:space="preserve">自動設定</t>
  </si>
  <si>
    <t xml:space="preserve">sindanDate</t>
  </si>
  <si>
    <t xml:space="preserve">診断日</t>
  </si>
  <si>
    <t xml:space="preserve">診断を行った日を自動記録</t>
  </si>
  <si>
    <t xml:space="preserve">自動入力</t>
  </si>
  <si>
    <t xml:space="preserve">enquateDate</t>
  </si>
  <si>
    <t xml:space="preserve">アンケート入力日</t>
  </si>
  <si>
    <t xml:space="preserve">入力をした日を自動記録</t>
  </si>
  <si>
    <t xml:space="preserve">冷暖房診断</t>
  </si>
  <si>
    <t xml:space="preserve">In20201</t>
  </si>
  <si>
    <t xml:space="preserve">1部屋目だけセントラルの選択肢がある　4畳半～30畳</t>
  </si>
  <si>
    <t xml:space="preserve">畳</t>
  </si>
  <si>
    <t xml:space="preserve">0-150</t>
  </si>
  <si>
    <t xml:space="preserve">7:"4畳半</t>
  </si>
  <si>
    <t xml:space="preserve">10:"6畳"</t>
  </si>
  <si>
    <t xml:space="preserve">13:"8畳"</t>
  </si>
  <si>
    <t xml:space="preserve">16:"10畳"</t>
  </si>
  <si>
    <t xml:space="preserve">19:"12畳"</t>
  </si>
  <si>
    <t xml:space="preserve">24:"15畳"</t>
  </si>
  <si>
    <t xml:space="preserve">32:"20畳"</t>
  </si>
  <si>
    <t xml:space="preserve">41:"25畳"</t>
  </si>
  <si>
    <t xml:space="preserve">49:"30畳"</t>
  </si>
  <si>
    <t xml:space="preserve">150:セントラル</t>
  </si>
  <si>
    <t xml:space="preserve">In20202</t>
  </si>
  <si>
    <t xml:space="preserve">2部屋目　4畳半～30畳</t>
  </si>
  <si>
    <t xml:space="preserve">0-49</t>
  </si>
  <si>
    <t xml:space="preserve">In20203</t>
  </si>
  <si>
    <t xml:space="preserve">3部屋目　4畳半～30畳</t>
  </si>
  <si>
    <t xml:space="preserve">In20801</t>
  </si>
  <si>
    <t xml:space="preserve">部屋にエアコンがありますか</t>
  </si>
  <si>
    <t xml:space="preserve">Ture:はい</t>
  </si>
  <si>
    <t xml:space="preserve">False：いいえ</t>
  </si>
  <si>
    <t xml:space="preserve">In20802</t>
  </si>
  <si>
    <t xml:space="preserve">In20803</t>
  </si>
  <si>
    <t xml:space="preserve">In20301</t>
  </si>
  <si>
    <t xml:space="preserve">暖房の種類</t>
  </si>
  <si>
    <t xml:space="preserve">1種類だけ選ぶ</t>
  </si>
  <si>
    <t xml:space="preserve">0:使わない</t>
  </si>
  <si>
    <t xml:space="preserve">1：エアコン</t>
  </si>
  <si>
    <t xml:space="preserve">2：蓄熱</t>
  </si>
  <si>
    <t xml:space="preserve">3：電気</t>
  </si>
  <si>
    <t xml:space="preserve">4：ガス</t>
  </si>
  <si>
    <t xml:space="preserve">5：灯油</t>
  </si>
  <si>
    <t xml:space="preserve">6:薪・ペレット</t>
  </si>
  <si>
    <t xml:space="preserve">In20302</t>
  </si>
  <si>
    <t xml:space="preserve">In20303</t>
  </si>
  <si>
    <t xml:space="preserve">In20401</t>
  </si>
  <si>
    <t xml:space="preserve">0ヶ月～8ヶ月</t>
  </si>
  <si>
    <t xml:space="preserve">-1-8</t>
  </si>
  <si>
    <t xml:space="preserve">5：5ヶ月</t>
  </si>
  <si>
    <t xml:space="preserve">In20402</t>
  </si>
  <si>
    <t xml:space="preserve">In20403</t>
  </si>
  <si>
    <t xml:space="preserve">In20501</t>
  </si>
  <si>
    <t xml:space="preserve">In20502</t>
  </si>
  <si>
    <t xml:space="preserve">In20503</t>
  </si>
  <si>
    <t xml:space="preserve">In20601</t>
  </si>
  <si>
    <t xml:space="preserve">0ヶ月～6ヶ月</t>
  </si>
  <si>
    <t xml:space="preserve">In20602</t>
  </si>
  <si>
    <t xml:space="preserve">In20603</t>
  </si>
  <si>
    <t xml:space="preserve">In20701</t>
  </si>
  <si>
    <t xml:space="preserve">In20702</t>
  </si>
  <si>
    <t xml:space="preserve">In20703</t>
  </si>
  <si>
    <t xml:space="preserve">In22301</t>
  </si>
  <si>
    <t xml:space="preserve">エアコン能力</t>
  </si>
  <si>
    <t xml:space="preserve">冷房能力</t>
  </si>
  <si>
    <t xml:space="preserve">0-10</t>
  </si>
  <si>
    <t xml:space="preserve">1:2.2kW</t>
  </si>
  <si>
    <t xml:space="preserve">2：2.5kW</t>
  </si>
  <si>
    <t xml:space="preserve">3：2.8kW</t>
  </si>
  <si>
    <t xml:space="preserve">4：3.6kW</t>
  </si>
  <si>
    <t xml:space="preserve">5：4.0kW</t>
  </si>
  <si>
    <t xml:space="preserve">6：4.5kW</t>
  </si>
  <si>
    <t xml:space="preserve">7：5.0kW</t>
  </si>
  <si>
    <t xml:space="preserve">8：5.6kW</t>
  </si>
  <si>
    <t xml:space="preserve">9：6.3kW</t>
  </si>
  <si>
    <t xml:space="preserve">10：7.1kW</t>
  </si>
  <si>
    <t xml:space="preserve">In22302</t>
  </si>
  <si>
    <t xml:space="preserve">In22303</t>
  </si>
  <si>
    <t xml:space="preserve">In20901</t>
  </si>
  <si>
    <t xml:space="preserve">エアコン使用年数</t>
  </si>
  <si>
    <t xml:space="preserve">In20902</t>
  </si>
  <si>
    <t xml:space="preserve">In20903</t>
  </si>
  <si>
    <t xml:space="preserve">In21001</t>
  </si>
  <si>
    <t xml:space="preserve">冷房COP</t>
  </si>
  <si>
    <t xml:space="preserve">Ver2.08以降値を直接尋ねないようにする</t>
  </si>
  <si>
    <t xml:space="preserve">In21002</t>
  </si>
  <si>
    <t xml:space="preserve">In21003</t>
  </si>
  <si>
    <t xml:space="preserve">In21101</t>
  </si>
  <si>
    <t xml:space="preserve">暖房COP</t>
  </si>
  <si>
    <t xml:space="preserve">In21102</t>
  </si>
  <si>
    <t xml:space="preserve">In21103</t>
  </si>
  <si>
    <t xml:space="preserve">In21201</t>
  </si>
  <si>
    <t xml:space="preserve">暖房温度</t>
  </si>
  <si>
    <t xml:space="preserve">0-26</t>
  </si>
  <si>
    <t xml:space="preserve">18：18℃</t>
  </si>
  <si>
    <t xml:space="preserve">19：19℃</t>
  </si>
  <si>
    <t xml:space="preserve">20：20℃</t>
  </si>
  <si>
    <t xml:space="preserve">21：21℃</t>
  </si>
  <si>
    <t xml:space="preserve">22：22℃</t>
  </si>
  <si>
    <t xml:space="preserve">23：23℃</t>
  </si>
  <si>
    <t xml:space="preserve">24：24℃</t>
  </si>
  <si>
    <t xml:space="preserve">25：25℃</t>
  </si>
  <si>
    <t xml:space="preserve">26：26℃</t>
  </si>
  <si>
    <t xml:space="preserve">In21202</t>
  </si>
  <si>
    <t xml:space="preserve">In21203</t>
  </si>
  <si>
    <t xml:space="preserve">In21301</t>
  </si>
  <si>
    <t xml:space="preserve">冷房温度</t>
  </si>
  <si>
    <t xml:space="preserve">0-30</t>
  </si>
  <si>
    <t xml:space="preserve">27：27℃</t>
  </si>
  <si>
    <t xml:space="preserve">28：28℃</t>
  </si>
  <si>
    <t xml:space="preserve">29：29℃</t>
  </si>
  <si>
    <t xml:space="preserve">30：30℃</t>
  </si>
  <si>
    <t xml:space="preserve">In21302</t>
  </si>
  <si>
    <t xml:space="preserve">In21303</t>
  </si>
  <si>
    <t xml:space="preserve">In21401</t>
  </si>
  <si>
    <t xml:space="preserve">フィルター掃除している</t>
  </si>
  <si>
    <t xml:space="preserve">In21402</t>
  </si>
  <si>
    <t xml:space="preserve">In21403</t>
  </si>
  <si>
    <t xml:space="preserve">In21601</t>
  </si>
  <si>
    <t xml:space="preserve">室外機が囲われている</t>
  </si>
  <si>
    <t xml:space="preserve">In21602</t>
  </si>
  <si>
    <t xml:space="preserve">In21603</t>
  </si>
  <si>
    <t xml:space="preserve">In22001</t>
  </si>
  <si>
    <t xml:space="preserve">窓・サッシの大きさ</t>
  </si>
  <si>
    <t xml:space="preserve">ガラス面の大きさ（m2）</t>
  </si>
  <si>
    <t xml:space="preserve">1.1：小窓（90×120）</t>
  </si>
  <si>
    <t xml:space="preserve">2.2：窓（120×180）</t>
  </si>
  <si>
    <t xml:space="preserve">3.6:窓（120×300）</t>
  </si>
  <si>
    <t xml:space="preserve">6.5:4枚サッシ（180×360）</t>
  </si>
  <si>
    <t xml:space="preserve">10:2面（180×540）</t>
  </si>
  <si>
    <t xml:space="preserve">In22002</t>
  </si>
  <si>
    <t xml:space="preserve">In22003</t>
  </si>
  <si>
    <t xml:space="preserve">In22101</t>
  </si>
  <si>
    <t xml:space="preserve">冷房時、西日があたりますか</t>
  </si>
  <si>
    <t xml:space="preserve">In22102</t>
  </si>
  <si>
    <t xml:space="preserve">In22103</t>
  </si>
  <si>
    <t xml:space="preserve">In21901</t>
  </si>
  <si>
    <t xml:space="preserve">窓にすだれなどをしていますか</t>
  </si>
  <si>
    <t xml:space="preserve">In21902</t>
  </si>
  <si>
    <t xml:space="preserve">In21903</t>
  </si>
  <si>
    <t xml:space="preserve">In221</t>
  </si>
  <si>
    <t xml:space="preserve">断熱材の確認（グラスウール換算）</t>
  </si>
  <si>
    <t xml:space="preserve">1部屋目のみ質問</t>
  </si>
  <si>
    <t xml:space="preserve">1:100mm相当</t>
  </si>
  <si>
    <t xml:space="preserve">2:50mm相当</t>
  </si>
  <si>
    <t xml:space="preserve">3：入っていない</t>
  </si>
  <si>
    <t xml:space="preserve">4：わからない</t>
  </si>
  <si>
    <t xml:space="preserve">5:200mm相当</t>
  </si>
  <si>
    <t xml:space="preserve">In22201</t>
  </si>
  <si>
    <t xml:space="preserve">部屋のしきりによる冷暖房面積の削減</t>
  </si>
  <si>
    <t xml:space="preserve">1:できない</t>
  </si>
  <si>
    <t xml:space="preserve">2:2割減</t>
  </si>
  <si>
    <t xml:space="preserve">3：3～4割減</t>
  </si>
  <si>
    <t xml:space="preserve">4：半減</t>
  </si>
  <si>
    <t xml:space="preserve">5：6～7割減</t>
  </si>
  <si>
    <t xml:space="preserve">In22202</t>
  </si>
  <si>
    <t xml:space="preserve">In22203</t>
  </si>
  <si>
    <t xml:space="preserve">In22401</t>
  </si>
  <si>
    <t xml:space="preserve">窓はペアガラスですか</t>
  </si>
  <si>
    <t xml:space="preserve">In22402</t>
  </si>
  <si>
    <t xml:space="preserve">In22403</t>
  </si>
  <si>
    <t xml:space="preserve">In22501</t>
  </si>
  <si>
    <t xml:space="preserve">エアコンは省エネ・高性能型ですか</t>
  </si>
  <si>
    <t xml:space="preserve">購入当時の性能</t>
  </si>
  <si>
    <t xml:space="preserve">1:省エネ・高性能型</t>
  </si>
  <si>
    <t xml:space="preserve">2:普及型</t>
  </si>
  <si>
    <t xml:space="preserve">3:わからない</t>
  </si>
  <si>
    <t xml:space="preserve">In22502</t>
  </si>
  <si>
    <t xml:space="preserve">In22503</t>
  </si>
  <si>
    <t xml:space="preserve">In30301</t>
  </si>
  <si>
    <t xml:space="preserve">ラベルの消費電力を書き写してください</t>
  </si>
  <si>
    <t xml:space="preserve">kWh/月or年</t>
  </si>
  <si>
    <t xml:space="preserve">In30302</t>
  </si>
  <si>
    <t xml:space="preserve">In30401</t>
  </si>
  <si>
    <t xml:space="preserve">消費電力単位　kWh/月</t>
  </si>
  <si>
    <t xml:space="preserve">True:kWh/月</t>
  </si>
  <si>
    <t xml:space="preserve">False：kWh/年</t>
  </si>
  <si>
    <t xml:space="preserve">In30402</t>
  </si>
  <si>
    <t xml:space="preserve">In31101</t>
  </si>
  <si>
    <t xml:space="preserve">測定法</t>
  </si>
  <si>
    <t xml:space="preserve">1:A法</t>
  </si>
  <si>
    <t xml:space="preserve">2:B法</t>
  </si>
  <si>
    <t xml:space="preserve">3:C法</t>
  </si>
  <si>
    <t xml:space="preserve">4：新JIS</t>
  </si>
  <si>
    <t xml:space="preserve">5：わからない</t>
  </si>
  <si>
    <t xml:space="preserve">In31102</t>
  </si>
  <si>
    <t xml:space="preserve">In30801</t>
  </si>
  <si>
    <t xml:space="preserve">側面裏のすきまはありますか</t>
  </si>
  <si>
    <t xml:space="preserve">In30802</t>
  </si>
  <si>
    <t xml:space="preserve">In30901</t>
  </si>
  <si>
    <t xml:space="preserve">温度設定</t>
  </si>
  <si>
    <t xml:space="preserve">1:高</t>
  </si>
  <si>
    <t xml:space="preserve">2:中</t>
  </si>
  <si>
    <t xml:space="preserve">3:低</t>
  </si>
  <si>
    <t xml:space="preserve">In30902</t>
  </si>
  <si>
    <t xml:space="preserve">1～4</t>
  </si>
  <si>
    <t xml:space="preserve">冷蔵庫使用年数(再掲）</t>
  </si>
  <si>
    <t xml:space="preserve">定格内容量（再掲）</t>
  </si>
  <si>
    <t xml:space="preserve">In50101</t>
  </si>
  <si>
    <t xml:space="preserve">1ヶ所目</t>
  </si>
  <si>
    <t xml:space="preserve">In50102</t>
  </si>
  <si>
    <t xml:space="preserve">2ヶ所目</t>
  </si>
  <si>
    <t xml:space="preserve">In50103</t>
  </si>
  <si>
    <t xml:space="preserve">3ヶ所目</t>
  </si>
  <si>
    <t xml:space="preserve">In50104</t>
  </si>
  <si>
    <t xml:space="preserve">4ヶ所目</t>
  </si>
  <si>
    <t xml:space="preserve">In50105</t>
  </si>
  <si>
    <t xml:space="preserve">5ヶ所目</t>
  </si>
  <si>
    <t xml:space="preserve">In50106</t>
  </si>
  <si>
    <t xml:space="preserve">6ヶ所目</t>
  </si>
  <si>
    <t xml:space="preserve">In51001</t>
  </si>
  <si>
    <t xml:space="preserve">1：既存蛍光灯</t>
  </si>
  <si>
    <t xml:space="preserve">2：細管蛍光灯</t>
  </si>
  <si>
    <t xml:space="preserve">3：電球型蛍光灯</t>
  </si>
  <si>
    <t xml:space="preserve">4：白熱電球（調光あり）</t>
  </si>
  <si>
    <t xml:space="preserve">5：白熱電球（センサーあり）</t>
  </si>
  <si>
    <t xml:space="preserve">6：白熱電球（通常機能）</t>
  </si>
  <si>
    <t xml:space="preserve">7：小型電球（E17未満）</t>
  </si>
  <si>
    <t xml:space="preserve">In51002</t>
  </si>
  <si>
    <t xml:space="preserve">In51003</t>
  </si>
  <si>
    <t xml:space="preserve">In51004</t>
  </si>
  <si>
    <t xml:space="preserve">In51005</t>
  </si>
  <si>
    <t xml:space="preserve">In51006</t>
  </si>
  <si>
    <t xml:space="preserve">In50301</t>
  </si>
  <si>
    <t xml:space="preserve">In50302</t>
  </si>
  <si>
    <t xml:space="preserve">In50303</t>
  </si>
  <si>
    <t xml:space="preserve">In50304</t>
  </si>
  <si>
    <t xml:space="preserve">In50305</t>
  </si>
  <si>
    <t xml:space="preserve">In50306</t>
  </si>
  <si>
    <t xml:space="preserve">In50401</t>
  </si>
  <si>
    <t xml:space="preserve">使用時間</t>
  </si>
  <si>
    <t xml:space="preserve">※0時間は選択できない</t>
  </si>
  <si>
    <t xml:space="preserve">・・・・・・</t>
  </si>
  <si>
    <t xml:space="preserve">24:24時間</t>
  </si>
  <si>
    <t xml:space="preserve">In50402</t>
  </si>
  <si>
    <t xml:space="preserve">In50403</t>
  </si>
  <si>
    <t xml:space="preserve">In50404</t>
  </si>
  <si>
    <t xml:space="preserve">In50405</t>
  </si>
  <si>
    <t xml:space="preserve">In50406</t>
  </si>
  <si>
    <t xml:space="preserve">12:12時間</t>
  </si>
  <si>
    <t xml:space="preserve">8:8時間</t>
  </si>
  <si>
    <t xml:space="preserve">6:6時間</t>
  </si>
  <si>
    <t xml:space="preserve">2:3時間未満</t>
  </si>
  <si>
    <t xml:space="preserve">0:していない</t>
  </si>
  <si>
    <t xml:space="preserve">In103</t>
  </si>
  <si>
    <t xml:space="preserve">温水器の種類</t>
  </si>
  <si>
    <t xml:space="preserve">1:電気温水器</t>
  </si>
  <si>
    <t xml:space="preserve">2:エコキュート</t>
  </si>
  <si>
    <t xml:space="preserve">3:ガス給湯器</t>
  </si>
  <si>
    <t xml:space="preserve">4:ガス給湯器（エコジョーズ）</t>
  </si>
  <si>
    <t xml:space="preserve">5：灯油ボイラー</t>
  </si>
  <si>
    <t xml:space="preserve">6：薪ボイラー</t>
  </si>
  <si>
    <t xml:space="preserve">In906</t>
  </si>
  <si>
    <t xml:space="preserve">太陽熱温水器を設置していますか</t>
  </si>
  <si>
    <t xml:space="preserve">In909</t>
  </si>
  <si>
    <t xml:space="preserve">In107</t>
  </si>
  <si>
    <t xml:space="preserve">In112</t>
  </si>
  <si>
    <t xml:space="preserve">断熱式の浴槽ですか</t>
  </si>
  <si>
    <t xml:space="preserve">In111</t>
  </si>
  <si>
    <t xml:space="preserve">食器洗い機を使っていますか</t>
  </si>
  <si>
    <t xml:space="preserve">In10801</t>
  </si>
  <si>
    <t xml:space="preserve">夏場食器洗いでお湯を使いますか</t>
  </si>
  <si>
    <t xml:space="preserve">In109</t>
  </si>
  <si>
    <t xml:space="preserve">風呂とは別に台所に温水器がありますか</t>
  </si>
  <si>
    <t xml:space="preserve">In110</t>
  </si>
  <si>
    <t xml:space="preserve">1日に何分くらい食器洗いでお湯を使いますか</t>
  </si>
  <si>
    <t xml:space="preserve">衣類乾燥</t>
  </si>
  <si>
    <t xml:space="preserve">In403</t>
  </si>
  <si>
    <t xml:space="preserve">梅雨に除湿器を使って乾燥することがありますか</t>
  </si>
  <si>
    <t xml:space="preserve">In404</t>
  </si>
  <si>
    <t xml:space="preserve">梅雨にストーブを使って乾燥することがありますか</t>
  </si>
  <si>
    <t xml:space="preserve">In405</t>
  </si>
  <si>
    <t xml:space="preserve">乾燥機はヒートポンプ式ですか</t>
  </si>
  <si>
    <t xml:space="preserve">1ヒートポンプ式</t>
  </si>
  <si>
    <t xml:space="preserve">2通常のもの</t>
  </si>
  <si>
    <t xml:space="preserve">3わからない</t>
  </si>
  <si>
    <t xml:space="preserve">4持っていない</t>
  </si>
  <si>
    <t xml:space="preserve">Ｉｎ70101</t>
  </si>
  <si>
    <t xml:space="preserve">台所の換気扇をどのくらいつけていますか</t>
  </si>
  <si>
    <t xml:space="preserve">★未実装</t>
  </si>
  <si>
    <t xml:space="preserve">0：使っていない</t>
  </si>
  <si>
    <t xml:space="preserve">Ｉｎ70102</t>
  </si>
  <si>
    <t xml:space="preserve">リビングの換気扇をどのくらいつけていますか</t>
  </si>
  <si>
    <t xml:space="preserve">Ｉｎ70103</t>
  </si>
  <si>
    <t xml:space="preserve">風呂の換気扇をどのくらいつけていますか</t>
  </si>
  <si>
    <t xml:space="preserve">In60101</t>
  </si>
  <si>
    <t xml:space="preserve">設置場所</t>
  </si>
  <si>
    <t xml:space="preserve">In60102</t>
  </si>
  <si>
    <t xml:space="preserve">In60103</t>
  </si>
  <si>
    <t xml:space="preserve">In60401</t>
  </si>
  <si>
    <t xml:space="preserve">タイプ</t>
  </si>
  <si>
    <t xml:space="preserve">1：デジタル液晶</t>
  </si>
  <si>
    <t xml:space="preserve">2：デジタルプラズマ</t>
  </si>
  <si>
    <t xml:space="preserve">3：アナログ液晶</t>
  </si>
  <si>
    <t xml:space="preserve">4：アナログブラウン管</t>
  </si>
  <si>
    <t xml:space="preserve">In60402</t>
  </si>
  <si>
    <t xml:space="preserve">In60403</t>
  </si>
  <si>
    <t xml:space="preserve">In60301</t>
  </si>
  <si>
    <t xml:space="preserve">大きさ（型・インチ）</t>
  </si>
  <si>
    <t xml:space="preserve">20インチ～51インチ以上</t>
  </si>
  <si>
    <t xml:space="preserve">0-55</t>
  </si>
  <si>
    <t xml:space="preserve">15：20インチ以下</t>
  </si>
  <si>
    <t xml:space="preserve">25：21～30インチ</t>
  </si>
  <si>
    <t xml:space="preserve">35：31～40インチ</t>
  </si>
  <si>
    <t xml:space="preserve">45:41～50インチ</t>
  </si>
  <si>
    <t xml:space="preserve">55:51インチ以上</t>
  </si>
  <si>
    <t xml:space="preserve">In60302</t>
  </si>
  <si>
    <t xml:space="preserve">In60303</t>
  </si>
  <si>
    <t xml:space="preserve">In60201</t>
  </si>
  <si>
    <t xml:space="preserve">In60202</t>
  </si>
  <si>
    <t xml:space="preserve">In60203</t>
  </si>
  <si>
    <t xml:space="preserve">In60501</t>
  </si>
  <si>
    <t xml:space="preserve">1日の使用時間</t>
  </si>
  <si>
    <t xml:space="preserve">In60502</t>
  </si>
  <si>
    <t xml:space="preserve">In60503</t>
  </si>
  <si>
    <t xml:space="preserve">In60601</t>
  </si>
  <si>
    <t xml:space="preserve">画面明るさ設定</t>
  </si>
  <si>
    <t xml:space="preserve">1：明るい</t>
  </si>
  <si>
    <t xml:space="preserve">2：標準</t>
  </si>
  <si>
    <t xml:space="preserve">3：控えめ</t>
  </si>
  <si>
    <t xml:space="preserve">4：自動</t>
  </si>
  <si>
    <t xml:space="preserve">5：特に設定していない</t>
  </si>
  <si>
    <t xml:space="preserve">In60602</t>
  </si>
  <si>
    <t xml:space="preserve">In60603</t>
  </si>
  <si>
    <t xml:space="preserve">In310</t>
  </si>
  <si>
    <t xml:space="preserve">0:↓選んで下さい</t>
  </si>
  <si>
    <t xml:space="preserve">0：しない</t>
  </si>
  <si>
    <t xml:space="preserve">4:6時間程度</t>
  </si>
  <si>
    <t xml:space="preserve">12:12時間程度</t>
  </si>
  <si>
    <t xml:space="preserve">In311</t>
  </si>
  <si>
    <t xml:space="preserve">電気ポットの保温をしていますか</t>
  </si>
  <si>
    <t xml:space="preserve">※番号が重複（枝番があると冷蔵庫の個別測定方法）</t>
  </si>
  <si>
    <t xml:space="preserve">In313</t>
  </si>
  <si>
    <t xml:space="preserve">1：省エネタイプ</t>
  </si>
  <si>
    <t xml:space="preserve">2:通常のもの</t>
  </si>
  <si>
    <t xml:space="preserve">In702</t>
  </si>
  <si>
    <t xml:space="preserve">1：通年している</t>
  </si>
  <si>
    <t xml:space="preserve">2：夏以外している</t>
  </si>
  <si>
    <t xml:space="preserve">3：冬のみしている</t>
  </si>
  <si>
    <t xml:space="preserve">4していない</t>
  </si>
  <si>
    <t xml:space="preserve">In703</t>
  </si>
  <si>
    <t xml:space="preserve">1：高め</t>
  </si>
  <si>
    <t xml:space="preserve">2：ふつう</t>
  </si>
  <si>
    <t xml:space="preserve">3：低め</t>
  </si>
  <si>
    <t xml:space="preserve">In704</t>
  </si>
  <si>
    <t xml:space="preserve">In705</t>
  </si>
  <si>
    <t xml:space="preserve">In706</t>
  </si>
  <si>
    <t xml:space="preserve">電気器具の待機電力を減らすためコンセントから抜いていますか</t>
  </si>
  <si>
    <t xml:space="preserve">Ｉｎ802</t>
  </si>
  <si>
    <t xml:space="preserve">1：いつもしている</t>
  </si>
  <si>
    <t xml:space="preserve">2：時々している</t>
  </si>
  <si>
    <t xml:space="preserve">3：していない</t>
  </si>
  <si>
    <t xml:space="preserve">Ｉｎ803</t>
  </si>
  <si>
    <t xml:space="preserve">In81501</t>
  </si>
  <si>
    <t xml:space="preserve">車の名前</t>
  </si>
  <si>
    <t xml:space="preserve">車A</t>
  </si>
  <si>
    <t xml:space="preserve">In81502</t>
  </si>
  <si>
    <t xml:space="preserve">車B</t>
  </si>
  <si>
    <t xml:space="preserve">In81503</t>
  </si>
  <si>
    <t xml:space="preserve">車C</t>
  </si>
  <si>
    <t xml:space="preserve">In80801</t>
  </si>
  <si>
    <t xml:space="preserve">km/L</t>
  </si>
  <si>
    <t xml:space="preserve">In80802</t>
  </si>
  <si>
    <t xml:space="preserve">In80803</t>
  </si>
  <si>
    <t xml:space="preserve">In81001～05</t>
  </si>
  <si>
    <t xml:space="preserve">地点・施設名</t>
  </si>
  <si>
    <t xml:space="preserve">※アンケートと重複</t>
  </si>
  <si>
    <t xml:space="preserve">In81101～05</t>
  </si>
  <si>
    <t xml:space="preserve">1～7</t>
  </si>
  <si>
    <t xml:space="preserve">7：年1回</t>
  </si>
  <si>
    <t xml:space="preserve">In81601</t>
  </si>
  <si>
    <t xml:space="preserve">使用する車の番号</t>
  </si>
  <si>
    <t xml:space="preserve">使う車の記号</t>
  </si>
  <si>
    <t xml:space="preserve">A</t>
  </si>
  <si>
    <t xml:space="preserve">B</t>
  </si>
  <si>
    <t xml:space="preserve">C</t>
  </si>
  <si>
    <t xml:space="preserve">In81602</t>
  </si>
  <si>
    <t xml:space="preserve">In81603</t>
  </si>
  <si>
    <t xml:space="preserve">In81604</t>
  </si>
  <si>
    <t xml:space="preserve">In81605</t>
  </si>
  <si>
    <t xml:space="preserve">In81701</t>
  </si>
  <si>
    <t xml:space="preserve">代替交通の種類</t>
  </si>
  <si>
    <t xml:space="preserve">鉄道</t>
  </si>
  <si>
    <t xml:space="preserve">バス</t>
  </si>
  <si>
    <t xml:space="preserve">電動自転車</t>
  </si>
  <si>
    <t xml:space="preserve">徒歩</t>
  </si>
  <si>
    <t xml:space="preserve">In81702</t>
  </si>
  <si>
    <t xml:space="preserve">In81703</t>
  </si>
  <si>
    <t xml:space="preserve">In81704</t>
  </si>
  <si>
    <t xml:space="preserve">In81705</t>
  </si>
  <si>
    <t xml:space="preserve">In920</t>
  </si>
  <si>
    <t xml:space="preserve">陸屋根ですか</t>
  </si>
  <si>
    <t xml:space="preserve">チェックボタン</t>
  </si>
  <si>
    <t xml:space="preserve">In923</t>
  </si>
  <si>
    <t xml:space="preserve">屋根の傾斜角度</t>
  </si>
  <si>
    <t xml:space="preserve">1～3</t>
  </si>
  <si>
    <t xml:space="preserve">20度なだらかな傾斜</t>
  </si>
  <si>
    <t xml:space="preserve">30度標準的な傾斜</t>
  </si>
  <si>
    <t xml:space="preserve">40度やや急な傾斜</t>
  </si>
  <si>
    <t xml:space="preserve">In921</t>
  </si>
  <si>
    <t xml:space="preserve">主に設置できる方向は</t>
  </si>
  <si>
    <t xml:space="preserve">1～6</t>
  </si>
  <si>
    <t xml:space="preserve">1：東</t>
  </si>
  <si>
    <t xml:space="preserve">2：南東</t>
  </si>
  <si>
    <t xml:space="preserve">3：南</t>
  </si>
  <si>
    <t xml:space="preserve">4：南西</t>
  </si>
  <si>
    <t xml:space="preserve">5：西</t>
  </si>
  <si>
    <t xml:space="preserve">6：北</t>
  </si>
  <si>
    <t xml:space="preserve">In922</t>
  </si>
  <si>
    <t xml:space="preserve">どの程度設置できますか</t>
  </si>
  <si>
    <t xml:space="preserve">1：3kW（18畳）</t>
  </si>
  <si>
    <t xml:space="preserve">2：4kW（24畳）</t>
  </si>
  <si>
    <t xml:space="preserve">3：5kW（30畳）</t>
  </si>
  <si>
    <t xml:space="preserve">4：6kW（36畳）</t>
  </si>
  <si>
    <t xml:space="preserve">5:2kW（12畳）</t>
  </si>
  <si>
    <t xml:space="preserve">In924</t>
  </si>
  <si>
    <t xml:space="preserve">昼間在宅している人がいますか</t>
  </si>
  <si>
    <t xml:space="preserve">1：いつもいる</t>
  </si>
  <si>
    <t xml:space="preserve">2：時々いる</t>
  </si>
  <si>
    <t xml:space="preserve">3：週1～2日いる</t>
  </si>
  <si>
    <t xml:space="preserve">4：いない</t>
  </si>
  <si>
    <t xml:space="preserve">In926</t>
  </si>
  <si>
    <t xml:space="preserve">これから設置する太陽光発電の容量</t>
  </si>
  <si>
    <t xml:space="preserve">※太陽光発電の「元が取れる？」画面入力</t>
  </si>
  <si>
    <t xml:space="preserve">診断員報告</t>
  </si>
  <si>
    <t xml:space="preserve">Rep_adviserName</t>
  </si>
  <si>
    <t xml:space="preserve">診断員名</t>
  </si>
  <si>
    <t xml:space="preserve">Rep_statTime</t>
  </si>
  <si>
    <t xml:space="preserve">診断開始時刻</t>
  </si>
  <si>
    <t xml:space="preserve">Rep_endTime</t>
  </si>
  <si>
    <t xml:space="preserve">診断終了時刻</t>
  </si>
  <si>
    <t xml:space="preserve">Rep_dependTime</t>
  </si>
  <si>
    <t xml:space="preserve">要した時間</t>
  </si>
  <si>
    <t xml:space="preserve">Rep_delayReason</t>
  </si>
  <si>
    <t xml:space="preserve">遅れた理由</t>
  </si>
  <si>
    <t xml:space="preserve">Rep_numberPerson</t>
  </si>
  <si>
    <t xml:space="preserve">立ち会い人数</t>
  </si>
  <si>
    <t xml:space="preserve">1～10:0</t>
  </si>
  <si>
    <t xml:space="preserve">Rep_person1</t>
  </si>
  <si>
    <t xml:space="preserve">説明を受けた人　ご主人</t>
  </si>
  <si>
    <t xml:space="preserve">Rep_person2</t>
  </si>
  <si>
    <t xml:space="preserve">奥様</t>
  </si>
  <si>
    <t xml:space="preserve">Rep_person3</t>
  </si>
  <si>
    <t xml:space="preserve">お子さま</t>
  </si>
  <si>
    <t xml:space="preserve">Rep_person4</t>
  </si>
  <si>
    <t xml:space="preserve">おじいさま</t>
  </si>
  <si>
    <t xml:space="preserve">Rep_person5</t>
  </si>
  <si>
    <t xml:space="preserve">おばあさま</t>
  </si>
  <si>
    <t xml:space="preserve">Rep_person6</t>
  </si>
  <si>
    <t xml:space="preserve">ご友人その他</t>
  </si>
  <si>
    <t xml:space="preserve">Rep_personOther</t>
  </si>
  <si>
    <t xml:space="preserve">その他を具体的に</t>
  </si>
  <si>
    <t xml:space="preserve">Rep_adviceOther</t>
  </si>
  <si>
    <t xml:space="preserve">診断項目以外で提案した内容</t>
  </si>
  <si>
    <t xml:space="preserve">Rep_impression</t>
  </si>
  <si>
    <t xml:space="preserve">所　見（全般的な感想。診断結果、提案に対するモニターの反応、行動改善への手ごたえ等）</t>
  </si>
  <si>
    <t xml:space="preserve">Rep_improve</t>
  </si>
  <si>
    <t xml:space="preserve">診断実施に当たって問題だと感じた点、および改善提案</t>
  </si>
  <si>
    <t xml:space="preserve">Rep_demand</t>
  </si>
  <si>
    <t xml:space="preserve">モニターからの要望（あった場合）自由記入</t>
  </si>
  <si>
    <t xml:space="preserve">Rep_other</t>
  </si>
  <si>
    <t xml:space="preserve">その他（雑感、各種要望等なんでも）</t>
  </si>
  <si>
    <t xml:space="preserve">Rep_pc</t>
  </si>
  <si>
    <t xml:space="preserve">PC異常</t>
  </si>
  <si>
    <t xml:space="preserve">ローン提案書</t>
  </si>
  <si>
    <t xml:space="preserve">Roan1</t>
  </si>
  <si>
    <t xml:space="preserve">エアコン　★現在は使わない</t>
  </si>
  <si>
    <t xml:space="preserve">★現在はつかわない</t>
  </si>
  <si>
    <t xml:space="preserve">Roan2</t>
  </si>
  <si>
    <t xml:space="preserve">冷蔵庫　★現在は使わない</t>
  </si>
  <si>
    <t xml:space="preserve">Roan3</t>
  </si>
  <si>
    <t xml:space="preserve">テレビ　★現在は使わない</t>
  </si>
  <si>
    <t xml:space="preserve">Roan4</t>
  </si>
  <si>
    <t xml:space="preserve">★現在は使わない</t>
  </si>
  <si>
    <t xml:space="preserve">Roan5</t>
  </si>
  <si>
    <t xml:space="preserve">Roan6</t>
  </si>
  <si>
    <t xml:space="preserve">Roan7</t>
  </si>
  <si>
    <t xml:space="preserve">Roan8</t>
  </si>
  <si>
    <t xml:space="preserve">Roan9</t>
  </si>
  <si>
    <t xml:space="preserve">Roan10</t>
  </si>
  <si>
    <t xml:space="preserve">Roan11</t>
  </si>
  <si>
    <t xml:space="preserve">Roan12</t>
  </si>
  <si>
    <t xml:space="preserve">Roan13</t>
  </si>
  <si>
    <t xml:space="preserve">Roan14</t>
  </si>
  <si>
    <t xml:space="preserve">Roan_riritsu</t>
  </si>
  <si>
    <t xml:space="preserve">ローン利率</t>
  </si>
  <si>
    <t xml:space="preserve">％</t>
  </si>
  <si>
    <t xml:space="preserve">Roan_atama</t>
  </si>
  <si>
    <t xml:space="preserve">頭金</t>
  </si>
  <si>
    <t xml:space="preserve">Roan_kaisu</t>
  </si>
  <si>
    <t xml:space="preserve">支払回数</t>
  </si>
  <si>
    <t xml:space="preserve">回</t>
  </si>
  <si>
    <t xml:space="preserve">12-180</t>
  </si>
  <si>
    <t xml:space="preserve">12:12回</t>
  </si>
  <si>
    <t xml:space="preserve">24:24回</t>
  </si>
  <si>
    <t xml:space="preserve">36:36回</t>
  </si>
  <si>
    <t xml:space="preserve">48:48回</t>
  </si>
  <si>
    <t xml:space="preserve">60:60回</t>
  </si>
  <si>
    <t xml:space="preserve">120:120回</t>
  </si>
  <si>
    <t xml:space="preserve">180:180回</t>
  </si>
  <si>
    <t xml:space="preserve">Roan_hojo_lg</t>
  </si>
  <si>
    <t xml:space="preserve">自治体の補助金</t>
  </si>
  <si>
    <t xml:space="preserve">PV_hojo_lg</t>
  </si>
  <si>
    <t xml:space="preserve">太陽光の自治体補助金</t>
  </si>
  <si>
    <t xml:space="preserve">PV_hojo_lg_max</t>
  </si>
  <si>
    <t xml:space="preserve">太陽光の自治体補助金　最大額</t>
  </si>
  <si>
    <t xml:space="preserve">PV_hojo_cg</t>
  </si>
  <si>
    <t xml:space="preserve">太陽光の国補助金</t>
  </si>
  <si>
    <t xml:space="preserve">PV_hojo_cg_max</t>
  </si>
  <si>
    <t xml:space="preserve">太陽光の国補助金　最大額</t>
  </si>
  <si>
    <t xml:space="preserve">PV_price</t>
  </si>
  <si>
    <t xml:space="preserve">設置単価</t>
  </si>
  <si>
    <t xml:space="preserve">円/kW</t>
  </si>
  <si>
    <t xml:space="preserve">PV_cons_down</t>
  </si>
  <si>
    <t xml:space="preserve">省エネ率</t>
  </si>
  <si>
    <t xml:space="preserve">5-20</t>
  </si>
  <si>
    <t xml:space="preserve">5:5%</t>
  </si>
  <si>
    <t xml:space="preserve">10:10%</t>
  </si>
  <si>
    <t xml:space="preserve">15:15%</t>
  </si>
  <si>
    <t xml:space="preserve">20:20%</t>
  </si>
  <si>
    <t xml:space="preserve">PV_maintain</t>
  </si>
  <si>
    <t xml:space="preserve">10年ごとのメンテナンス費</t>
  </si>
  <si>
    <t xml:space="preserve">対策結果</t>
  </si>
  <si>
    <t xml:space="preserve">co2start</t>
  </si>
  <si>
    <t xml:space="preserve">CO2排出量の初期値</t>
  </si>
  <si>
    <t xml:space="preserve">kg/年</t>
  </si>
  <si>
    <t xml:space="preserve">-</t>
  </si>
  <si>
    <t xml:space="preserve">co2_end</t>
  </si>
  <si>
    <t xml:space="preserve">対策後のCO2 排出量</t>
  </si>
  <si>
    <t xml:space="preserve">rankstart</t>
  </si>
  <si>
    <t xml:space="preserve">100世帯中順位の初期値</t>
  </si>
  <si>
    <t xml:space="preserve">rankend</t>
  </si>
  <si>
    <t xml:space="preserve">100世帯中順位の対策後の値</t>
  </si>
  <si>
    <t xml:space="preserve">snTargetLevel</t>
  </si>
  <si>
    <t xml:space="preserve">目標レベル</t>
  </si>
  <si>
    <t xml:space="preserve">目標設定画面で設定　0:0％削減、1：25％削減、2:50％削減、3:80％削減</t>
  </si>
  <si>
    <t xml:space="preserve">selectedMesString</t>
  </si>
  <si>
    <t xml:space="preserve">選択対策</t>
  </si>
  <si>
    <t xml:space="preserve">自動設定　選択された対策番号を3桁ずつ文字列にして記録</t>
  </si>
  <si>
    <t xml:space="preserve">画面</t>
  </si>
  <si>
    <t xml:space="preserve">タイミング</t>
  </si>
  <si>
    <t xml:space="preserve">処理</t>
  </si>
  <si>
    <t xml:space="preserve">関数</t>
  </si>
  <si>
    <t xml:space="preserve">関数変更</t>
  </si>
  <si>
    <t xml:space="preserve">渡す変数</t>
  </si>
  <si>
    <t xml:space="preserve">その後の処理</t>
  </si>
  <si>
    <t xml:space="preserve">起動画面</t>
  </si>
  <si>
    <t xml:space="preserve">起動時</t>
  </si>
  <si>
    <t xml:space="preserve">データ読込</t>
  </si>
  <si>
    <t xml:space="preserve">data.inp.load()</t>
  </si>
  <si>
    <t xml:space="preserve">data.inp.load_start();</t>
  </si>
  <si>
    <t xml:space="preserve">ファイルがあれば、名前・人数を表示して、「結果」表示のラジオボタンを設定</t>
  </si>
  <si>
    <t xml:space="preserve">新規入力</t>
  </si>
  <si>
    <t xml:space="preserve">新規入力ボタン</t>
  </si>
  <si>
    <t xml:space="preserve">データ消去</t>
  </si>
  <si>
    <t xml:space="preserve">data.dataClear();</t>
  </si>
  <si>
    <t xml:space="preserve">data.inp.inputClear();</t>
  </si>
  <si>
    <t xml:space="preserve">data.inp.homeInfoSet(mc)</t>
  </si>
  <si>
    <t xml:space="preserve">data.disp.homeInfoSet(mc)</t>
  </si>
  <si>
    <t xml:space="preserve">表示するmc</t>
  </si>
  <si>
    <t xml:space="preserve">ファイル呼出</t>
  </si>
  <si>
    <t xml:space="preserve">呼出ボタン</t>
  </si>
  <si>
    <t xml:space="preserve">呼出</t>
  </si>
  <si>
    <t xml:space="preserve">data.inp.load();</t>
  </si>
  <si>
    <t xml:space="preserve">アンケート入力</t>
  </si>
  <si>
    <t xml:space="preserve">表示されたとき</t>
  </si>
  <si>
    <t xml:space="preserve">データ表示</t>
  </si>
  <si>
    <t xml:space="preserve">data.inp.inputComponentSetOne( this.p1_mc );</t>
  </si>
  <si>
    <t xml:space="preserve">data.disp.inputAllSet();</t>
  </si>
  <si>
    <t xml:space="preserve">変数を元に画面表示</t>
  </si>
  <si>
    <t xml:space="preserve">data.inp.inputComponentSetOne( this.p2_mc );</t>
  </si>
  <si>
    <t xml:space="preserve">data.inp.inputComponentSetOne( this.p3_mc );</t>
  </si>
  <si>
    <t xml:space="preserve">消去ボタン</t>
  </si>
  <si>
    <t xml:space="preserve">値を消去したのち、画面を表示する</t>
  </si>
  <si>
    <t xml:space="preserve">保存と結果ボタン</t>
  </si>
  <si>
    <t xml:space="preserve">ファイル保存</t>
  </si>
  <si>
    <t xml:space="preserve">data.inp.save();</t>
  </si>
  <si>
    <t xml:space="preserve">保存して次へ</t>
  </si>
  <si>
    <t xml:space="preserve">UIコンポーネント変更</t>
  </si>
  <si>
    <t xml:space="preserve">変数保存</t>
  </si>
  <si>
    <t xml:space="preserve">Input["In001"] = コンポーネント値</t>
  </si>
  <si>
    <t xml:space="preserve">数値関連の入力</t>
  </si>
  <si>
    <t xml:space="preserve">setValueToInput( textarea, strname:String, orgvalue)</t>
  </si>
  <si>
    <t xml:space="preserve">textarea:　コンポーネント本体</t>
  </si>
  <si>
    <t xml:space="preserve">strname: 変数名</t>
  </si>
  <si>
    <t xml:space="preserve">orgvalue ：　初期値（0、-1)</t>
  </si>
  <si>
    <t xml:space="preserve">アンケート結果</t>
  </si>
  <si>
    <t xml:space="preserve">data.calcCons()</t>
  </si>
  <si>
    <t xml:space="preserve">ret = data.calcAverage();</t>
  </si>
  <si>
    <t xml:space="preserve">標準比較グラフを表示</t>
  </si>
  <si>
    <t xml:space="preserve">ret = data.kazokuNum();</t>
  </si>
  <si>
    <t xml:space="preserve">世帯人数値</t>
  </si>
  <si>
    <t xml:space="preserve">ret = data.calcUchiwake();</t>
  </si>
  <si>
    <t xml:space="preserve">うちわけのグラフ表示</t>
  </si>
  <si>
    <t xml:space="preserve">分野別入力</t>
  </si>
  <si>
    <t xml:space="preserve">data.inp.inputComponentSetOne( this.**_mc );</t>
  </si>
  <si>
    <t xml:space="preserve">保存ボタン</t>
  </si>
  <si>
    <t xml:space="preserve">data.Input["In001"] = コンポーネント値</t>
  </si>
  <si>
    <t xml:space="preserve">分野別結果</t>
  </si>
  <si>
    <t xml:space="preserve">mret = data.calcMeasures(gid);</t>
  </si>
  <si>
    <t xml:space="preserve">gidは分野ごとのID</t>
  </si>
  <si>
    <t xml:space="preserve">ret = data.measuresList( gid、mret );</t>
  </si>
  <si>
    <t xml:space="preserve">プロットをする</t>
  </si>
  <si>
    <t xml:space="preserve">対策を「選択」したとき</t>
  </si>
  <si>
    <t xml:space="preserve">mret = data.MeasureAdd(mesID)</t>
  </si>
  <si>
    <t xml:space="preserve">mesIDは選択した対策のID番号。
リストn番目の対策として、ret[n].mesIDを入れて呼び出す。</t>
  </si>
  <si>
    <t xml:space="preserve">先ほどのmret,gidは分野ごとのID</t>
  </si>
  <si>
    <t xml:space="preserve">対策の選択を「解除」したとき</t>
  </si>
  <si>
    <t xml:space="preserve">data.measureDelete(mesID)</t>
  </si>
  <si>
    <t xml:space="preserve">「全て選択」ボタン</t>
  </si>
  <si>
    <t xml:space="preserve">mret = data.calcMaxMeasuresList（gid）</t>
  </si>
  <si>
    <t xml:space="preserve">「clear」ボタン</t>
  </si>
  <si>
    <t xml:space="preserve">mret = data.clearSelectedMeasures( gid );</t>
  </si>
  <si>
    <t xml:space="preserve">対策にマウスオーバー</t>
  </si>
  <si>
    <t xml:space="preserve">ret = data.measures_array[mesID].plotLabel();</t>
  </si>
  <si>
    <t xml:space="preserve">ポップアップ表示</t>
  </si>
  <si>
    <t xml:space="preserve">「総合」ボタン</t>
  </si>
  <si>
    <t xml:space="preserve">総合結果が表示</t>
  </si>
  <si>
    <t xml:space="preserve">総合結果</t>
  </si>
  <si>
    <t xml:space="preserve">mret = data.setSelectedMeasures();</t>
  </si>
  <si>
    <t xml:space="preserve">選択されている対策のプロット</t>
  </si>
  <si>
    <t xml:space="preserve">対策の選択・解除ができないようにする</t>
  </si>
  <si>
    <t xml:space="preserve">mret = data.calcMeasures(-1);</t>
  </si>
  <si>
    <t xml:space="preserve">ret = data.measuresList( -1、mret );</t>
  </si>
  <si>
    <t xml:space="preserve">「選択された対策」ボタン</t>
  </si>
  <si>
    <t xml:space="preserve">個別結果</t>
  </si>
  <si>
    <t xml:space="preserve">ret = data.measures_array[mesID].dispDetail();</t>
  </si>
  <si>
    <t xml:space="preserve">mesIDは選択した対策のID番号。
リストn番目の対策なら、ret[n].mesIDを入れて呼び出す。</t>
  </si>
  <si>
    <t xml:space="preserve">事務局保存ボタン</t>
  </si>
  <si>
    <t xml:space="preserve">CSV形式ファイル保存</t>
  </si>
  <si>
    <t xml:space="preserve">data.inp.saveCsv();</t>
  </si>
  <si>
    <t xml:space="preserve">data.inp.saveNew();</t>
  </si>
  <si>
    <t xml:space="preserve">スクリプトへの記述</t>
  </si>
  <si>
    <t xml:space="preserve">import mProjector;</t>
  </si>
  <si>
    <t xml:space="preserve">import Sindan;</t>
  </si>
  <si>
    <t xml:space="preserve">var data;</t>
  </si>
  <si>
    <t xml:space="preserve">_global.data = new Sindan();</t>
  </si>
  <si>
    <t xml:space="preserve">_global.data.setSenario();</t>
  </si>
  <si>
    <t xml:space="preserve">シナリオ設定　★追加</t>
  </si>
  <si>
    <t xml:space="preserve">記述クラス</t>
  </si>
  <si>
    <t xml:space="preserve">記述</t>
  </si>
  <si>
    <t xml:space="preserve">ファイル呼び出し（ダイアログ表示）</t>
  </si>
  <si>
    <t xml:space="preserve">data.inp.loadNew();</t>
  </si>
  <si>
    <t xml:space="preserve">成功したらture 失敗ならfalse</t>
  </si>
  <si>
    <t xml:space="preserve">入力値のファイル保存</t>
  </si>
  <si>
    <t xml:space="preserve">入力値のCSV形式保存（事務局用）</t>
  </si>
  <si>
    <t xml:space="preserve">入力値のクリア</t>
  </si>
  <si>
    <t xml:space="preserve">★アンケート結果の計算処理</t>
  </si>
  <si>
    <t xml:space="preserve">なし（うちわけ、標準値算出に必要、対策アンケートを入力した後も一応呼び出すほうがいい）</t>
  </si>
  <si>
    <t xml:space="preserve">CO2うちわけを返す</t>
  </si>
  <si>
    <t xml:space="preserve">ret = data.disp.dataItemize();</t>
  </si>
  <si>
    <t xml:space="preserve">消費量オブジェクトの配列</t>
  </si>
  <si>
    <t xml:space="preserve">ret[0～9][]</t>
  </si>
  <si>
    <t xml:space="preserve">ret[i].name</t>
  </si>
  <si>
    <t xml:space="preserve">分野の名前（冷房、給湯など）</t>
  </si>
  <si>
    <t xml:space="preserve">ret[i].co2</t>
  </si>
  <si>
    <t xml:space="preserve">CO2排出量(kg/年）</t>
  </si>
  <si>
    <t xml:space="preserve">配列0は家庭全体の数値（その他、誤差があるため分野合計には一致しない）</t>
  </si>
  <si>
    <t xml:space="preserve">0自分</t>
  </si>
  <si>
    <t xml:space="preserve">1:標準価格</t>
  </si>
  <si>
    <t xml:space="preserve">2：グラフ診断世帯（0～1）</t>
  </si>
  <si>
    <t xml:space="preserve">3：グラフ標準世帯（0～1）</t>
  </si>
  <si>
    <t xml:space="preserve">4評価</t>
  </si>
  <si>
    <t xml:space="preserve">標準値との比較を示す</t>
  </si>
  <si>
    <t xml:space="preserve">ret = data.disp.dataAverage();</t>
  </si>
  <si>
    <t xml:space="preserve">配列</t>
  </si>
  <si>
    <t xml:space="preserve">ret[0～4][]</t>
  </si>
  <si>
    <t xml:space="preserve">ret[0][n]</t>
  </si>
  <si>
    <t xml:space="preserve">電気代（円/月）String</t>
  </si>
  <si>
    <t xml:space="preserve">標準電気代</t>
  </si>
  <si>
    <t xml:space="preserve">長さ電気</t>
  </si>
  <si>
    <t xml:space="preserve">ret[1][n]</t>
  </si>
  <si>
    <t xml:space="preserve">ガス代　String</t>
  </si>
  <si>
    <t xml:space="preserve">標準ガス代</t>
  </si>
  <si>
    <t xml:space="preserve">長さガス</t>
  </si>
  <si>
    <t xml:space="preserve">ret[2][n]</t>
  </si>
  <si>
    <t xml:space="preserve">灯油代 String</t>
  </si>
  <si>
    <t xml:space="preserve">灯油代</t>
  </si>
  <si>
    <t xml:space="preserve">標準灯油</t>
  </si>
  <si>
    <t xml:space="preserve">長さ灯油</t>
  </si>
  <si>
    <t xml:space="preserve">ret[3][n]</t>
  </si>
  <si>
    <t xml:space="preserve">ガソリン代 String</t>
  </si>
  <si>
    <t xml:space="preserve">ガソリン代</t>
  </si>
  <si>
    <t xml:space="preserve">標準ガソリン</t>
  </si>
  <si>
    <t xml:space="preserve">長さガソリン</t>
  </si>
  <si>
    <t xml:space="preserve">ret[4][n]</t>
  </si>
  <si>
    <t xml:space="preserve">CO2量（kg/年） String</t>
  </si>
  <si>
    <t xml:space="preserve">自分のCO2</t>
  </si>
  <si>
    <t xml:space="preserve">標準CO2</t>
  </si>
  <si>
    <t xml:space="preserve">自分長さCO2</t>
  </si>
  <si>
    <t xml:space="preserve">標準長さCO2</t>
  </si>
  <si>
    <t xml:space="preserve">1：悪い～5：よい：6：すごくよい</t>
  </si>
  <si>
    <t xml:space="preserve">ret[5]</t>
  </si>
  <si>
    <t xml:space="preserve">光熱費合計(文字） String</t>
  </si>
  <si>
    <t xml:space="preserve">ret[6]</t>
  </si>
  <si>
    <t xml:space="preserve">お金の標準比較</t>
  </si>
  <si>
    <t xml:space="preserve">ret[7]</t>
  </si>
  <si>
    <t xml:space="preserve">CO2の標準比較</t>
  </si>
  <si>
    <t xml:space="preserve">ret[8][0]</t>
  </si>
  <si>
    <t xml:space="preserve">目標での削減金額目安（文字）</t>
  </si>
  <si>
    <t xml:space="preserve">同少しエコ</t>
  </si>
  <si>
    <t xml:space="preserve">同エコ先進</t>
  </si>
  <si>
    <t xml:space="preserve">同エコ安心</t>
  </si>
  <si>
    <t xml:space="preserve">ret[9][0]</t>
  </si>
  <si>
    <t xml:space="preserve">自分の削減率（％）　Number</t>
  </si>
  <si>
    <t xml:space="preserve">基準-25%</t>
  </si>
  <si>
    <t xml:space="preserve">基準-50％</t>
  </si>
  <si>
    <t xml:space="preserve">基準-80％</t>
  </si>
  <si>
    <t xml:space="preserve">ret[10]</t>
  </si>
  <si>
    <t xml:space="preserve">100人中の順位（数字1～100）</t>
  </si>
  <si>
    <t xml:space="preserve">ret[11][0]</t>
  </si>
  <si>
    <t xml:space="preserve">年間光熱費</t>
  </si>
  <si>
    <t xml:space="preserve">標準年光熱費</t>
  </si>
  <si>
    <t xml:space="preserve">長さ年光熱費</t>
  </si>
  <si>
    <t xml:space="preserve">ret[12][n]</t>
  </si>
  <si>
    <t xml:space="preserve">CO2量（kg/年） Number</t>
  </si>
  <si>
    <t xml:space="preserve">基準CO2</t>
  </si>
  <si>
    <t xml:space="preserve">世帯人数を返す</t>
  </si>
  <si>
    <t xml:space="preserve">整数値</t>
  </si>
  <si>
    <t xml:space="preserve">★分野別の対策計算処理</t>
  </si>
  <si>
    <t xml:space="preserve">mret = data.calcMeasures(gid)</t>
  </si>
  <si>
    <t xml:space="preserve">gid:分野番号0～9、-1で全体</t>
  </si>
  <si>
    <t xml:space="preserve">オブジェクトの配列</t>
  </si>
  <si>
    <t xml:space="preserve">分野別の対策リストを返す（最大15個）</t>
  </si>
  <si>
    <t xml:space="preserve">ret[0～19][]</t>
  </si>
  <si>
    <t xml:space="preserve">ret[i].title</t>
  </si>
  <si>
    <t xml:space="preserve">対策名（長い名前）</t>
  </si>
  <si>
    <t xml:space="preserve">ret[i].titleShort</t>
  </si>
  <si>
    <t xml:space="preserve">対策名（短い名前）</t>
  </si>
  <si>
    <t xml:space="preserve">ret[i].co2ChangeOriginal</t>
  </si>
  <si>
    <t xml:space="preserve">CO2増減量（kg/年：＋が増）</t>
  </si>
  <si>
    <t xml:space="preserve">ret[i].costTotalChangeOriginal</t>
  </si>
  <si>
    <t xml:space="preserve">コスト増減量（円/年：＋が増）</t>
  </si>
  <si>
    <t xml:space="preserve">ret[i].payBackYear</t>
  </si>
  <si>
    <t xml:space="preserve">投資回収年数（年）</t>
  </si>
  <si>
    <t xml:space="preserve">ret[i].costOtherChange</t>
  </si>
  <si>
    <t xml:space="preserve">基本料金等による増減（円/年）</t>
  </si>
  <si>
    <t xml:space="preserve">ret[i].costChangeOriginal</t>
  </si>
  <si>
    <t xml:space="preserve">光熱費と基本料金等による増減（円/年）</t>
  </si>
  <si>
    <t xml:space="preserve">ret[i].selected</t>
  </si>
  <si>
    <t xml:space="preserve">対策として選択されている場合にはtrue、そうでない場合はfalse</t>
  </si>
  <si>
    <t xml:space="preserve">ret[i].x_scale</t>
  </si>
  <si>
    <t xml:space="preserve">横軸グラフ（コスト:0左端～1右端）</t>
  </si>
  <si>
    <t xml:space="preserve">ret[i].y_scale</t>
  </si>
  <si>
    <t xml:space="preserve">縦軸グラフ（CO2削減:0下端～1上端）</t>
  </si>
  <si>
    <t xml:space="preserve">ret[i].mesID</t>
  </si>
  <si>
    <t xml:space="preserve">対策ID番号：選択する場合、選択を解除する場合、この番号を渡してください。</t>
  </si>
  <si>
    <t xml:space="preserve">re[i].hojoGov</t>
  </si>
  <si>
    <t xml:space="preserve">国による補助金</t>
  </si>
  <si>
    <t xml:space="preserve">分野別の最大削減対策リストを返す（最大10個）</t>
  </si>
  <si>
    <t xml:space="preserve">Sindan</t>
  </si>
  <si>
    <t xml:space="preserve">ret = data.calcMaxMeasuresList（gid）</t>
  </si>
  <si>
    <t xml:space="preserve">上記対策リストと同じ</t>
  </si>
  <si>
    <t xml:space="preserve">※自動最大計算のボタンを押したとき</t>
  </si>
  <si>
    <t xml:space="preserve">対策を選択して追加する</t>
  </si>
  <si>
    <t xml:space="preserve">data.measureAdd(mesID)</t>
  </si>
  <si>
    <t xml:space="preserve">なし</t>
  </si>
  <si>
    <t xml:space="preserve">mesIDとして、対策リスト中のret[i].mesIDを返す</t>
  </si>
  <si>
    <t xml:space="preserve">対策をリストから削除する</t>
  </si>
  <si>
    <t xml:space="preserve">選択された対策をクリアする</t>
  </si>
  <si>
    <t xml:space="preserve">data.clearSelectedMeasures( gid )</t>
  </si>
  <si>
    <t xml:space="preserve">対策の詳細文章を呼び出す</t>
  </si>
  <si>
    <t xml:space="preserve">ret[0]</t>
  </si>
  <si>
    <t xml:space="preserve">提案</t>
  </si>
  <si>
    <t xml:space="preserve">ret[1]</t>
  </si>
  <si>
    <t xml:space="preserve">CO2の削減効果</t>
  </si>
  <si>
    <t xml:space="preserve">ret[2]</t>
  </si>
  <si>
    <t xml:space="preserve">費用</t>
  </si>
  <si>
    <t xml:space="preserve">ret[3]</t>
  </si>
  <si>
    <t xml:space="preserve">取り組み方法</t>
  </si>
  <si>
    <t xml:space="preserve">ret[4]</t>
  </si>
  <si>
    <t xml:space="preserve">イラスト番号</t>
  </si>
  <si>
    <t xml:space="preserve">概要についての2行コメント。</t>
  </si>
  <si>
    <t xml:space="preserve">○年で元が取れ、寿命の○年で○円お得になります。</t>
  </si>
  <si>
    <t xml:space="preserve">寿命の○年までで、合計○円の負担になります。</t>
  </si>
  <si>
    <t xml:space="preserve">対策個別プロットのマウスオーバーのふきだし</t>
  </si>
  <si>
    <t xml:space="preserve">そのまま文章</t>
  </si>
  <si>
    <t xml:space="preserve">そのグループで選ばれている番号リスト</t>
  </si>
  <si>
    <t xml:space="preserve">retNum = data.selectedNum(ret)</t>
  </si>
  <si>
    <t xml:space="preserve">ret は　 data.measuresList（）の返り値</t>
  </si>
  <si>
    <t xml:space="preserve">retNum[0]～retNum[n]</t>
  </si>
  <si>
    <t xml:space="preserve">対策リストの中の番号（0～9）</t>
  </si>
  <si>
    <t xml:space="preserve">measuresListの返り値をret として　ret[retNum[i]]　がその対象となるオブジェクト</t>
  </si>
  <si>
    <t xml:space="preserve">例）ret[retNum[i]].shotTitle</t>
  </si>
  <si>
    <t xml:space="preserve">現在の選択での削減量</t>
  </si>
  <si>
    <t xml:space="preserve">ret = data.selectedFruit(gid)</t>
  </si>
  <si>
    <t xml:space="preserve">CO2排出量（String）</t>
  </si>
  <si>
    <t xml:space="preserve">CO2削減割合</t>
  </si>
  <si>
    <t xml:space="preserve">数値</t>
  </si>
  <si>
    <t xml:space="preserve">光熱費削減額（String)</t>
  </si>
  <si>
    <t xml:space="preserve">元を取れるか？（String）</t>
  </si>
  <si>
    <t xml:space="preserve">お得／負担</t>
  </si>
  <si>
    <t xml:space="preserve">CO2削減量</t>
  </si>
  <si>
    <t xml:space="preserve">CO2基準値</t>
  </si>
  <si>
    <t xml:space="preserve">ret[8]</t>
  </si>
  <si>
    <t xml:space="preserve">当初の順位</t>
  </si>
  <si>
    <t xml:space="preserve">ret[9]</t>
  </si>
  <si>
    <t xml:space="preserve">初期投資合計などのコメント</t>
  </si>
  <si>
    <t xml:space="preserve">投資額（円/年）（String)</t>
  </si>
  <si>
    <t xml:space="preserve">交通選択の入力値が変更された場合</t>
  </si>
  <si>
    <t xml:space="preserve">ret = data.calcCarList(mc)</t>
  </si>
  <si>
    <t xml:space="preserve">ret[n][0]</t>
  </si>
  <si>
    <t xml:space="preserve">n:n台目（0-5)：5は合計</t>
  </si>
  <si>
    <t xml:space="preserve">mcが渡されたときは再表示</t>
  </si>
  <si>
    <t xml:space="preserve">レーダーチャートの座標を返す</t>
  </si>
  <si>
    <t xml:space="preserve">ret = data.calcRaderChart()</t>
  </si>
  <si>
    <t xml:space="preserve">軸の数</t>
  </si>
  <si>
    <t xml:space="preserve">3：3軸、4:4軸</t>
  </si>
  <si>
    <t xml:space="preserve">軸nのX座標　</t>
  </si>
  <si>
    <t xml:space="preserve">1,2,3,4</t>
  </si>
  <si>
    <t xml:space="preserve">軸nのY座標　</t>
  </si>
  <si>
    <t xml:space="preserve">軸nの得点（0-100)</t>
  </si>
  <si>
    <t xml:space="preserve">簡単なコメント</t>
  </si>
  <si>
    <t xml:space="preserve">毎月の返済額を返す</t>
  </si>
  <si>
    <t xml:space="preserve">monthlyPay = data.roanMonthlyPay( Money_Gankin, Money_Atama, Kaisu, Kinri_R )</t>
  </si>
  <si>
    <t xml:space="preserve">パラメータ</t>
  </si>
  <si>
    <t xml:space="preserve">Money_Gankin</t>
  </si>
  <si>
    <t xml:space="preserve">Money_Atama</t>
  </si>
  <si>
    <t xml:space="preserve">Kaisu</t>
  </si>
  <si>
    <t xml:space="preserve">返済回数（通常は12、24、36、60、72、84、120、180）</t>
  </si>
  <si>
    <t xml:space="preserve">Kinri_R</t>
  </si>
  <si>
    <t xml:space="preserve">金利</t>
  </si>
  <si>
    <t xml:space="preserve">出力</t>
  </si>
  <si>
    <t xml:space="preserve">monthlyPay</t>
  </si>
  <si>
    <t xml:space="preserve">月返済額（円）</t>
  </si>
  <si>
    <t xml:space="preserve">ESCOのコメントを返す</t>
  </si>
  <si>
    <t xml:space="preserve">ret = data.payBackComment( intialCost, costChange, lifeTime )</t>
  </si>
  <si>
    <t xml:space="preserve">initialCost</t>
  </si>
  <si>
    <t xml:space="preserve">初期投資（補助金考慮後）</t>
  </si>
  <si>
    <t xml:space="preserve">ret[n].price -　補助金</t>
  </si>
  <si>
    <t xml:space="preserve">価格変化</t>
  </si>
  <si>
    <t xml:space="preserve">ret[n].costChangeOriginal</t>
  </si>
  <si>
    <t xml:space="preserve">寿命</t>
  </si>
  <si>
    <t xml:space="preserve">ret[n].lifeTime</t>
  </si>
  <si>
    <t xml:space="preserve">太陽光の削減量</t>
  </si>
  <si>
    <t xml:space="preserve">sol = _global.data.measures_array[ret.mesID].calcSaveMoney( size,saveRate, price )</t>
  </si>
  <si>
    <t xml:space="preserve">太陽光発電のサイズ(kW)</t>
  </si>
  <si>
    <t xml:space="preserve">saveRate</t>
  </si>
  <si>
    <t xml:space="preserve">省エネ率 0.1とか</t>
  </si>
  <si>
    <t xml:space="preserve">設置価格（補助金削減後）</t>
  </si>
  <si>
    <t xml:space="preserve">sol[0]</t>
  </si>
  <si>
    <t xml:space="preserve">10年までの毎年の削減</t>
  </si>
  <si>
    <t xml:space="preserve">sol[1]</t>
  </si>
  <si>
    <t xml:space="preserve">11年以降の毎年の削減</t>
  </si>
  <si>
    <t xml:space="preserve">sol[2]</t>
  </si>
  <si>
    <t xml:space="preserve">（設置価格：不要）</t>
  </si>
  <si>
    <t xml:space="preserve">sol[3]</t>
  </si>
  <si>
    <t xml:space="preserve">元を取れる年数（年）</t>
  </si>
  <si>
    <t xml:space="preserve">夜間</t>
  </si>
  <si>
    <t xml:space="preserve">&lt;option value="" selected&gt;&lt;/option&gt;</t>
  </si>
  <si>
    <t xml:space="preserve">居間</t>
  </si>
  <si>
    <t xml:space="preserve">&lt;option value="居間・リビング"&gt;居間・リビング&lt;/option&gt;</t>
  </si>
  <si>
    <t xml:space="preserve">台所</t>
  </si>
  <si>
    <t xml:space="preserve">&lt;option value="台所・ダイニング"&gt;台所・ダイニング&lt;/option&gt;</t>
  </si>
  <si>
    <t xml:space="preserve">リビングダイニング</t>
  </si>
  <si>
    <t xml:space="preserve">&lt;option value="居間2"&gt;居間2&lt;/option&gt;</t>
  </si>
  <si>
    <t xml:space="preserve">居間2</t>
  </si>
  <si>
    <t xml:space="preserve">&lt;option value="洋間"&gt;洋間&lt;/option&gt;</t>
  </si>
  <si>
    <t xml:space="preserve">洋間</t>
  </si>
  <si>
    <t xml:space="preserve">&lt;option value="和室"&gt;和室&lt;/option&gt;</t>
  </si>
  <si>
    <t xml:space="preserve">和室</t>
  </si>
  <si>
    <t xml:space="preserve">&lt;option value="子ども部屋"&gt;子ども部屋&lt;/option&gt;</t>
  </si>
  <si>
    <t xml:space="preserve">子ども部屋</t>
  </si>
  <si>
    <t xml:space="preserve">&lt;option value="書斎"&gt;書斎&lt;/option&gt;</t>
  </si>
  <si>
    <t xml:space="preserve">書斎</t>
  </si>
  <si>
    <t xml:space="preserve">&lt;option value="寝室"&gt;寝室&lt;/option&gt;</t>
  </si>
  <si>
    <t xml:space="preserve">2階部屋</t>
  </si>
  <si>
    <t xml:space="preserve">&lt;option value="2階部屋"&gt;2階部屋&lt;/option&gt;</t>
  </si>
  <si>
    <t xml:space="preserve">階段</t>
  </si>
  <si>
    <t xml:space="preserve">&lt;option value="トイレ"&gt;トイレ&lt;/option&gt;</t>
  </si>
  <si>
    <t xml:space="preserve">&lt;option value="廊下"&gt;廊下&lt;/option&gt;</t>
  </si>
  <si>
    <t xml:space="preserve">&lt;option value="階段"&gt;階段&lt;/option&gt;</t>
  </si>
  <si>
    <t xml:space="preserve">&lt;option value="玄関"&gt;玄関&lt;/option&gt;</t>
  </si>
  <si>
    <t xml:space="preserve">&lt;option value="門灯"&gt;門灯&lt;/option&gt;</t>
  </si>
  <si>
    <t xml:space="preserve">クラス関連図</t>
  </si>
  <si>
    <t xml:space="preserve">弱い関連</t>
  </si>
  <si>
    <t xml:space="preserve">強い関連</t>
  </si>
  <si>
    <t xml:space="preserve">計算の実行、表示処理</t>
  </si>
  <si>
    <t xml:space="preserve">消費量一覧  cons_array</t>
  </si>
  <si>
    <t xml:space="preserve">Aircon1/2/3 season</t>
  </si>
  <si>
    <t xml:space="preserve">Priceset</t>
  </si>
  <si>
    <t xml:space="preserve">対策一覧　measures_array</t>
  </si>
  <si>
    <t xml:space="preserve">地域設定</t>
  </si>
  <si>
    <t xml:space="preserve">外部価格設定ファイルの読込</t>
  </si>
  <si>
    <t xml:space="preserve">選択一覧 selectedMeasures</t>
  </si>
  <si>
    <t xml:space="preserve">都道府県別エアコン負荷</t>
  </si>
  <si>
    <t xml:space="preserve">Unit</t>
  </si>
  <si>
    <t xml:space="preserve">ファイル保存呼出</t>
  </si>
  <si>
    <t xml:space="preserve">単価、CO2係数、地域設定</t>
  </si>
  <si>
    <t xml:space="preserve">全入力データ</t>
  </si>
  <si>
    <t xml:space="preserve">都道府県別CO2係数等</t>
  </si>
  <si>
    <t xml:space="preserve">ConsTotal/ConsAC....　13ファイル</t>
  </si>
  <si>
    <t xml:space="preserve">MeasuresTVTime.... 　55ファイル</t>
  </si>
  <si>
    <t xml:space="preserve">分野ごとの消費量、CO2計算</t>
  </si>
  <si>
    <t xml:space="preserve">個別の対策効果計算</t>
  </si>
  <si>
    <t xml:space="preserve">分野にかかる消費量、価格、CO2</t>
  </si>
  <si>
    <t xml:space="preserve">個別の効果</t>
  </si>
  <si>
    <t xml:space="preserve">分野にかかる入力データ</t>
  </si>
  <si>
    <t xml:space="preserve">タイトル・アドバイス</t>
  </si>
  <si>
    <t xml:space="preserve">派生</t>
  </si>
  <si>
    <t xml:space="preserve">Cons</t>
  </si>
  <si>
    <t xml:space="preserve">CO2・価格計算</t>
  </si>
  <si>
    <t xml:space="preserve">対策効果計算</t>
  </si>
  <si>
    <t xml:space="preserve">消費量、CO2、価格</t>
  </si>
  <si>
    <t xml:space="preserve">対策評価変数、オール電化フラグ</t>
  </si>
  <si>
    <t xml:space="preserve">基本効果　co2ChangeOriginal</t>
  </si>
  <si>
    <t xml:space="preserve">選択時効果　co2Change</t>
  </si>
  <si>
    <t xml:space="preserve">関連対策による削減　reducedCons</t>
  </si>
  <si>
    <t xml:space="preserve">D6full診断方法.xls の互換性レポート</t>
  </si>
  <si>
    <t xml:space="preserve">2016/6/10 16:05 に実行</t>
  </si>
  <si>
    <t xml:space="preserve">このブックで使用されている次の機能は、以前のバージョンの Excel ではサポートされていません。このブックを以前のバージョンの Excel で開くか、以前のファイル形式で保存すると、それらの機能が失われるか、正常に実行されなくなる可能性があります。</t>
  </si>
  <si>
    <t xml:space="preserve">機能の大幅な損失</t>
  </si>
  <si>
    <t xml:space="preserve">出現数</t>
  </si>
  <si>
    <t xml:space="preserve">バージョン</t>
  </si>
  <si>
    <t xml:space="preserve">このブック内の一部のセルには、他のワークシートの値を参照するデータ入力規則が設定されています。このようなデータ入力規則は保存されません。</t>
  </si>
  <si>
    <t xml:space="preserve">考え方'!B38</t>
  </si>
  <si>
    <t xml:space="preserve">Excel 97-2003</t>
  </si>
  <si>
    <t xml:space="preserve">再現性の低下</t>
  </si>
  <si>
    <t xml:space="preserve">選択したファイル形式でサポートされていない書式が、このブック内の一部のセルまたはスタイルに設定されています。このような書式は、選択したファイル形式で使用できる最も近い書式に変換されます。</t>
  </si>
</sst>
</file>

<file path=xl/styles.xml><?xml version="1.0" encoding="utf-8"?>
<styleSheet xmlns="http://schemas.openxmlformats.org/spreadsheetml/2006/main">
  <numFmts count="8">
    <numFmt numFmtId="164" formatCode="General"/>
    <numFmt numFmtId="165" formatCode="yyyy/mm/dd"/>
    <numFmt numFmtId="166" formatCode="h:mm"/>
    <numFmt numFmtId="167" formatCode="#,##0;[RED]\-#,##0"/>
    <numFmt numFmtId="168" formatCode="#,##0.0;[RED]\-#,##0.0"/>
    <numFmt numFmtId="169" formatCode="mm\月dd\日"/>
    <numFmt numFmtId="170" formatCode="#,##0"/>
    <numFmt numFmtId="171" formatCode="[h]:mm:ss"/>
  </numFmts>
  <fonts count="18">
    <font>
      <sz val="11"/>
      <name val="ＭＳ Ｐゴシック"/>
      <family val="3"/>
      <charset val="128"/>
    </font>
    <font>
      <sz val="10"/>
      <name val="Arial"/>
      <family val="0"/>
    </font>
    <font>
      <sz val="10"/>
      <name val="Arial"/>
      <family val="0"/>
    </font>
    <font>
      <sz val="10"/>
      <name val="Arial"/>
      <family val="0"/>
    </font>
    <font>
      <sz val="18"/>
      <name val="ＭＳ Ｐゴシック"/>
      <family val="3"/>
      <charset val="128"/>
    </font>
    <font>
      <sz val="9"/>
      <name val="ＭＳ Ｐゴシック"/>
      <family val="3"/>
      <charset val="128"/>
    </font>
    <font>
      <sz val="8"/>
      <name val="ＭＳ Ｐゴシック"/>
      <family val="3"/>
      <charset val="128"/>
    </font>
    <font>
      <sz val="10"/>
      <name val="ＭＳ Ｐゴシック"/>
      <family val="3"/>
      <charset val="128"/>
    </font>
    <font>
      <sz val="10"/>
      <color rgb="FFFF0000"/>
      <name val="ＭＳ Ｐゴシック"/>
      <family val="3"/>
      <charset val="128"/>
    </font>
    <font>
      <sz val="10"/>
      <name val="ＭＳ 明朝"/>
      <family val="1"/>
      <charset val="128"/>
    </font>
    <font>
      <sz val="10"/>
      <color rgb="FFFF0000"/>
      <name val="ＭＳ 明朝"/>
      <family val="1"/>
      <charset val="128"/>
    </font>
    <font>
      <sz val="10"/>
      <name val="ＭＳ Ｐゴシック"/>
      <family val="3"/>
    </font>
    <font>
      <sz val="10"/>
      <color theme="0" tint="-0.35"/>
      <name val="ＭＳ Ｐゴシック"/>
      <family val="3"/>
      <charset val="128"/>
    </font>
    <font>
      <sz val="10.5"/>
      <name val="ＭＳ Ｐゴシック"/>
      <family val="3"/>
      <charset val="128"/>
    </font>
    <font>
      <sz val="10.5"/>
      <name val="ＭＳ 明朝"/>
      <family val="1"/>
      <charset val="128"/>
    </font>
    <font>
      <sz val="11"/>
      <color rgb="FF000000"/>
      <name val="ＭＳ Ｐゴシック"/>
      <family val="0"/>
    </font>
    <font>
      <b val="true"/>
      <sz val="11"/>
      <name val="ＭＳ Ｐゴシック"/>
      <family val="3"/>
      <charset val="128"/>
    </font>
    <font>
      <u val="single"/>
      <sz val="11"/>
      <color rgb="FF0000D4"/>
      <name val="ＭＳ Ｐゴシック"/>
      <family val="3"/>
      <charset val="128"/>
    </font>
  </fonts>
  <fills count="29">
    <fill>
      <patternFill patternType="none"/>
    </fill>
    <fill>
      <patternFill patternType="gray125"/>
    </fill>
    <fill>
      <patternFill patternType="solid">
        <fgColor rgb="FFFFFF00"/>
        <bgColor rgb="FFFCF305"/>
      </patternFill>
    </fill>
    <fill>
      <patternFill patternType="solid">
        <fgColor theme="9" tint="0.7999"/>
        <bgColor rgb="FFEBF1DE"/>
      </patternFill>
    </fill>
    <fill>
      <patternFill patternType="solid">
        <fgColor theme="6" tint="0.7999"/>
        <bgColor rgb="FFFDEADA"/>
      </patternFill>
    </fill>
    <fill>
      <patternFill patternType="solid">
        <fgColor theme="8" tint="0.5999"/>
        <bgColor rgb="FFD9D9D9"/>
      </patternFill>
    </fill>
    <fill>
      <patternFill patternType="solid">
        <fgColor rgb="FF00FFFF"/>
        <bgColor rgb="FF00FFFF"/>
      </patternFill>
    </fill>
    <fill>
      <patternFill patternType="solid">
        <fgColor theme="8" tint="0.7999"/>
        <bgColor rgb="FFEBF1DE"/>
      </patternFill>
    </fill>
    <fill>
      <patternFill patternType="solid">
        <fgColor rgb="FFC0C0C0"/>
        <bgColor rgb="FFBFBFBF"/>
      </patternFill>
    </fill>
    <fill>
      <patternFill patternType="solid">
        <fgColor rgb="FFCCFFCC"/>
        <bgColor rgb="FFD6FEFA"/>
      </patternFill>
    </fill>
    <fill>
      <patternFill patternType="solid">
        <fgColor rgb="FFFFFF99"/>
        <bgColor rgb="FFFAFED8"/>
      </patternFill>
    </fill>
    <fill>
      <patternFill patternType="solid">
        <fgColor rgb="FFFFCC00"/>
        <bgColor rgb="FFFFC000"/>
      </patternFill>
    </fill>
    <fill>
      <patternFill patternType="solid">
        <fgColor rgb="FFDD0806"/>
        <bgColor rgb="FFFF0000"/>
      </patternFill>
    </fill>
    <fill>
      <patternFill patternType="solid">
        <fgColor rgb="FF3366FF"/>
        <bgColor rgb="FF0066CC"/>
      </patternFill>
    </fill>
    <fill>
      <patternFill patternType="solid">
        <fgColor rgb="FFFFCC99"/>
        <bgColor rgb="FFF2DCDB"/>
      </patternFill>
    </fill>
    <fill>
      <patternFill patternType="solid">
        <fgColor rgb="FF33CCCC"/>
        <bgColor rgb="FF00CCFF"/>
      </patternFill>
    </fill>
    <fill>
      <patternFill patternType="solid">
        <fgColor rgb="FFFCF305"/>
        <bgColor rgb="FFFFFF00"/>
      </patternFill>
    </fill>
    <fill>
      <patternFill patternType="solid">
        <fgColor rgb="FF99CC00"/>
        <bgColor rgb="FFFFCC00"/>
      </patternFill>
    </fill>
    <fill>
      <patternFill patternType="solid">
        <fgColor rgb="FFFF99CC"/>
        <bgColor rgb="FFFFCC99"/>
      </patternFill>
    </fill>
    <fill>
      <patternFill patternType="solid">
        <fgColor rgb="FFFF6600"/>
        <bgColor rgb="FFFFC000"/>
      </patternFill>
    </fill>
    <fill>
      <patternFill patternType="solid">
        <fgColor rgb="FF00FF00"/>
        <bgColor rgb="FF33CCCC"/>
      </patternFill>
    </fill>
    <fill>
      <patternFill patternType="solid">
        <fgColor rgb="FFFAFED8"/>
        <bgColor rgb="FFEBF1DE"/>
      </patternFill>
    </fill>
    <fill>
      <patternFill patternType="solid">
        <fgColor rgb="FFFFC000"/>
        <bgColor rgb="FFFFCC00"/>
      </patternFill>
    </fill>
    <fill>
      <patternFill patternType="solid">
        <fgColor theme="5" tint="0.7999"/>
        <bgColor rgb="FFFDEADA"/>
      </patternFill>
    </fill>
    <fill>
      <patternFill patternType="solid">
        <fgColor rgb="FFD6FEFA"/>
        <bgColor rgb="FFCCFFFF"/>
      </patternFill>
    </fill>
    <fill>
      <patternFill patternType="solid">
        <fgColor rgb="FFCCFFFF"/>
        <bgColor rgb="FFD6FEFA"/>
      </patternFill>
    </fill>
    <fill>
      <patternFill patternType="solid">
        <fgColor theme="0" tint="-0.15"/>
        <bgColor rgb="FFF2DCDB"/>
      </patternFill>
    </fill>
    <fill>
      <patternFill patternType="solid">
        <fgColor theme="0" tint="-0.25"/>
        <bgColor rgb="FFC0C0C0"/>
      </patternFill>
    </fill>
    <fill>
      <patternFill patternType="solid">
        <fgColor theme="0"/>
        <bgColor rgb="FFFAFED8"/>
      </patternFill>
    </fill>
  </fills>
  <borders count="31">
    <border diagonalUp="false" diagonalDown="false">
      <left/>
      <right/>
      <top/>
      <bottom/>
      <diagonal/>
    </border>
    <border diagonalUp="false" diagonalDown="false">
      <left style="medium"/>
      <right style="medium"/>
      <top style="medium"/>
      <bottom style="mediu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color rgb="FF003300"/>
      </left>
      <right style="thin">
        <color rgb="FF003300"/>
      </right>
      <top style="thin">
        <color rgb="FF003300"/>
      </top>
      <bottom style="thin">
        <color rgb="FF003300"/>
      </bottom>
      <diagonal/>
    </border>
    <border diagonalUp="false" diagonalDown="false">
      <left style="thin"/>
      <right style="thin"/>
      <top/>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top style="thin"/>
      <bottom style="thin"/>
      <diagonal/>
    </border>
    <border diagonalUp="false" diagonalDown="false">
      <left style="thin">
        <color rgb="FF003300"/>
      </left>
      <right style="thin">
        <color rgb="FF003300"/>
      </right>
      <top/>
      <bottom/>
      <diagonal/>
    </border>
    <border diagonalUp="false" diagonalDown="false">
      <left style="thin">
        <color rgb="FF003300"/>
      </left>
      <right style="thin">
        <color rgb="FF003300"/>
      </right>
      <top style="thin">
        <color rgb="FF003300"/>
      </top>
      <bottom/>
      <diagonal/>
    </border>
    <border diagonalUp="false" diagonalDown="false">
      <left style="thin">
        <color rgb="FF003300"/>
      </left>
      <right/>
      <top style="thin">
        <color rgb="FF003300"/>
      </top>
      <bottom style="thin">
        <color rgb="FF003300"/>
      </bottom>
      <diagonal/>
    </border>
    <border diagonalUp="false" diagonalDown="false">
      <left/>
      <right/>
      <top style="thin">
        <color rgb="FF003300"/>
      </top>
      <bottom style="thin">
        <color rgb="FF003300"/>
      </bottom>
      <diagonal/>
    </border>
    <border diagonalUp="false" diagonalDown="false">
      <left style="thin"/>
      <right style="thin"/>
      <top style="thin"/>
      <bottom style="thin">
        <color rgb="FF003300"/>
      </bottom>
      <diagonal/>
    </border>
    <border diagonalUp="false" diagonalDown="false">
      <left style="thin">
        <color rgb="FF003300"/>
      </left>
      <right/>
      <top style="thin">
        <color rgb="FF003300"/>
      </top>
      <bottom/>
      <diagonal/>
    </border>
    <border diagonalUp="false" diagonalDown="false">
      <left/>
      <right/>
      <top style="thin">
        <color rgb="FF003300"/>
      </top>
      <bottom/>
      <diagonal/>
    </border>
    <border diagonalUp="false" diagonalDown="false">
      <left/>
      <right style="thin">
        <color rgb="FF003300"/>
      </right>
      <top style="thin">
        <color rgb="FF003300"/>
      </top>
      <bottom/>
      <diagonal/>
    </border>
    <border diagonalUp="false" diagonalDown="false">
      <left/>
      <right style="thin">
        <color rgb="FF003300"/>
      </right>
      <top/>
      <bottom/>
      <diagonal/>
    </border>
    <border diagonalUp="false" diagonalDown="false">
      <left style="thin">
        <color rgb="FF003300"/>
      </left>
      <right/>
      <top/>
      <bottom/>
      <diagonal/>
    </border>
    <border diagonalUp="false" diagonalDown="false">
      <left/>
      <right style="thin">
        <color rgb="FF003300"/>
      </right>
      <top style="thin">
        <color rgb="FF003300"/>
      </top>
      <bottom style="thin">
        <color rgb="FF003300"/>
      </bottom>
      <diagonal/>
    </border>
    <border diagonalUp="false" diagonalDown="false">
      <left/>
      <right/>
      <top/>
      <bottom style="double"/>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7"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cellStyleXfs>
  <cellXfs count="18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5" fillId="3" borderId="2" xfId="0" applyFont="true" applyBorder="true" applyAlignment="true" applyProtection="true">
      <alignment horizontal="general" vertical="top" textRotation="0" wrapText="true" indent="0" shrinkToFit="false"/>
      <protection locked="true" hidden="false"/>
    </xf>
    <xf numFmtId="164" fontId="0" fillId="4" borderId="2" xfId="0" applyFont="true" applyBorder="true" applyAlignment="true" applyProtection="true">
      <alignment horizontal="general" vertical="top" textRotation="0" wrapText="false" indent="0" shrinkToFit="false"/>
      <protection locked="true" hidden="false"/>
    </xf>
    <xf numFmtId="164" fontId="0" fillId="5" borderId="2"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tru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top" textRotation="0" wrapText="true" indent="0" shrinkToFit="false"/>
      <protection locked="true" hidden="false"/>
    </xf>
    <xf numFmtId="164" fontId="0" fillId="0" borderId="2" xfId="0" applyFont="true" applyBorder="true" applyAlignment="true" applyProtection="true">
      <alignment horizontal="right" vertical="bottom" textRotation="0" wrapText="false" indent="0" shrinkToFit="false"/>
      <protection locked="true" hidden="false"/>
    </xf>
    <xf numFmtId="164" fontId="0" fillId="3" borderId="2" xfId="0" applyFont="true" applyBorder="true" applyAlignment="true" applyProtection="true">
      <alignment horizontal="general" vertical="bottom" textRotation="0" wrapText="false" indent="0" shrinkToFit="false"/>
      <protection locked="true" hidden="false"/>
    </xf>
    <xf numFmtId="164" fontId="0" fillId="4" borderId="2" xfId="0" applyFont="true" applyBorder="tru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0" borderId="2" xfId="0" applyFont="true" applyBorder="true" applyAlignment="true" applyProtection="true">
      <alignment horizontal="general" vertical="top" textRotation="0" wrapText="true" indent="0" shrinkToFit="false"/>
      <protection locked="true" hidden="false"/>
    </xf>
    <xf numFmtId="164" fontId="0" fillId="7" borderId="2" xfId="0" applyFont="false" applyBorder="true" applyAlignment="true" applyProtection="true">
      <alignment horizontal="general" vertical="top" textRotation="0" wrapText="true" indent="0" shrinkToFit="false"/>
      <protection locked="true" hidden="false"/>
    </xf>
    <xf numFmtId="164" fontId="0" fillId="7" borderId="0" xfId="0" applyFont="true" applyBorder="false" applyAlignment="true" applyProtection="true">
      <alignment horizontal="general" vertical="top" textRotation="0" wrapText="true" indent="0" shrinkToFit="false"/>
      <protection locked="true" hidden="false"/>
    </xf>
    <xf numFmtId="164" fontId="0" fillId="8" borderId="5" xfId="0" applyFont="true" applyBorder="true" applyAlignment="true" applyProtection="true">
      <alignment horizontal="general" vertical="bottom" textRotation="0" wrapText="fals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0" fillId="10" borderId="0" xfId="0" applyFont="true" applyBorder="false" applyAlignment="true" applyProtection="true">
      <alignment horizontal="general" vertical="bottom" textRotation="0" wrapText="false" indent="0" shrinkToFit="false"/>
      <protection locked="true" hidden="false"/>
    </xf>
    <xf numFmtId="164" fontId="0" fillId="11" borderId="5" xfId="0" applyFont="true" applyBorder="true" applyAlignment="true" applyProtection="true">
      <alignment horizontal="general" vertical="bottom" textRotation="0" wrapText="false" indent="0" shrinkToFit="false"/>
      <protection locked="true" hidden="false"/>
    </xf>
    <xf numFmtId="164" fontId="0" fillId="12" borderId="5" xfId="0" applyFont="true" applyBorder="true" applyAlignment="true" applyProtection="true">
      <alignment horizontal="general" vertical="bottom" textRotation="0" wrapText="false" indent="0" shrinkToFit="false"/>
      <protection locked="true" hidden="false"/>
    </xf>
    <xf numFmtId="164" fontId="0" fillId="0" borderId="6" xfId="0" applyFont="true" applyBorder="true" applyAlignment="true" applyProtection="true">
      <alignment horizontal="general" vertical="bottom" textRotation="0" wrapText="false" indent="0" shrinkToFit="false"/>
      <protection locked="true" hidden="false"/>
    </xf>
    <xf numFmtId="164" fontId="0" fillId="13" borderId="5" xfId="0" applyFont="true" applyBorder="true" applyAlignment="true" applyProtection="true">
      <alignment horizontal="general" vertical="bottom" textRotation="0" wrapText="false" indent="0" shrinkToFit="false"/>
      <protection locked="true" hidden="false"/>
    </xf>
    <xf numFmtId="164" fontId="0" fillId="9" borderId="5" xfId="0" applyFont="true" applyBorder="true" applyAlignment="true" applyProtection="true">
      <alignment horizontal="general" vertical="bottom" textRotation="0" wrapText="false" indent="0" shrinkToFit="false"/>
      <protection locked="true" hidden="false"/>
    </xf>
    <xf numFmtId="164" fontId="0" fillId="14" borderId="5" xfId="0" applyFont="true" applyBorder="true" applyAlignment="true" applyProtection="true">
      <alignment horizontal="general" vertical="bottom" textRotation="0" wrapText="false" indent="0" shrinkToFit="false"/>
      <protection locked="true" hidden="false"/>
    </xf>
    <xf numFmtId="164" fontId="0" fillId="15" borderId="5" xfId="0" applyFont="true" applyBorder="true" applyAlignment="true" applyProtection="true">
      <alignment horizontal="general" vertical="bottom" textRotation="0" wrapText="false" indent="0" shrinkToFit="false"/>
      <protection locked="true" hidden="false"/>
    </xf>
    <xf numFmtId="164" fontId="0" fillId="16" borderId="5" xfId="0" applyFont="true" applyBorder="true" applyAlignment="true" applyProtection="true">
      <alignment horizontal="general" vertical="bottom" textRotation="0" wrapText="false" indent="0" shrinkToFit="false"/>
      <protection locked="true" hidden="false"/>
    </xf>
    <xf numFmtId="164" fontId="0" fillId="17" borderId="5" xfId="0" applyFont="true" applyBorder="true" applyAlignment="true" applyProtection="true">
      <alignment horizontal="general" vertical="bottom" textRotation="0" wrapText="false" indent="0" shrinkToFit="false"/>
      <protection locked="true" hidden="false"/>
    </xf>
    <xf numFmtId="164" fontId="0" fillId="18" borderId="5" xfId="0" applyFont="true" applyBorder="true" applyAlignment="true" applyProtection="true">
      <alignment horizontal="general" vertical="bottom" textRotation="0" wrapText="false" indent="0" shrinkToFit="false"/>
      <protection locked="true" hidden="false"/>
    </xf>
    <xf numFmtId="164" fontId="0" fillId="19" borderId="5" xfId="0" applyFont="true" applyBorder="true" applyAlignment="true" applyProtection="true">
      <alignment horizontal="general" vertical="bottom" textRotation="0" wrapText="false" indent="0" shrinkToFit="false"/>
      <protection locked="true" hidden="false"/>
    </xf>
    <xf numFmtId="164" fontId="0" fillId="20" borderId="0" xfId="0" applyFont="true" applyBorder="false" applyAlignment="true" applyProtection="true">
      <alignment horizontal="general" vertical="bottom" textRotation="0" wrapText="false" indent="0" shrinkToFit="false"/>
      <protection locked="true" hidden="false"/>
    </xf>
    <xf numFmtId="164" fontId="0" fillId="21" borderId="2" xfId="0" applyFont="true" applyBorder="true" applyAlignment="true" applyProtection="true">
      <alignment horizontal="general" vertical="top" textRotation="0" wrapText="true" indent="0" shrinkToFit="false"/>
      <protection locked="true" hidden="false"/>
    </xf>
    <xf numFmtId="164" fontId="0" fillId="21" borderId="0" xfId="0" applyFont="false" applyBorder="false" applyAlignment="true" applyProtection="true">
      <alignment horizontal="general" vertical="center" textRotation="0" wrapText="false" indent="0" shrinkToFit="false"/>
      <protection locked="true" hidden="false"/>
    </xf>
    <xf numFmtId="164" fontId="0" fillId="3" borderId="2" xfId="0" applyFont="false" applyBorder="true" applyAlignment="true" applyProtection="true">
      <alignment horizontal="general" vertical="top" textRotation="0" wrapText="true" indent="0" shrinkToFit="false"/>
      <protection locked="true" hidden="false"/>
    </xf>
    <xf numFmtId="164" fontId="0" fillId="4" borderId="2" xfId="0" applyFont="false" applyBorder="tru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5" fillId="20" borderId="0" xfId="0" applyFont="true" applyBorder="false" applyAlignment="true" applyProtection="true">
      <alignment horizontal="general" vertical="top" textRotation="0" wrapText="false" indent="0" shrinkToFit="false"/>
      <protection locked="true" hidden="false"/>
    </xf>
    <xf numFmtId="164" fontId="5" fillId="20" borderId="0" xfId="0" applyFont="true" applyBorder="false" applyAlignment="true" applyProtection="true">
      <alignment horizontal="general" vertical="top" textRotation="0" wrapText="true" indent="0" shrinkToFit="false"/>
      <protection locked="true" hidden="false"/>
    </xf>
    <xf numFmtId="164" fontId="6" fillId="20" borderId="0" xfId="0" applyFont="true" applyBorder="false" applyAlignment="true" applyProtection="true">
      <alignment horizontal="general" vertical="top" textRotation="0" wrapText="true" indent="0" shrinkToFit="false"/>
      <protection locked="true" hidden="false"/>
    </xf>
    <xf numFmtId="164" fontId="5" fillId="2" borderId="2" xfId="0" applyFont="true" applyBorder="true" applyAlignment="true" applyProtection="true">
      <alignment horizontal="general" vertical="top" textRotation="0" wrapText="true" indent="0" shrinkToFit="false"/>
      <protection locked="true" hidden="false"/>
    </xf>
    <xf numFmtId="164" fontId="5" fillId="2" borderId="7" xfId="0" applyFont="true" applyBorder="true" applyAlignment="true" applyProtection="true">
      <alignment horizontal="general" vertical="top" textRotation="0" wrapText="true" indent="0" shrinkToFit="false"/>
      <protection locked="true" hidden="false"/>
    </xf>
    <xf numFmtId="164" fontId="5" fillId="22" borderId="7" xfId="0" applyFont="true" applyBorder="true" applyAlignment="true" applyProtection="true">
      <alignment horizontal="general" vertical="top" textRotation="0" wrapText="true" indent="0" shrinkToFit="false"/>
      <protection locked="true" hidden="false"/>
    </xf>
    <xf numFmtId="164" fontId="5" fillId="22" borderId="8" xfId="0" applyFont="true" applyBorder="true" applyAlignment="true" applyProtection="true">
      <alignment horizontal="general" vertical="top" textRotation="0" wrapText="true" indent="0" shrinkToFit="false"/>
      <protection locked="true" hidden="false"/>
    </xf>
    <xf numFmtId="164" fontId="5" fillId="2" borderId="9" xfId="0" applyFont="true" applyBorder="true" applyAlignment="true" applyProtection="true">
      <alignment horizontal="general" vertical="top" textRotation="0" wrapText="true" indent="0" shrinkToFit="false"/>
      <protection locked="true" hidden="false"/>
    </xf>
    <xf numFmtId="164" fontId="5" fillId="22" borderId="9" xfId="0" applyFont="true" applyBorder="true" applyAlignment="true" applyProtection="true">
      <alignment horizontal="general" vertical="top" textRotation="0" wrapText="true" indent="0" shrinkToFit="false"/>
      <protection locked="true" hidden="false"/>
    </xf>
    <xf numFmtId="164" fontId="5" fillId="23" borderId="7" xfId="0" applyFont="true" applyBorder="true" applyAlignment="true" applyProtection="true">
      <alignment horizontal="general" vertical="top" textRotation="0" wrapText="true" indent="0" shrinkToFit="false"/>
      <protection locked="true" hidden="false"/>
    </xf>
    <xf numFmtId="164" fontId="5" fillId="23" borderId="8" xfId="0" applyFont="true" applyBorder="true" applyAlignment="true" applyProtection="true">
      <alignment horizontal="general" vertical="top" textRotation="0" wrapText="true" indent="0" shrinkToFit="false"/>
      <protection locked="true" hidden="false"/>
    </xf>
    <xf numFmtId="164" fontId="5" fillId="2" borderId="8" xfId="0" applyFont="true" applyBorder="true" applyAlignment="true" applyProtection="true">
      <alignment horizontal="general" vertical="top" textRotation="0" wrapText="true" indent="0" shrinkToFit="false"/>
      <protection locked="true" hidden="false"/>
    </xf>
    <xf numFmtId="164" fontId="0" fillId="20" borderId="0" xfId="0" applyFont="false" applyBorder="false" applyAlignment="true" applyProtection="true">
      <alignment horizontal="general" vertical="top" textRotation="0" wrapText="true" indent="0" shrinkToFit="false"/>
      <protection locked="true" hidden="false"/>
    </xf>
    <xf numFmtId="164" fontId="5" fillId="2" borderId="0" xfId="0" applyFont="true" applyBorder="false" applyAlignment="true" applyProtection="true">
      <alignment horizontal="general" vertical="top" textRotation="0" wrapText="true" indent="0" shrinkToFit="false"/>
      <protection locked="true" hidden="false"/>
    </xf>
    <xf numFmtId="164" fontId="5" fillId="7" borderId="2" xfId="0" applyFont="true" applyBorder="true" applyAlignment="true" applyProtection="true">
      <alignment horizontal="general" vertical="top" textRotation="0" wrapText="true" indent="0" shrinkToFit="false"/>
      <protection locked="true" hidden="false"/>
    </xf>
    <xf numFmtId="164" fontId="5" fillId="10" borderId="10" xfId="0" applyFont="true" applyBorder="true" applyAlignment="true" applyProtection="true">
      <alignment horizontal="general" vertical="top" textRotation="0" wrapText="true" indent="0" shrinkToFit="false"/>
      <protection locked="true" hidden="false"/>
    </xf>
    <xf numFmtId="164" fontId="5" fillId="0" borderId="2" xfId="0" applyFont="true" applyBorder="true" applyAlignment="true" applyProtection="true">
      <alignment horizontal="general" vertical="top" textRotation="0" wrapText="true" indent="0" shrinkToFit="false"/>
      <protection locked="true" hidden="false"/>
    </xf>
    <xf numFmtId="164" fontId="5" fillId="3" borderId="4" xfId="0" applyFont="true" applyBorder="true" applyAlignment="true" applyProtection="true">
      <alignment horizontal="general" vertical="top" textRotation="0" wrapText="true" indent="0" shrinkToFit="false"/>
      <protection locked="true" hidden="false"/>
    </xf>
    <xf numFmtId="164" fontId="5" fillId="4" borderId="4" xfId="0" applyFont="true" applyBorder="true" applyAlignment="true" applyProtection="true">
      <alignment horizontal="general" vertical="top" textRotation="0" wrapText="true" indent="0" shrinkToFit="false"/>
      <protection locked="true" hidden="false"/>
    </xf>
    <xf numFmtId="164" fontId="5" fillId="4" borderId="2"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top" textRotation="0" wrapText="false" indent="0" shrinkToFit="false"/>
      <protection locked="true" hidden="false"/>
    </xf>
    <xf numFmtId="164" fontId="5" fillId="3" borderId="0" xfId="0" applyFont="true" applyBorder="false" applyAlignment="true" applyProtection="true">
      <alignment horizontal="general" vertical="top" textRotation="0" wrapText="false" indent="0" shrinkToFit="false"/>
      <protection locked="true" hidden="false"/>
    </xf>
    <xf numFmtId="164" fontId="7" fillId="3" borderId="0" xfId="0" applyFont="true" applyBorder="false" applyAlignment="true" applyProtection="true">
      <alignment horizontal="general" vertical="top" textRotation="0" wrapText="false" indent="0" shrinkToFit="false"/>
      <protection locked="true" hidden="false"/>
    </xf>
    <xf numFmtId="164" fontId="7" fillId="20" borderId="0" xfId="0" applyFont="true" applyBorder="false" applyAlignment="true" applyProtection="true">
      <alignment horizontal="general" vertical="top" textRotation="0" wrapText="false" indent="0" shrinkToFit="false"/>
      <protection locked="true" hidden="false"/>
    </xf>
    <xf numFmtId="164" fontId="7" fillId="2" borderId="2" xfId="0" applyFont="true" applyBorder="true" applyAlignment="true" applyProtection="true">
      <alignment horizontal="general" vertical="top" textRotation="0" wrapText="false" indent="0" shrinkToFit="false"/>
      <protection locked="true" hidden="false"/>
    </xf>
    <xf numFmtId="164" fontId="7" fillId="10" borderId="11" xfId="0" applyFont="true" applyBorder="true" applyAlignment="true" applyProtection="true">
      <alignment horizontal="general" vertical="top" textRotation="0" wrapText="true" indent="0" shrinkToFit="false"/>
      <protection locked="true" hidden="false"/>
    </xf>
    <xf numFmtId="164" fontId="7" fillId="10" borderId="11" xfId="0" applyFont="true" applyBorder="true" applyAlignment="true" applyProtection="true">
      <alignment horizontal="general" vertical="top" textRotation="0" wrapText="false" indent="0" shrinkToFit="false"/>
      <protection locked="true" hidden="false"/>
    </xf>
    <xf numFmtId="164" fontId="7" fillId="24" borderId="12" xfId="0" applyFont="true" applyBorder="true" applyAlignment="true" applyProtection="true">
      <alignment horizontal="general" vertical="top" textRotation="0" wrapText="false" indent="0" shrinkToFit="false"/>
      <protection locked="true" hidden="false"/>
    </xf>
    <xf numFmtId="164" fontId="7" fillId="24" borderId="13" xfId="0" applyFont="true" applyBorder="true" applyAlignment="true" applyProtection="true">
      <alignment horizontal="general" vertical="top" textRotation="0" wrapText="false" indent="0" shrinkToFit="false"/>
      <protection locked="true" hidden="false"/>
    </xf>
    <xf numFmtId="164" fontId="7" fillId="24" borderId="14" xfId="0" applyFont="true" applyBorder="true" applyAlignment="true" applyProtection="true">
      <alignment horizontal="general" vertical="top" textRotation="0" wrapText="false" indent="0" shrinkToFit="false"/>
      <protection locked="true" hidden="false"/>
    </xf>
    <xf numFmtId="164" fontId="7" fillId="24" borderId="15" xfId="0" applyFont="true" applyBorder="true" applyAlignment="true" applyProtection="true">
      <alignment horizontal="general" vertical="top" textRotation="0" wrapText="false" indent="0" shrinkToFit="false"/>
      <protection locked="true" hidden="false"/>
    </xf>
    <xf numFmtId="164" fontId="7" fillId="24" borderId="16" xfId="0" applyFont="true" applyBorder="true" applyAlignment="true" applyProtection="true">
      <alignment horizontal="general" vertical="top" textRotation="0" wrapText="false" indent="0" shrinkToFit="false"/>
      <protection locked="true" hidden="false"/>
    </xf>
    <xf numFmtId="164" fontId="7" fillId="24" borderId="17" xfId="0" applyFont="true" applyBorder="true" applyAlignment="true" applyProtection="true">
      <alignment horizontal="general" vertical="top" textRotation="0" wrapText="false" indent="0" shrinkToFit="false"/>
      <protection locked="true" hidden="false"/>
    </xf>
    <xf numFmtId="164" fontId="7" fillId="2" borderId="7" xfId="0" applyFont="true" applyBorder="true" applyAlignment="true" applyProtection="true">
      <alignment horizontal="general" vertical="top" textRotation="0" wrapText="false" indent="0" shrinkToFit="false"/>
      <protection locked="true" hidden="false"/>
    </xf>
    <xf numFmtId="164" fontId="7" fillId="2" borderId="9" xfId="0" applyFont="true" applyBorder="true" applyAlignment="true" applyProtection="true">
      <alignment horizontal="general" vertical="top" textRotation="0" wrapText="false" indent="0" shrinkToFit="false"/>
      <protection locked="true" hidden="false"/>
    </xf>
    <xf numFmtId="164" fontId="7" fillId="2" borderId="8" xfId="0" applyFont="true" applyBorder="true" applyAlignment="true" applyProtection="true">
      <alignment horizontal="general" vertical="top" textRotation="0" wrapText="false" indent="0" shrinkToFit="false"/>
      <protection locked="true" hidden="false"/>
    </xf>
    <xf numFmtId="164" fontId="7" fillId="7" borderId="7" xfId="0" applyFont="true" applyBorder="true" applyAlignment="true" applyProtection="true">
      <alignment horizontal="general" vertical="top" textRotation="0" wrapText="false" indent="0" shrinkToFit="false"/>
      <protection locked="true" hidden="false"/>
    </xf>
    <xf numFmtId="164" fontId="7" fillId="7" borderId="9" xfId="0" applyFont="true" applyBorder="true" applyAlignment="true" applyProtection="true">
      <alignment horizontal="general" vertical="top" textRotation="0" wrapText="false" indent="0" shrinkToFit="false"/>
      <protection locked="true" hidden="false"/>
    </xf>
    <xf numFmtId="164" fontId="7" fillId="7" borderId="8" xfId="0" applyFont="true" applyBorder="true" applyAlignment="true" applyProtection="true">
      <alignment horizontal="general" vertical="top" textRotation="0" wrapText="false" indent="0" shrinkToFit="false"/>
      <protection locked="true" hidden="false"/>
    </xf>
    <xf numFmtId="164" fontId="7" fillId="3" borderId="7" xfId="0" applyFont="true" applyBorder="true" applyAlignment="true" applyProtection="true">
      <alignment horizontal="general" vertical="top" textRotation="0" wrapText="false" indent="0" shrinkToFit="false"/>
      <protection locked="true" hidden="false"/>
    </xf>
    <xf numFmtId="164" fontId="7" fillId="3" borderId="9" xfId="0" applyFont="true" applyBorder="true" applyAlignment="true" applyProtection="true">
      <alignment horizontal="general" vertical="top" textRotation="0" wrapText="false" indent="0" shrinkToFit="false"/>
      <protection locked="true" hidden="false"/>
    </xf>
    <xf numFmtId="164" fontId="7" fillId="3" borderId="8" xfId="0" applyFont="true" applyBorder="true" applyAlignment="true" applyProtection="true">
      <alignment horizontal="general" vertical="top" textRotation="0" wrapText="fals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7" fillId="10" borderId="10" xfId="0" applyFont="true" applyBorder="true" applyAlignment="true" applyProtection="true">
      <alignment horizontal="general" vertical="top" textRotation="0" wrapText="true" indent="0" shrinkToFit="false"/>
      <protection locked="true" hidden="false"/>
    </xf>
    <xf numFmtId="164" fontId="7" fillId="24" borderId="18" xfId="0" applyFont="true" applyBorder="true" applyAlignment="true" applyProtection="true">
      <alignment horizontal="general" vertical="top" textRotation="0" wrapText="false" indent="0" shrinkToFit="false"/>
      <protection locked="true" hidden="false"/>
    </xf>
    <xf numFmtId="164" fontId="7" fillId="24" borderId="10" xfId="0" applyFont="true" applyBorder="true" applyAlignment="true" applyProtection="true">
      <alignment horizontal="general" vertical="top" textRotation="0" wrapText="false" indent="0" shrinkToFit="false"/>
      <protection locked="true" hidden="false"/>
    </xf>
    <xf numFmtId="164" fontId="7" fillId="24" borderId="19" xfId="0" applyFont="true" applyBorder="true" applyAlignment="true" applyProtection="true">
      <alignment horizontal="general" vertical="top" textRotation="0" wrapText="false" indent="0" shrinkToFit="false"/>
      <protection locked="true" hidden="false"/>
    </xf>
    <xf numFmtId="164" fontId="7" fillId="24" borderId="4" xfId="0" applyFont="true" applyBorder="true" applyAlignment="true" applyProtection="true">
      <alignment horizontal="general" vertical="top" textRotation="0" wrapText="false" indent="0" shrinkToFit="false"/>
      <protection locked="true" hidden="false"/>
    </xf>
    <xf numFmtId="164" fontId="7" fillId="24" borderId="3" xfId="0" applyFont="true" applyBorder="true" applyAlignment="true" applyProtection="true">
      <alignment horizontal="general" vertical="top" textRotation="0" wrapText="false" indent="0" shrinkToFit="false"/>
      <protection locked="true" hidden="false"/>
    </xf>
    <xf numFmtId="164" fontId="7" fillId="0" borderId="2" xfId="0" applyFont="true" applyBorder="true" applyAlignment="true" applyProtection="true">
      <alignment horizontal="general" vertical="top" textRotation="0" wrapText="true" indent="0" shrinkToFit="false"/>
      <protection locked="true" hidden="false"/>
    </xf>
    <xf numFmtId="164" fontId="7" fillId="22" borderId="0" xfId="0" applyFont="true" applyBorder="false" applyAlignment="true" applyProtection="true">
      <alignment horizontal="general" vertical="top" textRotation="0" wrapText="true" indent="0" shrinkToFit="false"/>
      <protection locked="true" hidden="false"/>
    </xf>
    <xf numFmtId="164" fontId="7" fillId="25" borderId="12" xfId="0" applyFont="true" applyBorder="true" applyAlignment="true" applyProtection="true">
      <alignment horizontal="general" vertical="top" textRotation="0" wrapText="false" indent="0" shrinkToFit="false"/>
      <protection locked="true" hidden="false"/>
    </xf>
    <xf numFmtId="164" fontId="7" fillId="25" borderId="13" xfId="0" applyFont="true" applyBorder="true" applyAlignment="true" applyProtection="true">
      <alignment horizontal="general" vertical="top" textRotation="0" wrapText="false" indent="0" shrinkToFit="false"/>
      <protection locked="true" hidden="false"/>
    </xf>
    <xf numFmtId="164" fontId="7" fillId="25" borderId="20" xfId="0" applyFont="true" applyBorder="true" applyAlignment="true" applyProtection="true">
      <alignment horizontal="general" vertical="top" textRotation="0" wrapText="false" indent="0" shrinkToFit="false"/>
      <protection locked="true" hidden="false"/>
    </xf>
    <xf numFmtId="164" fontId="7" fillId="9" borderId="12" xfId="0" applyFont="true" applyBorder="true" applyAlignment="true" applyProtection="true">
      <alignment horizontal="general" vertical="top" textRotation="0" wrapText="false" indent="0" shrinkToFit="false"/>
      <protection locked="true" hidden="false"/>
    </xf>
    <xf numFmtId="164" fontId="7" fillId="9" borderId="13" xfId="0" applyFont="true" applyBorder="true" applyAlignment="true" applyProtection="true">
      <alignment horizontal="general" vertical="top" textRotation="0" wrapText="false" indent="0" shrinkToFit="false"/>
      <protection locked="true" hidden="false"/>
    </xf>
    <xf numFmtId="164" fontId="7" fillId="9" borderId="20" xfId="0" applyFont="true" applyBorder="true" applyAlignment="true" applyProtection="true">
      <alignment horizontal="general" vertical="top" textRotation="0" wrapText="false" indent="0" shrinkToFit="false"/>
      <protection locked="true" hidden="false"/>
    </xf>
    <xf numFmtId="164" fontId="7" fillId="3" borderId="2" xfId="0" applyFont="true" applyBorder="true" applyAlignment="true" applyProtection="true">
      <alignment horizontal="general" vertical="top" textRotation="0" wrapText="true" indent="0" shrinkToFit="false"/>
      <protection locked="true" hidden="false"/>
    </xf>
    <xf numFmtId="164" fontId="7" fillId="4" borderId="2" xfId="0" applyFont="true" applyBorder="true" applyAlignment="true" applyProtection="true">
      <alignment horizontal="general" vertical="top" textRotation="0" wrapText="true" indent="0" shrinkToFit="false"/>
      <protection locked="true" hidden="false"/>
    </xf>
    <xf numFmtId="164" fontId="7" fillId="0" borderId="2" xfId="0" applyFont="true" applyBorder="true" applyAlignment="true" applyProtection="true">
      <alignment horizontal="general" vertical="top" textRotation="0" wrapText="false" indent="0" shrinkToFit="false"/>
      <protection locked="true" hidden="false"/>
    </xf>
    <xf numFmtId="164" fontId="7" fillId="26" borderId="2" xfId="0" applyFont="true" applyBorder="true" applyAlignment="true" applyProtection="true">
      <alignment horizontal="general" vertical="top" textRotation="0" wrapText="true" indent="0" shrinkToFit="false"/>
      <protection locked="true" hidden="false"/>
    </xf>
    <xf numFmtId="164" fontId="8" fillId="4" borderId="2" xfId="0" applyFont="true" applyBorder="true" applyAlignment="true" applyProtection="true">
      <alignment horizontal="general" vertical="top" textRotation="0" wrapText="true" indent="0" shrinkToFit="false"/>
      <protection locked="true" hidden="false"/>
    </xf>
    <xf numFmtId="164" fontId="7" fillId="10" borderId="0" xfId="0" applyFont="true" applyBorder="false" applyAlignment="true" applyProtection="true">
      <alignment horizontal="general" vertical="top" textRotation="0" wrapText="false" indent="0" shrinkToFit="false"/>
      <protection locked="true" hidden="false"/>
    </xf>
    <xf numFmtId="164" fontId="7" fillId="10" borderId="0" xfId="0" applyFont="true" applyBorder="false" applyAlignment="true" applyProtection="true">
      <alignment horizontal="general" vertical="top" textRotation="0" wrapText="true" indent="0" shrinkToFit="false"/>
      <protection locked="true" hidden="false"/>
    </xf>
    <xf numFmtId="164" fontId="7" fillId="25" borderId="0" xfId="0" applyFont="true" applyBorder="false" applyAlignment="true" applyProtection="true">
      <alignment horizontal="general" vertical="top" textRotation="0" wrapText="false" indent="0" shrinkToFit="false"/>
      <protection locked="true" hidden="false"/>
    </xf>
    <xf numFmtId="164" fontId="7" fillId="25" borderId="0" xfId="0" applyFont="true" applyBorder="false" applyAlignment="true" applyProtection="true">
      <alignment horizontal="general" vertical="top" textRotation="0" wrapText="true" indent="0" shrinkToFit="false"/>
      <protection locked="true" hidden="false"/>
    </xf>
    <xf numFmtId="164" fontId="7" fillId="9" borderId="0" xfId="0" applyFont="true" applyBorder="false" applyAlignment="true" applyProtection="true">
      <alignment horizontal="general" vertical="top" textRotation="0" wrapText="true" indent="0" shrinkToFit="false"/>
      <protection locked="true" hidden="false"/>
    </xf>
    <xf numFmtId="164" fontId="7" fillId="3" borderId="2" xfId="0" applyFont="true" applyBorder="true" applyAlignment="true" applyProtection="true">
      <alignment horizontal="general" vertical="top" textRotation="0" wrapText="false" indent="0" shrinkToFit="false"/>
      <protection locked="true" hidden="false"/>
    </xf>
    <xf numFmtId="164" fontId="7" fillId="4" borderId="2" xfId="0" applyFont="true" applyBorder="true" applyAlignment="true" applyProtection="true">
      <alignment horizontal="general" vertical="top" textRotation="0" wrapText="false" indent="0" shrinkToFit="false"/>
      <protection locked="true" hidden="false"/>
    </xf>
    <xf numFmtId="164" fontId="9" fillId="0" borderId="2" xfId="0" applyFont="true" applyBorder="true" applyAlignment="true" applyProtection="true">
      <alignment horizontal="justify" vertical="top" textRotation="0" wrapText="true" indent="0" shrinkToFit="false"/>
      <protection locked="true" hidden="false"/>
    </xf>
    <xf numFmtId="164" fontId="9" fillId="3" borderId="2" xfId="0" applyFont="true" applyBorder="true" applyAlignment="true" applyProtection="true">
      <alignment horizontal="justify" vertical="top" textRotation="0" wrapText="true" indent="0" shrinkToFit="false"/>
      <protection locked="true" hidden="false"/>
    </xf>
    <xf numFmtId="164" fontId="10" fillId="4" borderId="2" xfId="0" applyFont="true" applyBorder="true" applyAlignment="true" applyProtection="true">
      <alignment horizontal="justify" vertical="top" textRotation="0" wrapText="true" indent="0" shrinkToFit="false"/>
      <protection locked="true" hidden="false"/>
    </xf>
    <xf numFmtId="164" fontId="9" fillId="4" borderId="2" xfId="0" applyFont="true" applyBorder="true" applyAlignment="true" applyProtection="true">
      <alignment horizontal="justify" vertical="top" textRotation="0" wrapText="tru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7" fillId="27"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20" borderId="0" xfId="0" applyFont="true" applyBorder="false" applyAlignment="true" applyProtection="true">
      <alignment horizontal="general" vertical="center" textRotation="0" wrapText="true" indent="0" shrinkToFit="false"/>
      <protection locked="true" hidden="false"/>
    </xf>
    <xf numFmtId="164" fontId="5" fillId="26" borderId="0" xfId="0" applyFont="true" applyBorder="false" applyAlignment="true" applyProtection="true">
      <alignment horizontal="general" vertical="bottom" textRotation="0" wrapText="false" indent="0" shrinkToFit="false"/>
      <protection locked="true" hidden="false"/>
    </xf>
    <xf numFmtId="164" fontId="8" fillId="26" borderId="0" xfId="0" applyFont="true" applyBorder="false" applyAlignment="true" applyProtection="true">
      <alignment horizontal="general" vertical="top"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7" fillId="2" borderId="0" xfId="0" applyFont="true" applyBorder="false" applyAlignment="true" applyProtection="true">
      <alignment horizontal="general" vertical="top"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0" fillId="2" borderId="2" xfId="0" applyFont="true" applyBorder="true" applyAlignment="true" applyProtection="true">
      <alignment horizontal="general" vertical="top" textRotation="0" wrapText="true" indent="0" shrinkToFit="false"/>
      <protection locked="true" hidden="false"/>
    </xf>
    <xf numFmtId="164" fontId="7" fillId="21" borderId="0" xfId="0" applyFont="true" applyBorder="false" applyAlignment="true" applyProtection="true">
      <alignment horizontal="general" vertical="center" textRotation="0" wrapText="true" indent="0" shrinkToFit="false"/>
      <protection locked="true" hidden="false"/>
    </xf>
    <xf numFmtId="164" fontId="7" fillId="21" borderId="2" xfId="0" applyFont="true" applyBorder="true" applyAlignment="true" applyProtection="true">
      <alignment horizontal="general" vertical="top" textRotation="0" wrapText="false" indent="0" shrinkToFit="false"/>
      <protection locked="true" hidden="false"/>
    </xf>
    <xf numFmtId="164" fontId="7" fillId="21" borderId="2" xfId="0" applyFont="true" applyBorder="true" applyAlignment="true" applyProtection="true">
      <alignment horizontal="general" vertical="top" textRotation="0" wrapText="true" indent="0" shrinkToFit="false"/>
      <protection locked="true" hidden="false"/>
    </xf>
    <xf numFmtId="164" fontId="12" fillId="28" borderId="2" xfId="0" applyFont="true" applyBorder="true" applyAlignment="true" applyProtection="true">
      <alignment horizontal="general" vertical="top" textRotation="0" wrapText="false" indent="0" shrinkToFit="false"/>
      <protection locked="true" hidden="false"/>
    </xf>
    <xf numFmtId="164" fontId="7" fillId="3" borderId="0" xfId="0" applyFont="true" applyBorder="false" applyAlignment="true" applyProtection="true">
      <alignment horizontal="general" vertical="center" textRotation="0" wrapText="true" indent="0" shrinkToFit="false"/>
      <protection locked="true" hidden="false"/>
    </xf>
    <xf numFmtId="166" fontId="7" fillId="27" borderId="0" xfId="0" applyFont="true" applyBorder="false" applyAlignment="true" applyProtection="true">
      <alignment horizontal="general" vertical="center" textRotation="0" wrapText="false" indent="0" shrinkToFit="false"/>
      <protection locked="true" hidden="false"/>
    </xf>
    <xf numFmtId="168" fontId="0" fillId="0" borderId="2" xfId="21" applyFont="true" applyBorder="true" applyAlignment="true" applyProtection="true">
      <alignment horizontal="general" vertical="bottom" textRotation="0" wrapText="false" indent="0" shrinkToFit="false"/>
      <protection locked="true" hidden="false"/>
    </xf>
    <xf numFmtId="164" fontId="0" fillId="26" borderId="2" xfId="0" applyFont="false" applyBorder="true" applyAlignment="true" applyProtection="true">
      <alignment horizontal="general" vertical="bottom" textRotation="0" wrapText="false" indent="0" shrinkToFit="false"/>
      <protection locked="true" hidden="false"/>
    </xf>
    <xf numFmtId="164" fontId="5" fillId="4" borderId="2" xfId="0" applyFont="true" applyBorder="true" applyAlignment="true" applyProtection="true">
      <alignment horizontal="general" vertical="bottom" textRotation="0" wrapText="false" indent="0" shrinkToFit="false"/>
      <protection locked="true" hidden="false"/>
    </xf>
    <xf numFmtId="164" fontId="0" fillId="16" borderId="0" xfId="0" applyFont="true" applyBorder="false" applyAlignment="true" applyProtection="true">
      <alignment horizontal="general" vertical="bottom" textRotation="0" wrapText="false" indent="0" shrinkToFit="false"/>
      <protection locked="true" hidden="false"/>
    </xf>
    <xf numFmtId="164" fontId="0" fillId="16" borderId="2" xfId="0" applyFont="true" applyBorder="true" applyAlignment="true" applyProtection="true">
      <alignment horizontal="general" vertical="bottom" textRotation="0" wrapText="false" indent="0" shrinkToFit="false"/>
      <protection locked="true" hidden="false"/>
    </xf>
    <xf numFmtId="164" fontId="0" fillId="16" borderId="1" xfId="0" applyFont="true" applyBorder="true" applyAlignment="true" applyProtection="true">
      <alignment horizontal="general" vertical="bottom" textRotation="0" wrapText="false" indent="0" shrinkToFit="false"/>
      <protection locked="true" hidden="false"/>
    </xf>
    <xf numFmtId="164" fontId="0" fillId="9" borderId="1" xfId="0" applyFont="true" applyBorder="true" applyAlignment="true" applyProtection="true">
      <alignment horizontal="general" vertical="bottom" textRotation="0" wrapText="false" indent="0" shrinkToFit="false"/>
      <protection locked="true" hidden="false"/>
    </xf>
    <xf numFmtId="164" fontId="0" fillId="9" borderId="0" xfId="0" applyFont="true" applyBorder="false" applyAlignment="true" applyProtection="true">
      <alignment horizontal="right"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0" fillId="0" borderId="8" xfId="0" applyFont="false" applyBorder="true" applyAlignment="true" applyProtection="true">
      <alignment horizontal="general" vertical="bottom" textRotation="0" wrapText="false" indent="0" shrinkToFit="false"/>
      <protection locked="true" hidden="false"/>
    </xf>
    <xf numFmtId="164" fontId="0" fillId="0" borderId="21" xfId="0" applyFont="true" applyBorder="true" applyAlignment="true" applyProtection="true">
      <alignment horizontal="general" vertical="top" textRotation="0" wrapText="true" indent="0" shrinkToFit="false"/>
      <protection locked="true" hidden="false"/>
    </xf>
    <xf numFmtId="169" fontId="0" fillId="0" borderId="0" xfId="0" applyFont="true" applyBorder="false" applyAlignment="true" applyProtection="true">
      <alignment horizontal="general" vertical="top" textRotation="0" wrapText="true" indent="0" shrinkToFit="false"/>
      <protection locked="true" hidden="false"/>
    </xf>
    <xf numFmtId="164" fontId="0" fillId="8" borderId="0" xfId="0" applyFont="true" applyBorder="false" applyAlignment="true" applyProtection="true">
      <alignment horizontal="general" vertical="top" textRotation="0" wrapText="true" indent="0" shrinkToFit="false"/>
      <protection locked="true" hidden="false"/>
    </xf>
    <xf numFmtId="164" fontId="0" fillId="10" borderId="0" xfId="0" applyFont="true" applyBorder="false" applyAlignment="true" applyProtection="true">
      <alignment horizontal="general" vertical="top" textRotation="0" wrapText="true" indent="0" shrinkToFit="false"/>
      <protection locked="true" hidden="false"/>
    </xf>
    <xf numFmtId="170" fontId="0" fillId="0" borderId="0" xfId="0" applyFont="true" applyBorder="false" applyAlignment="true" applyProtection="true">
      <alignment horizontal="general" vertical="top" textRotation="0" wrapText="true" indent="0" shrinkToFit="false"/>
      <protection locked="true" hidden="false"/>
    </xf>
    <xf numFmtId="164" fontId="0" fillId="0" borderId="21" xfId="0" applyFont="false" applyBorder="true" applyAlignment="true" applyProtection="true">
      <alignment horizontal="general" vertical="top" textRotation="0" wrapText="true" indent="0" shrinkToFit="false"/>
      <protection locked="true" hidden="false"/>
    </xf>
    <xf numFmtId="164" fontId="0" fillId="16" borderId="0" xfId="0" applyFont="true" applyBorder="false" applyAlignment="true" applyProtection="true">
      <alignment horizontal="general" vertical="top" textRotation="0" wrapText="true" indent="0" shrinkToFit="false"/>
      <protection locked="true" hidden="false"/>
    </xf>
    <xf numFmtId="166"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9" borderId="0" xfId="0" applyFont="true" applyBorder="false" applyAlignment="true" applyProtection="true">
      <alignment horizontal="general" vertical="top" textRotation="0" wrapText="true" indent="0" shrinkToFit="false"/>
      <protection locked="true" hidden="false"/>
    </xf>
    <xf numFmtId="164" fontId="0" fillId="9" borderId="21" xfId="0" applyFont="true" applyBorder="true" applyAlignment="true" applyProtection="true">
      <alignment horizontal="general" vertical="top" textRotation="0" wrapText="true" indent="0" shrinkToFit="false"/>
      <protection locked="true" hidden="false"/>
    </xf>
    <xf numFmtId="164" fontId="0" fillId="8" borderId="21" xfId="0" applyFont="false" applyBorder="true" applyAlignment="true" applyProtection="true">
      <alignment horizontal="general" vertical="top" textRotation="0" wrapText="true" indent="0" shrinkToFit="false"/>
      <protection locked="true" hidden="false"/>
    </xf>
    <xf numFmtId="171" fontId="0" fillId="0" borderId="0" xfId="0" applyFont="true" applyBorder="false" applyAlignment="true" applyProtection="true">
      <alignment horizontal="general" vertical="top" textRotation="0" wrapText="true" indent="0" shrinkToFit="false"/>
      <protection locked="true" hidden="false"/>
    </xf>
    <xf numFmtId="164" fontId="13" fillId="0" borderId="0" xfId="0" applyFont="true" applyBorder="false" applyAlignment="true" applyProtection="true">
      <alignment horizontal="general" vertical="top" textRotation="0" wrapText="true" indent="0" shrinkToFit="false"/>
      <protection locked="true" hidden="false"/>
    </xf>
    <xf numFmtId="164" fontId="14" fillId="0" borderId="0" xfId="0" applyFont="true" applyBorder="false" applyAlignment="true" applyProtection="true">
      <alignment horizontal="general" vertical="top" textRotation="0" wrapText="true" indent="0" shrinkToFit="false"/>
      <protection locked="true" hidden="false"/>
    </xf>
    <xf numFmtId="164" fontId="13" fillId="0" borderId="0" xfId="0" applyFont="true" applyBorder="false" applyAlignment="true" applyProtection="true">
      <alignment horizontal="justify" vertical="top" textRotation="0" wrapText="true" indent="0" shrinkToFit="false"/>
      <protection locked="true" hidden="false"/>
    </xf>
    <xf numFmtId="164" fontId="0" fillId="8" borderId="0" xfId="0" applyFont="false" applyBorder="false" applyAlignment="true" applyProtection="true">
      <alignment horizontal="general" vertical="top" textRotation="0" wrapText="true" indent="0" shrinkToFit="false"/>
      <protection locked="true" hidden="false"/>
    </xf>
    <xf numFmtId="164" fontId="14" fillId="8"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10" borderId="2"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16" fillId="0" borderId="0" xfId="0" applyFont="true" applyBorder="false" applyAlignment="true" applyProtection="true">
      <alignment horizontal="general" vertical="top" textRotation="0" wrapText="true" indent="0" shrinkToFit="false"/>
      <protection locked="true" hidden="false"/>
    </xf>
    <xf numFmtId="164" fontId="16" fillId="0" borderId="0" xfId="0" applyFont="true" applyBorder="false" applyAlignment="true" applyProtection="true">
      <alignment horizontal="center" vertical="top" textRotation="0" wrapText="true" indent="0" shrinkToFit="false"/>
      <protection locked="true" hidden="false"/>
    </xf>
    <xf numFmtId="164" fontId="0" fillId="0" borderId="0" xfId="0" applyFont="false" applyBorder="false" applyAlignment="true" applyProtection="true">
      <alignment horizontal="center" vertical="top" textRotation="0" wrapText="true" indent="0" shrinkToFit="false"/>
      <protection locked="true" hidden="false"/>
    </xf>
    <xf numFmtId="164" fontId="0" fillId="0" borderId="22" xfId="0" applyFont="true" applyBorder="true" applyAlignment="true" applyProtection="true">
      <alignment horizontal="general" vertical="top" textRotation="0" wrapText="true" indent="0" shrinkToFit="false"/>
      <protection locked="true" hidden="false"/>
    </xf>
    <xf numFmtId="164" fontId="0" fillId="0" borderId="23" xfId="0" applyFont="false" applyBorder="true" applyAlignment="true" applyProtection="true">
      <alignment horizontal="general" vertical="top" textRotation="0" wrapText="true" indent="0" shrinkToFit="false"/>
      <protection locked="true" hidden="false"/>
    </xf>
    <xf numFmtId="164" fontId="0" fillId="0" borderId="23" xfId="0" applyFont="false" applyBorder="true" applyAlignment="true" applyProtection="true">
      <alignment horizontal="center" vertical="top" textRotation="0" wrapText="true" indent="0" shrinkToFit="false"/>
      <protection locked="true" hidden="false"/>
    </xf>
    <xf numFmtId="164" fontId="0" fillId="0" borderId="24" xfId="0" applyFont="false" applyBorder="true" applyAlignment="true" applyProtection="true">
      <alignment horizontal="center" vertical="top" textRotation="0" wrapText="true" indent="0" shrinkToFit="false"/>
      <protection locked="true" hidden="false"/>
    </xf>
    <xf numFmtId="164" fontId="0" fillId="0" borderId="25" xfId="0" applyFont="false" applyBorder="true" applyAlignment="true" applyProtection="true">
      <alignment horizontal="general" vertical="top" textRotation="0" wrapText="true" indent="0" shrinkToFit="false"/>
      <protection locked="true" hidden="false"/>
    </xf>
    <xf numFmtId="164" fontId="0" fillId="0" borderId="26" xfId="0" applyFont="false" applyBorder="true" applyAlignment="true" applyProtection="true">
      <alignment horizontal="general" vertical="top" textRotation="0" wrapText="true" indent="0" shrinkToFit="false"/>
      <protection locked="true" hidden="false"/>
    </xf>
    <xf numFmtId="164" fontId="0" fillId="0" borderId="26" xfId="0" applyFont="false" applyBorder="true" applyAlignment="true" applyProtection="true">
      <alignment horizontal="center" vertical="top" textRotation="0" wrapText="true" indent="0" shrinkToFit="false"/>
      <protection locked="true" hidden="false"/>
    </xf>
    <xf numFmtId="164" fontId="17" fillId="0" borderId="26" xfId="20" applyFont="true" applyBorder="true" applyAlignment="true" applyProtection="true">
      <alignment horizontal="center" vertical="top" textRotation="0" wrapText="true" indent="0" shrinkToFit="false"/>
      <protection locked="true" hidden="false"/>
    </xf>
    <xf numFmtId="164" fontId="0" fillId="0" borderId="27" xfId="0" applyFont="true" applyBorder="true" applyAlignment="true" applyProtection="true">
      <alignment horizontal="center" vertical="top" textRotation="0" wrapText="true" indent="0" shrinkToFit="false"/>
      <protection locked="true" hidden="false"/>
    </xf>
    <xf numFmtId="164" fontId="0" fillId="0" borderId="28" xfId="0" applyFont="true" applyBorder="true" applyAlignment="true" applyProtection="true">
      <alignment horizontal="general" vertical="top" textRotation="0" wrapText="true" indent="0" shrinkToFit="false"/>
      <protection locked="true" hidden="false"/>
    </xf>
    <xf numFmtId="164" fontId="0" fillId="0" borderId="29" xfId="0" applyFont="false" applyBorder="true" applyAlignment="true" applyProtection="true">
      <alignment horizontal="general" vertical="top" textRotation="0" wrapText="true" indent="0" shrinkToFit="false"/>
      <protection locked="true" hidden="false"/>
    </xf>
    <xf numFmtId="164" fontId="0" fillId="0" borderId="29" xfId="0" applyFont="false" applyBorder="true" applyAlignment="true" applyProtection="true">
      <alignment horizontal="center" vertical="top" textRotation="0" wrapText="true" indent="0" shrinkToFit="false"/>
      <protection locked="true" hidden="false"/>
    </xf>
    <xf numFmtId="164" fontId="0" fillId="0" borderId="30" xfId="0" applyFont="true" applyBorder="true" applyAlignment="true" applyProtection="true">
      <alignment horizontal="center" vertical="top"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Excel Built-in Comma [0] 1" xfId="21"/>
    <cellStyle name="*unknown*" xfId="20" builtinId="8"/>
  </cellStyles>
  <dxfs count="2">
    <dxf>
      <fill>
        <patternFill>
          <bgColor rgb="FFFFFF00"/>
        </patternFill>
      </fill>
    </dxf>
    <dxf>
      <font>
        <color rgb="FFD9D9D9"/>
      </font>
    </dxf>
  </dxfs>
  <colors>
    <indexedColors>
      <rgbColor rgb="FF000000"/>
      <rgbColor rgb="FFFFFFFF"/>
      <rgbColor rgb="FFFF0000"/>
      <rgbColor rgb="FF00FF00"/>
      <rgbColor rgb="FF0000D4"/>
      <rgbColor rgb="FFFFFF00"/>
      <rgbColor rgb="FFFF00FF"/>
      <rgbColor rgb="FF00FFFF"/>
      <rgbColor rgb="FF800000"/>
      <rgbColor rgb="FF008000"/>
      <rgbColor rgb="FF000080"/>
      <rgbColor rgb="FF808000"/>
      <rgbColor rgb="FF800080"/>
      <rgbColor rgb="FF008080"/>
      <rgbColor rgb="FFC0C0C0"/>
      <rgbColor rgb="FFDBEEF4"/>
      <rgbColor rgb="FFF2DCDB"/>
      <rgbColor rgb="FF993366"/>
      <rgbColor rgb="FFFAFED8"/>
      <rgbColor rgb="FFCCFFFF"/>
      <rgbColor rgb="FF660066"/>
      <rgbColor rgb="FFFDEADA"/>
      <rgbColor rgb="FF0066CC"/>
      <rgbColor rgb="FFD9D9D9"/>
      <rgbColor rgb="FF000080"/>
      <rgbColor rgb="FFFF00FF"/>
      <rgbColor rgb="FFFCF305"/>
      <rgbColor rgb="FF00FFFF"/>
      <rgbColor rgb="FF800080"/>
      <rgbColor rgb="FF800000"/>
      <rgbColor rgb="FF008080"/>
      <rgbColor rgb="FF0000FF"/>
      <rgbColor rgb="FF00CCFF"/>
      <rgbColor rgb="FFD6FEFA"/>
      <rgbColor rgb="FFCCFFCC"/>
      <rgbColor rgb="FFFFFF99"/>
      <rgbColor rgb="FFB7DEE8"/>
      <rgbColor rgb="FFFF99CC"/>
      <rgbColor rgb="FFBFBFBF"/>
      <rgbColor rgb="FFFFCC99"/>
      <rgbColor rgb="FF3366FF"/>
      <rgbColor rgb="FF33CCCC"/>
      <rgbColor rgb="FF99CC00"/>
      <rgbColor rgb="FFFFCC00"/>
      <rgbColor rgb="FFFFC000"/>
      <rgbColor rgb="FFFF6600"/>
      <rgbColor rgb="FF666699"/>
      <rgbColor rgb="FFA6A6A6"/>
      <rgbColor rgb="FF003366"/>
      <rgbColor rgb="FFEBF1DE"/>
      <rgbColor rgb="FF003300"/>
      <rgbColor rgb="FF333300"/>
      <rgbColor rgb="FFDD08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0</xdr:colOff>
      <xdr:row>4</xdr:row>
      <xdr:rowOff>123480</xdr:rowOff>
    </xdr:from>
    <xdr:to>
      <xdr:col>2</xdr:col>
      <xdr:colOff>676080</xdr:colOff>
      <xdr:row>4</xdr:row>
      <xdr:rowOff>123480</xdr:rowOff>
    </xdr:to>
    <xdr:sp>
      <xdr:nvSpPr>
        <xdr:cNvPr id="1" name="Line 5"/>
        <xdr:cNvSpPr/>
      </xdr:nvSpPr>
      <xdr:spPr>
        <a:xfrm flipH="1">
          <a:off x="1735560" y="824400"/>
          <a:ext cx="676080" cy="0"/>
        </a:xfrm>
        <a:prstGeom prst="line">
          <a:avLst/>
        </a:prstGeom>
        <a:ln w="9525">
          <a:solidFill>
            <a:srgbClr val="000000"/>
          </a:solidFill>
          <a:round/>
          <a:tailEnd len="med" type="triangle" w="med"/>
        </a:ln>
      </xdr:spPr>
      <xdr:style>
        <a:lnRef idx="0"/>
        <a:fillRef idx="0"/>
        <a:effectRef idx="0"/>
        <a:fontRef idx="minor"/>
      </xdr:style>
    </xdr:sp>
    <xdr:clientData/>
  </xdr:twoCellAnchor>
  <xdr:twoCellAnchor editAs="twoCell">
    <xdr:from>
      <xdr:col>2</xdr:col>
      <xdr:colOff>323640</xdr:colOff>
      <xdr:row>4</xdr:row>
      <xdr:rowOff>152280</xdr:rowOff>
    </xdr:from>
    <xdr:to>
      <xdr:col>2</xdr:col>
      <xdr:colOff>323640</xdr:colOff>
      <xdr:row>37</xdr:row>
      <xdr:rowOff>123480</xdr:rowOff>
    </xdr:to>
    <xdr:sp>
      <xdr:nvSpPr>
        <xdr:cNvPr id="2" name="Line 6"/>
        <xdr:cNvSpPr/>
      </xdr:nvSpPr>
      <xdr:spPr>
        <a:xfrm>
          <a:off x="2059200" y="853200"/>
          <a:ext cx="0" cy="5754960"/>
        </a:xfrm>
        <a:prstGeom prst="line">
          <a:avLst/>
        </a:prstGeom>
        <a:ln w="9525">
          <a:solidFill>
            <a:srgbClr val="000000"/>
          </a:solidFill>
          <a:round/>
        </a:ln>
      </xdr:spPr>
      <xdr:style>
        <a:lnRef idx="0"/>
        <a:fillRef idx="0"/>
        <a:effectRef idx="0"/>
        <a:fontRef idx="minor"/>
      </xdr:style>
    </xdr:sp>
    <xdr:clientData/>
  </xdr:twoCellAnchor>
  <xdr:twoCellAnchor editAs="twoCell">
    <xdr:from>
      <xdr:col>2</xdr:col>
      <xdr:colOff>314280</xdr:colOff>
      <xdr:row>37</xdr:row>
      <xdr:rowOff>123480</xdr:rowOff>
    </xdr:from>
    <xdr:to>
      <xdr:col>3</xdr:col>
      <xdr:colOff>9360</xdr:colOff>
      <xdr:row>37</xdr:row>
      <xdr:rowOff>123480</xdr:rowOff>
    </xdr:to>
    <xdr:sp>
      <xdr:nvSpPr>
        <xdr:cNvPr id="3" name="Line 7"/>
        <xdr:cNvSpPr/>
      </xdr:nvSpPr>
      <xdr:spPr>
        <a:xfrm flipH="1">
          <a:off x="2049840" y="6608160"/>
          <a:ext cx="448560" cy="0"/>
        </a:xfrm>
        <a:prstGeom prst="line">
          <a:avLst/>
        </a:prstGeom>
        <a:ln w="9525">
          <a:solidFill>
            <a:srgbClr val="000000"/>
          </a:solidFill>
          <a:round/>
          <a:tailEnd len="med" type="triangle" w="med"/>
        </a:ln>
      </xdr:spPr>
      <xdr:style>
        <a:lnRef idx="0"/>
        <a:fillRef idx="0"/>
        <a:effectRef idx="0"/>
        <a:fontRef idx="minor"/>
      </xdr:style>
    </xdr:sp>
    <xdr:clientData/>
  </xdr:twoCellAnchor>
  <xdr:twoCellAnchor editAs="twoCell">
    <xdr:from>
      <xdr:col>2</xdr:col>
      <xdr:colOff>304560</xdr:colOff>
      <xdr:row>10</xdr:row>
      <xdr:rowOff>123480</xdr:rowOff>
    </xdr:from>
    <xdr:to>
      <xdr:col>2</xdr:col>
      <xdr:colOff>752040</xdr:colOff>
      <xdr:row>10</xdr:row>
      <xdr:rowOff>123480</xdr:rowOff>
    </xdr:to>
    <xdr:sp>
      <xdr:nvSpPr>
        <xdr:cNvPr id="4" name="Line 8"/>
        <xdr:cNvSpPr/>
      </xdr:nvSpPr>
      <xdr:spPr>
        <a:xfrm flipH="1">
          <a:off x="2040120" y="1875960"/>
          <a:ext cx="447480" cy="0"/>
        </a:xfrm>
        <a:prstGeom prst="line">
          <a:avLst/>
        </a:prstGeom>
        <a:ln w="9525">
          <a:solidFill>
            <a:srgbClr val="000000"/>
          </a:solidFill>
          <a:round/>
          <a:tailEnd len="med" type="triangle" w="med"/>
        </a:ln>
      </xdr:spPr>
      <xdr:style>
        <a:lnRef idx="0"/>
        <a:fillRef idx="0"/>
        <a:effectRef idx="0"/>
        <a:fontRef idx="minor"/>
      </xdr:style>
    </xdr:sp>
    <xdr:clientData/>
  </xdr:twoCellAnchor>
  <xdr:twoCellAnchor editAs="twoCell">
    <xdr:from>
      <xdr:col>2</xdr:col>
      <xdr:colOff>304560</xdr:colOff>
      <xdr:row>6</xdr:row>
      <xdr:rowOff>133200</xdr:rowOff>
    </xdr:from>
    <xdr:to>
      <xdr:col>2</xdr:col>
      <xdr:colOff>752040</xdr:colOff>
      <xdr:row>6</xdr:row>
      <xdr:rowOff>133200</xdr:rowOff>
    </xdr:to>
    <xdr:sp>
      <xdr:nvSpPr>
        <xdr:cNvPr id="5" name="Line 9"/>
        <xdr:cNvSpPr/>
      </xdr:nvSpPr>
      <xdr:spPr>
        <a:xfrm flipH="1">
          <a:off x="2040120" y="1184760"/>
          <a:ext cx="447480" cy="0"/>
        </a:xfrm>
        <a:prstGeom prst="line">
          <a:avLst/>
        </a:prstGeom>
        <a:ln w="9525">
          <a:solidFill>
            <a:srgbClr val="000000"/>
          </a:solidFill>
          <a:round/>
          <a:tailEnd len="med" type="triangle" w="med"/>
        </a:ln>
      </xdr:spPr>
      <xdr:style>
        <a:lnRef idx="0"/>
        <a:fillRef idx="0"/>
        <a:effectRef idx="0"/>
        <a:fontRef idx="minor"/>
      </xdr:style>
    </xdr:sp>
    <xdr:clientData/>
  </xdr:twoCellAnchor>
  <xdr:twoCellAnchor editAs="twoCell">
    <xdr:from>
      <xdr:col>2</xdr:col>
      <xdr:colOff>304560</xdr:colOff>
      <xdr:row>28</xdr:row>
      <xdr:rowOff>116640</xdr:rowOff>
    </xdr:from>
    <xdr:to>
      <xdr:col>2</xdr:col>
      <xdr:colOff>752040</xdr:colOff>
      <xdr:row>28</xdr:row>
      <xdr:rowOff>116640</xdr:rowOff>
    </xdr:to>
    <xdr:sp>
      <xdr:nvSpPr>
        <xdr:cNvPr id="6" name="Line 10"/>
        <xdr:cNvSpPr/>
      </xdr:nvSpPr>
      <xdr:spPr>
        <a:xfrm flipH="1">
          <a:off x="2040120" y="5023800"/>
          <a:ext cx="447480" cy="0"/>
        </a:xfrm>
        <a:prstGeom prst="line">
          <a:avLst/>
        </a:prstGeom>
        <a:ln w="9525">
          <a:solidFill>
            <a:srgbClr val="000000"/>
          </a:solidFill>
          <a:round/>
          <a:tailEnd len="med" type="triangle" w="med"/>
        </a:ln>
      </xdr:spPr>
      <xdr:style>
        <a:lnRef idx="0"/>
        <a:fillRef idx="0"/>
        <a:effectRef idx="0"/>
        <a:fontRef idx="minor"/>
      </xdr:style>
    </xdr:sp>
    <xdr:clientData/>
  </xdr:twoCellAnchor>
  <xdr:twoCellAnchor editAs="twoCell">
    <xdr:from>
      <xdr:col>2</xdr:col>
      <xdr:colOff>304560</xdr:colOff>
      <xdr:row>26</xdr:row>
      <xdr:rowOff>87480</xdr:rowOff>
    </xdr:from>
    <xdr:to>
      <xdr:col>2</xdr:col>
      <xdr:colOff>752040</xdr:colOff>
      <xdr:row>26</xdr:row>
      <xdr:rowOff>87480</xdr:rowOff>
    </xdr:to>
    <xdr:sp>
      <xdr:nvSpPr>
        <xdr:cNvPr id="7" name="Line 11"/>
        <xdr:cNvSpPr/>
      </xdr:nvSpPr>
      <xdr:spPr>
        <a:xfrm flipH="1">
          <a:off x="2040120" y="4644360"/>
          <a:ext cx="447480" cy="0"/>
        </a:xfrm>
        <a:prstGeom prst="line">
          <a:avLst/>
        </a:prstGeom>
        <a:ln w="9525">
          <a:solidFill>
            <a:srgbClr val="000000"/>
          </a:solidFill>
          <a:round/>
          <a:tailEnd len="med" type="triangle" w="med"/>
        </a:ln>
      </xdr:spPr>
      <xdr:style>
        <a:lnRef idx="0"/>
        <a:fillRef idx="0"/>
        <a:effectRef idx="0"/>
        <a:fontRef idx="minor"/>
      </xdr:style>
    </xdr:sp>
    <xdr:clientData/>
  </xdr:twoCellAnchor>
  <xdr:twoCellAnchor editAs="twoCell">
    <xdr:from>
      <xdr:col>2</xdr:col>
      <xdr:colOff>304560</xdr:colOff>
      <xdr:row>22</xdr:row>
      <xdr:rowOff>87480</xdr:rowOff>
    </xdr:from>
    <xdr:to>
      <xdr:col>2</xdr:col>
      <xdr:colOff>752040</xdr:colOff>
      <xdr:row>22</xdr:row>
      <xdr:rowOff>87480</xdr:rowOff>
    </xdr:to>
    <xdr:sp>
      <xdr:nvSpPr>
        <xdr:cNvPr id="8" name="Line 12"/>
        <xdr:cNvSpPr/>
      </xdr:nvSpPr>
      <xdr:spPr>
        <a:xfrm flipH="1">
          <a:off x="2040120" y="3943080"/>
          <a:ext cx="447480" cy="0"/>
        </a:xfrm>
        <a:prstGeom prst="line">
          <a:avLst/>
        </a:prstGeom>
        <a:ln w="9525">
          <a:solidFill>
            <a:srgbClr val="000000"/>
          </a:solidFill>
          <a:round/>
          <a:tailEnd len="med" type="triangle" w="med"/>
        </a:ln>
      </xdr:spPr>
      <xdr:style>
        <a:lnRef idx="0"/>
        <a:fillRef idx="0"/>
        <a:effectRef idx="0"/>
        <a:fontRef idx="minor"/>
      </xdr:style>
    </xdr:sp>
    <xdr:clientData/>
  </xdr:twoCellAnchor>
  <xdr:twoCellAnchor editAs="twoCell">
    <xdr:from>
      <xdr:col>4</xdr:col>
      <xdr:colOff>9360</xdr:colOff>
      <xdr:row>28</xdr:row>
      <xdr:rowOff>97200</xdr:rowOff>
    </xdr:from>
    <xdr:to>
      <xdr:col>4</xdr:col>
      <xdr:colOff>752400</xdr:colOff>
      <xdr:row>28</xdr:row>
      <xdr:rowOff>97200</xdr:rowOff>
    </xdr:to>
    <xdr:sp>
      <xdr:nvSpPr>
        <xdr:cNvPr id="9" name="Line 13"/>
        <xdr:cNvSpPr/>
      </xdr:nvSpPr>
      <xdr:spPr>
        <a:xfrm flipH="1">
          <a:off x="3701880" y="5004360"/>
          <a:ext cx="743040" cy="0"/>
        </a:xfrm>
        <a:prstGeom prst="line">
          <a:avLst/>
        </a:prstGeom>
        <a:ln w="9525">
          <a:solidFill>
            <a:srgbClr val="000000"/>
          </a:solidFill>
          <a:round/>
          <a:tailEnd len="med" type="triangle" w="med"/>
        </a:ln>
      </xdr:spPr>
      <xdr:style>
        <a:lnRef idx="0"/>
        <a:fillRef idx="0"/>
        <a:effectRef idx="0"/>
        <a:fontRef idx="minor"/>
      </xdr:style>
    </xdr:sp>
    <xdr:clientData/>
  </xdr:twoCellAnchor>
  <xdr:twoCellAnchor editAs="twoCell">
    <xdr:from>
      <xdr:col>2</xdr:col>
      <xdr:colOff>295200</xdr:colOff>
      <xdr:row>12</xdr:row>
      <xdr:rowOff>95040</xdr:rowOff>
    </xdr:from>
    <xdr:to>
      <xdr:col>2</xdr:col>
      <xdr:colOff>676080</xdr:colOff>
      <xdr:row>12</xdr:row>
      <xdr:rowOff>95040</xdr:rowOff>
    </xdr:to>
    <xdr:sp>
      <xdr:nvSpPr>
        <xdr:cNvPr id="10" name="Line 14"/>
        <xdr:cNvSpPr/>
      </xdr:nvSpPr>
      <xdr:spPr>
        <a:xfrm flipH="1">
          <a:off x="2030760" y="2198160"/>
          <a:ext cx="380880" cy="0"/>
        </a:xfrm>
        <a:prstGeom prst="line">
          <a:avLst/>
        </a:prstGeom>
        <a:ln w="9525">
          <a:solidFill>
            <a:srgbClr val="000000"/>
          </a:solidFill>
          <a:round/>
          <a:tailEnd len="med" type="triangle" w="med"/>
        </a:ln>
      </xdr:spPr>
      <xdr:style>
        <a:lnRef idx="0"/>
        <a:fillRef idx="0"/>
        <a:effectRef idx="0"/>
        <a:fontRef idx="minor"/>
      </xdr:style>
    </xdr:sp>
    <xdr:clientData/>
  </xdr:twoCellAnchor>
  <xdr:twoCellAnchor editAs="twoCell">
    <xdr:from>
      <xdr:col>2</xdr:col>
      <xdr:colOff>304560</xdr:colOff>
      <xdr:row>14</xdr:row>
      <xdr:rowOff>95040</xdr:rowOff>
    </xdr:from>
    <xdr:to>
      <xdr:col>2</xdr:col>
      <xdr:colOff>752040</xdr:colOff>
      <xdr:row>14</xdr:row>
      <xdr:rowOff>95040</xdr:rowOff>
    </xdr:to>
    <xdr:sp>
      <xdr:nvSpPr>
        <xdr:cNvPr id="11" name="Line 15"/>
        <xdr:cNvSpPr/>
      </xdr:nvSpPr>
      <xdr:spPr>
        <a:xfrm flipH="1">
          <a:off x="2040120" y="2548800"/>
          <a:ext cx="447480" cy="0"/>
        </a:xfrm>
        <a:prstGeom prst="line">
          <a:avLst/>
        </a:prstGeom>
        <a:ln w="9525">
          <a:solidFill>
            <a:srgbClr val="000000"/>
          </a:solidFill>
          <a:round/>
          <a:tailEnd len="med" type="triangle" w="med"/>
        </a:ln>
      </xdr:spPr>
      <xdr:style>
        <a:lnRef idx="0"/>
        <a:fillRef idx="0"/>
        <a:effectRef idx="0"/>
        <a:fontRef idx="minor"/>
      </xdr:style>
    </xdr:sp>
    <xdr:clientData/>
  </xdr:twoCellAnchor>
  <xdr:twoCellAnchor editAs="twoCell">
    <xdr:from>
      <xdr:col>2</xdr:col>
      <xdr:colOff>295200</xdr:colOff>
      <xdr:row>16</xdr:row>
      <xdr:rowOff>97200</xdr:rowOff>
    </xdr:from>
    <xdr:to>
      <xdr:col>2</xdr:col>
      <xdr:colOff>676080</xdr:colOff>
      <xdr:row>16</xdr:row>
      <xdr:rowOff>97200</xdr:rowOff>
    </xdr:to>
    <xdr:sp>
      <xdr:nvSpPr>
        <xdr:cNvPr id="12" name="Line 16"/>
        <xdr:cNvSpPr/>
      </xdr:nvSpPr>
      <xdr:spPr>
        <a:xfrm flipH="1">
          <a:off x="2030760" y="2901240"/>
          <a:ext cx="380880" cy="0"/>
        </a:xfrm>
        <a:prstGeom prst="line">
          <a:avLst/>
        </a:prstGeom>
        <a:ln w="9525">
          <a:solidFill>
            <a:srgbClr val="000000"/>
          </a:solidFill>
          <a:round/>
          <a:tailEnd len="med" type="triangle" w="med"/>
        </a:ln>
      </xdr:spPr>
      <xdr:style>
        <a:lnRef idx="0"/>
        <a:fillRef idx="0"/>
        <a:effectRef idx="0"/>
        <a:fontRef idx="minor"/>
      </xdr:style>
    </xdr:sp>
    <xdr:clientData/>
  </xdr:twoCellAnchor>
  <xdr:twoCellAnchor editAs="twoCell">
    <xdr:from>
      <xdr:col>4</xdr:col>
      <xdr:colOff>9360</xdr:colOff>
      <xdr:row>4</xdr:row>
      <xdr:rowOff>75960</xdr:rowOff>
    </xdr:from>
    <xdr:to>
      <xdr:col>4</xdr:col>
      <xdr:colOff>666720</xdr:colOff>
      <xdr:row>4</xdr:row>
      <xdr:rowOff>75960</xdr:rowOff>
    </xdr:to>
    <xdr:sp>
      <xdr:nvSpPr>
        <xdr:cNvPr id="13" name="Line 18"/>
        <xdr:cNvSpPr/>
      </xdr:nvSpPr>
      <xdr:spPr>
        <a:xfrm>
          <a:off x="3701880" y="776880"/>
          <a:ext cx="657360" cy="0"/>
        </a:xfrm>
        <a:prstGeom prst="line">
          <a:avLst/>
        </a:prstGeom>
        <a:ln w="9525">
          <a:solidFill>
            <a:srgbClr val="000000"/>
          </a:solidFill>
          <a:round/>
          <a:headEnd len="med" type="triangle" w="med"/>
          <a:tailEnd len="med" type="triangle" w="med"/>
        </a:ln>
      </xdr:spPr>
      <xdr:style>
        <a:lnRef idx="0"/>
        <a:fillRef idx="0"/>
        <a:effectRef idx="0"/>
        <a:fontRef idx="minor"/>
      </xdr:style>
    </xdr:sp>
    <xdr:clientData/>
  </xdr:twoCellAnchor>
  <xdr:twoCellAnchor editAs="twoCell">
    <xdr:from>
      <xdr:col>4</xdr:col>
      <xdr:colOff>0</xdr:colOff>
      <xdr:row>6</xdr:row>
      <xdr:rowOff>75960</xdr:rowOff>
    </xdr:from>
    <xdr:to>
      <xdr:col>5</xdr:col>
      <xdr:colOff>18720</xdr:colOff>
      <xdr:row>6</xdr:row>
      <xdr:rowOff>75960</xdr:rowOff>
    </xdr:to>
    <xdr:sp>
      <xdr:nvSpPr>
        <xdr:cNvPr id="14" name="Line 19"/>
        <xdr:cNvSpPr/>
      </xdr:nvSpPr>
      <xdr:spPr>
        <a:xfrm>
          <a:off x="3692520" y="1127520"/>
          <a:ext cx="772560" cy="0"/>
        </a:xfrm>
        <a:prstGeom prst="line">
          <a:avLst/>
        </a:prstGeom>
        <a:ln w="9525">
          <a:solidFill>
            <a:srgbClr val="000000"/>
          </a:solidFill>
          <a:round/>
          <a:headEnd len="med" type="triangle" w="med"/>
          <a:tailEnd len="med" type="triangle" w="med"/>
        </a:ln>
      </xdr:spPr>
      <xdr:style>
        <a:lnRef idx="0"/>
        <a:fillRef idx="0"/>
        <a:effectRef idx="0"/>
        <a:fontRef idx="minor"/>
      </xdr:style>
    </xdr:sp>
    <xdr:clientData/>
  </xdr:twoCellAnchor>
  <xdr:twoCellAnchor editAs="twoCell">
    <xdr:from>
      <xdr:col>4</xdr:col>
      <xdr:colOff>323640</xdr:colOff>
      <xdr:row>28</xdr:row>
      <xdr:rowOff>104760</xdr:rowOff>
    </xdr:from>
    <xdr:to>
      <xdr:col>4</xdr:col>
      <xdr:colOff>323640</xdr:colOff>
      <xdr:row>34</xdr:row>
      <xdr:rowOff>104760</xdr:rowOff>
    </xdr:to>
    <xdr:sp>
      <xdr:nvSpPr>
        <xdr:cNvPr id="15" name="Line 21"/>
        <xdr:cNvSpPr/>
      </xdr:nvSpPr>
      <xdr:spPr>
        <a:xfrm>
          <a:off x="4016160" y="5011920"/>
          <a:ext cx="0" cy="1051560"/>
        </a:xfrm>
        <a:prstGeom prst="line">
          <a:avLst/>
        </a:prstGeom>
        <a:ln w="9525">
          <a:solidFill>
            <a:srgbClr val="000000"/>
          </a:solidFill>
          <a:round/>
        </a:ln>
      </xdr:spPr>
      <xdr:style>
        <a:lnRef idx="0"/>
        <a:fillRef idx="0"/>
        <a:effectRef idx="0"/>
        <a:fontRef idx="minor"/>
      </xdr:style>
    </xdr:sp>
    <xdr:clientData/>
  </xdr:twoCellAnchor>
  <xdr:twoCellAnchor editAs="twoCell">
    <xdr:from>
      <xdr:col>4</xdr:col>
      <xdr:colOff>295200</xdr:colOff>
      <xdr:row>30</xdr:row>
      <xdr:rowOff>116640</xdr:rowOff>
    </xdr:from>
    <xdr:to>
      <xdr:col>4</xdr:col>
      <xdr:colOff>676080</xdr:colOff>
      <xdr:row>30</xdr:row>
      <xdr:rowOff>116640</xdr:rowOff>
    </xdr:to>
    <xdr:sp>
      <xdr:nvSpPr>
        <xdr:cNvPr id="16" name="Line 22"/>
        <xdr:cNvSpPr/>
      </xdr:nvSpPr>
      <xdr:spPr>
        <a:xfrm flipH="1">
          <a:off x="3987720" y="5374440"/>
          <a:ext cx="380880" cy="0"/>
        </a:xfrm>
        <a:prstGeom prst="line">
          <a:avLst/>
        </a:prstGeom>
        <a:ln w="9525">
          <a:solidFill>
            <a:srgbClr val="000000"/>
          </a:solidFill>
          <a:round/>
          <a:tailEnd len="med" type="triangle" w="med"/>
        </a:ln>
      </xdr:spPr>
      <xdr:style>
        <a:lnRef idx="0"/>
        <a:fillRef idx="0"/>
        <a:effectRef idx="0"/>
        <a:fontRef idx="minor"/>
      </xdr:style>
    </xdr:sp>
    <xdr:clientData/>
  </xdr:twoCellAnchor>
  <xdr:twoCellAnchor editAs="twoCell">
    <xdr:from>
      <xdr:col>4</xdr:col>
      <xdr:colOff>304560</xdr:colOff>
      <xdr:row>32</xdr:row>
      <xdr:rowOff>87480</xdr:rowOff>
    </xdr:from>
    <xdr:to>
      <xdr:col>4</xdr:col>
      <xdr:colOff>752400</xdr:colOff>
      <xdr:row>32</xdr:row>
      <xdr:rowOff>87480</xdr:rowOff>
    </xdr:to>
    <xdr:sp>
      <xdr:nvSpPr>
        <xdr:cNvPr id="17" name="Line 23"/>
        <xdr:cNvSpPr/>
      </xdr:nvSpPr>
      <xdr:spPr>
        <a:xfrm flipH="1">
          <a:off x="3997080" y="5695920"/>
          <a:ext cx="447840" cy="0"/>
        </a:xfrm>
        <a:prstGeom prst="line">
          <a:avLst/>
        </a:prstGeom>
        <a:ln w="9525">
          <a:solidFill>
            <a:srgbClr val="000000"/>
          </a:solidFill>
          <a:round/>
          <a:tailEnd len="med" type="triangle" w="med"/>
        </a:ln>
      </xdr:spPr>
      <xdr:style>
        <a:lnRef idx="0"/>
        <a:fillRef idx="0"/>
        <a:effectRef idx="0"/>
        <a:fontRef idx="minor"/>
      </xdr:style>
    </xdr:sp>
    <xdr:clientData/>
  </xdr:twoCellAnchor>
  <xdr:twoCellAnchor editAs="twoCell">
    <xdr:from>
      <xdr:col>4</xdr:col>
      <xdr:colOff>295200</xdr:colOff>
      <xdr:row>34</xdr:row>
      <xdr:rowOff>97200</xdr:rowOff>
    </xdr:from>
    <xdr:to>
      <xdr:col>4</xdr:col>
      <xdr:colOff>676080</xdr:colOff>
      <xdr:row>34</xdr:row>
      <xdr:rowOff>97200</xdr:rowOff>
    </xdr:to>
    <xdr:sp>
      <xdr:nvSpPr>
        <xdr:cNvPr id="18" name="Line 24"/>
        <xdr:cNvSpPr/>
      </xdr:nvSpPr>
      <xdr:spPr>
        <a:xfrm flipH="1">
          <a:off x="3987720" y="6055920"/>
          <a:ext cx="380880" cy="0"/>
        </a:xfrm>
        <a:prstGeom prst="line">
          <a:avLst/>
        </a:prstGeom>
        <a:ln w="9525">
          <a:solidFill>
            <a:srgbClr val="000000"/>
          </a:solidFill>
          <a:round/>
          <a:tailEnd len="med" type="triangle" w="med"/>
        </a:ln>
      </xdr:spPr>
      <xdr:style>
        <a:lnRef idx="0"/>
        <a:fillRef idx="0"/>
        <a:effectRef idx="0"/>
        <a:fontRef idx="minor"/>
      </xdr:style>
    </xdr:sp>
    <xdr:clientData/>
  </xdr:twoCellAnchor>
  <xdr:twoCellAnchor editAs="twoCell">
    <xdr:from>
      <xdr:col>3</xdr:col>
      <xdr:colOff>1019160</xdr:colOff>
      <xdr:row>22</xdr:row>
      <xdr:rowOff>85680</xdr:rowOff>
    </xdr:from>
    <xdr:to>
      <xdr:col>4</xdr:col>
      <xdr:colOff>657000</xdr:colOff>
      <xdr:row>22</xdr:row>
      <xdr:rowOff>85680</xdr:rowOff>
    </xdr:to>
    <xdr:sp>
      <xdr:nvSpPr>
        <xdr:cNvPr id="19" name="Line 25"/>
        <xdr:cNvSpPr/>
      </xdr:nvSpPr>
      <xdr:spPr>
        <a:xfrm flipH="1">
          <a:off x="3508200" y="3941280"/>
          <a:ext cx="841320" cy="0"/>
        </a:xfrm>
        <a:prstGeom prst="line">
          <a:avLst/>
        </a:prstGeom>
        <a:ln w="9525">
          <a:solidFill>
            <a:srgbClr val="000000"/>
          </a:solidFill>
          <a:round/>
          <a:tailEnd len="med" type="triangle" w="med"/>
        </a:ln>
      </xdr:spPr>
      <xdr:style>
        <a:lnRef idx="0"/>
        <a:fillRef idx="0"/>
        <a:effectRef idx="0"/>
        <a:fontRef idx="minor"/>
      </xdr:style>
    </xdr:sp>
    <xdr:clientData/>
  </xdr:twoCellAnchor>
  <xdr:twoCellAnchor editAs="twoCell">
    <xdr:from>
      <xdr:col>4</xdr:col>
      <xdr:colOff>304560</xdr:colOff>
      <xdr:row>22</xdr:row>
      <xdr:rowOff>104760</xdr:rowOff>
    </xdr:from>
    <xdr:to>
      <xdr:col>4</xdr:col>
      <xdr:colOff>304560</xdr:colOff>
      <xdr:row>24</xdr:row>
      <xdr:rowOff>95040</xdr:rowOff>
    </xdr:to>
    <xdr:sp>
      <xdr:nvSpPr>
        <xdr:cNvPr id="20" name="Line 26"/>
        <xdr:cNvSpPr/>
      </xdr:nvSpPr>
      <xdr:spPr>
        <a:xfrm>
          <a:off x="3997080" y="3960360"/>
          <a:ext cx="0" cy="340920"/>
        </a:xfrm>
        <a:prstGeom prst="line">
          <a:avLst/>
        </a:prstGeom>
        <a:ln w="9525">
          <a:solidFill>
            <a:srgbClr val="000000"/>
          </a:solidFill>
          <a:round/>
        </a:ln>
      </xdr:spPr>
      <xdr:style>
        <a:lnRef idx="0"/>
        <a:fillRef idx="0"/>
        <a:effectRef idx="0"/>
        <a:fontRef idx="minor"/>
      </xdr:style>
    </xdr:sp>
    <xdr:clientData/>
  </xdr:twoCellAnchor>
  <xdr:twoCellAnchor editAs="twoCell">
    <xdr:from>
      <xdr:col>4</xdr:col>
      <xdr:colOff>276120</xdr:colOff>
      <xdr:row>24</xdr:row>
      <xdr:rowOff>116640</xdr:rowOff>
    </xdr:from>
    <xdr:to>
      <xdr:col>4</xdr:col>
      <xdr:colOff>657000</xdr:colOff>
      <xdr:row>24</xdr:row>
      <xdr:rowOff>116640</xdr:rowOff>
    </xdr:to>
    <xdr:sp>
      <xdr:nvSpPr>
        <xdr:cNvPr id="21" name="Line 27"/>
        <xdr:cNvSpPr/>
      </xdr:nvSpPr>
      <xdr:spPr>
        <a:xfrm flipH="1">
          <a:off x="3968640" y="4322880"/>
          <a:ext cx="380880" cy="0"/>
        </a:xfrm>
        <a:prstGeom prst="line">
          <a:avLst/>
        </a:prstGeom>
        <a:ln w="9525">
          <a:solidFill>
            <a:srgbClr val="000000"/>
          </a:solidFill>
          <a:round/>
          <a:tailEnd len="med" type="triangle" w="med"/>
        </a:ln>
      </xdr:spPr>
      <xdr:style>
        <a:lnRef idx="0"/>
        <a:fillRef idx="0"/>
        <a:effectRef idx="0"/>
        <a:fontRef idx="minor"/>
      </xdr:style>
    </xdr:sp>
    <xdr:clientData/>
  </xdr:twoCellAnchor>
  <xdr:twoCellAnchor editAs="twoCell">
    <xdr:from>
      <xdr:col>3</xdr:col>
      <xdr:colOff>1028520</xdr:colOff>
      <xdr:row>16</xdr:row>
      <xdr:rowOff>85680</xdr:rowOff>
    </xdr:from>
    <xdr:to>
      <xdr:col>4</xdr:col>
      <xdr:colOff>666720</xdr:colOff>
      <xdr:row>16</xdr:row>
      <xdr:rowOff>85680</xdr:rowOff>
    </xdr:to>
    <xdr:sp>
      <xdr:nvSpPr>
        <xdr:cNvPr id="22" name="Line 28"/>
        <xdr:cNvSpPr/>
      </xdr:nvSpPr>
      <xdr:spPr>
        <a:xfrm flipH="1">
          <a:off x="3517560" y="2889720"/>
          <a:ext cx="841680" cy="0"/>
        </a:xfrm>
        <a:prstGeom prst="line">
          <a:avLst/>
        </a:prstGeom>
        <a:ln w="9525">
          <a:solidFill>
            <a:srgbClr val="000000"/>
          </a:solidFill>
          <a:round/>
          <a:headEnd len="med" type="triangle" w="med"/>
          <a:tailEnd len="med" type="triangle" w="med"/>
        </a:ln>
      </xdr:spPr>
      <xdr:style>
        <a:lnRef idx="0"/>
        <a:fillRef idx="0"/>
        <a:effectRef idx="0"/>
        <a:fontRef idx="minor"/>
      </xdr:style>
    </xdr:sp>
    <xdr:clientData/>
  </xdr:twoCellAnchor>
  <xdr:twoCellAnchor editAs="twoCell">
    <xdr:from>
      <xdr:col>4</xdr:col>
      <xdr:colOff>304560</xdr:colOff>
      <xdr:row>16</xdr:row>
      <xdr:rowOff>95040</xdr:rowOff>
    </xdr:from>
    <xdr:to>
      <xdr:col>4</xdr:col>
      <xdr:colOff>304560</xdr:colOff>
      <xdr:row>20</xdr:row>
      <xdr:rowOff>66600</xdr:rowOff>
    </xdr:to>
    <xdr:sp>
      <xdr:nvSpPr>
        <xdr:cNvPr id="23" name="Line 29"/>
        <xdr:cNvSpPr/>
      </xdr:nvSpPr>
      <xdr:spPr>
        <a:xfrm>
          <a:off x="3997080" y="2899080"/>
          <a:ext cx="0" cy="672840"/>
        </a:xfrm>
        <a:prstGeom prst="line">
          <a:avLst/>
        </a:prstGeom>
        <a:ln w="9525">
          <a:solidFill>
            <a:srgbClr val="000000"/>
          </a:solidFill>
          <a:round/>
        </a:ln>
      </xdr:spPr>
      <xdr:style>
        <a:lnRef idx="0"/>
        <a:fillRef idx="0"/>
        <a:effectRef idx="0"/>
        <a:fontRef idx="minor"/>
      </xdr:style>
    </xdr:sp>
    <xdr:clientData/>
  </xdr:twoCellAnchor>
  <xdr:twoCellAnchor editAs="twoCell">
    <xdr:from>
      <xdr:col>4</xdr:col>
      <xdr:colOff>276120</xdr:colOff>
      <xdr:row>18</xdr:row>
      <xdr:rowOff>107280</xdr:rowOff>
    </xdr:from>
    <xdr:to>
      <xdr:col>4</xdr:col>
      <xdr:colOff>657000</xdr:colOff>
      <xdr:row>18</xdr:row>
      <xdr:rowOff>107280</xdr:rowOff>
    </xdr:to>
    <xdr:sp>
      <xdr:nvSpPr>
        <xdr:cNvPr id="24" name="Line 30"/>
        <xdr:cNvSpPr/>
      </xdr:nvSpPr>
      <xdr:spPr>
        <a:xfrm flipH="1">
          <a:off x="3968640" y="3261960"/>
          <a:ext cx="380880" cy="0"/>
        </a:xfrm>
        <a:prstGeom prst="line">
          <a:avLst/>
        </a:prstGeom>
        <a:ln w="9525">
          <a:solidFill>
            <a:srgbClr val="000000"/>
          </a:solidFill>
          <a:round/>
          <a:headEnd len="med" type="triangle" w="med"/>
          <a:tailEnd len="med" type="triangle" w="med"/>
        </a:ln>
      </xdr:spPr>
      <xdr:style>
        <a:lnRef idx="0"/>
        <a:fillRef idx="0"/>
        <a:effectRef idx="0"/>
        <a:fontRef idx="minor"/>
      </xdr:style>
    </xdr:sp>
    <xdr:clientData/>
  </xdr:twoCellAnchor>
  <xdr:twoCellAnchor editAs="twoCell">
    <xdr:from>
      <xdr:col>4</xdr:col>
      <xdr:colOff>285480</xdr:colOff>
      <xdr:row>20</xdr:row>
      <xdr:rowOff>77760</xdr:rowOff>
    </xdr:from>
    <xdr:to>
      <xdr:col>4</xdr:col>
      <xdr:colOff>666720</xdr:colOff>
      <xdr:row>20</xdr:row>
      <xdr:rowOff>77760</xdr:rowOff>
    </xdr:to>
    <xdr:sp>
      <xdr:nvSpPr>
        <xdr:cNvPr id="25" name="Line 31"/>
        <xdr:cNvSpPr/>
      </xdr:nvSpPr>
      <xdr:spPr>
        <a:xfrm flipH="1">
          <a:off x="3978000" y="3583080"/>
          <a:ext cx="381240" cy="0"/>
        </a:xfrm>
        <a:prstGeom prst="line">
          <a:avLst/>
        </a:prstGeom>
        <a:ln w="9525">
          <a:solidFill>
            <a:srgbClr val="000000"/>
          </a:solidFill>
          <a:round/>
          <a:headEnd len="med" type="triangle" w="med"/>
          <a:tailEnd len="med" type="triangle" w="med"/>
        </a:ln>
      </xdr:spPr>
      <xdr:style>
        <a:lnRef idx="0"/>
        <a:fillRef idx="0"/>
        <a:effectRef idx="0"/>
        <a:fontRef idx="minor"/>
      </xdr:style>
    </xdr:sp>
    <xdr:clientData/>
  </xdr:twoCellAnchor>
  <xdr:twoCellAnchor editAs="twoCell">
    <xdr:from>
      <xdr:col>3</xdr:col>
      <xdr:colOff>1009440</xdr:colOff>
      <xdr:row>14</xdr:row>
      <xdr:rowOff>95040</xdr:rowOff>
    </xdr:from>
    <xdr:to>
      <xdr:col>4</xdr:col>
      <xdr:colOff>647640</xdr:colOff>
      <xdr:row>14</xdr:row>
      <xdr:rowOff>95040</xdr:rowOff>
    </xdr:to>
    <xdr:sp>
      <xdr:nvSpPr>
        <xdr:cNvPr id="26" name="Line 32"/>
        <xdr:cNvSpPr/>
      </xdr:nvSpPr>
      <xdr:spPr>
        <a:xfrm flipH="1">
          <a:off x="3498480" y="2548800"/>
          <a:ext cx="841680" cy="0"/>
        </a:xfrm>
        <a:prstGeom prst="line">
          <a:avLst/>
        </a:prstGeom>
        <a:ln w="9525">
          <a:solidFill>
            <a:srgbClr val="000000"/>
          </a:solidFill>
          <a:round/>
          <a:tailEnd len="med" type="triangle" w="med"/>
        </a:ln>
      </xdr:spPr>
      <xdr:style>
        <a:lnRef idx="0"/>
        <a:fillRef idx="0"/>
        <a:effectRef idx="0"/>
        <a:fontRef idx="minor"/>
      </xdr:style>
    </xdr:sp>
    <xdr:clientData/>
  </xdr:twoCellAnchor>
  <xdr:twoCellAnchor editAs="twoCell">
    <xdr:from>
      <xdr:col>3</xdr:col>
      <xdr:colOff>1019160</xdr:colOff>
      <xdr:row>12</xdr:row>
      <xdr:rowOff>95040</xdr:rowOff>
    </xdr:from>
    <xdr:to>
      <xdr:col>4</xdr:col>
      <xdr:colOff>657000</xdr:colOff>
      <xdr:row>12</xdr:row>
      <xdr:rowOff>95040</xdr:rowOff>
    </xdr:to>
    <xdr:sp>
      <xdr:nvSpPr>
        <xdr:cNvPr id="27" name="Line 33"/>
        <xdr:cNvSpPr/>
      </xdr:nvSpPr>
      <xdr:spPr>
        <a:xfrm flipH="1">
          <a:off x="3508200" y="2198160"/>
          <a:ext cx="841320" cy="0"/>
        </a:xfrm>
        <a:prstGeom prst="line">
          <a:avLst/>
        </a:prstGeom>
        <a:ln w="9525">
          <a:solidFill>
            <a:srgbClr val="000000"/>
          </a:solidFill>
          <a:round/>
          <a:tailEnd len="med" type="triangle" w="med"/>
        </a:ln>
      </xdr:spPr>
      <xdr:style>
        <a:lnRef idx="0"/>
        <a:fillRef idx="0"/>
        <a:effectRef idx="0"/>
        <a:fontRef idx="minor"/>
      </xdr:style>
    </xdr:sp>
    <xdr:clientData/>
  </xdr:twoCellAnchor>
  <xdr:twoCellAnchor editAs="twoCell">
    <xdr:from>
      <xdr:col>3</xdr:col>
      <xdr:colOff>1019160</xdr:colOff>
      <xdr:row>10</xdr:row>
      <xdr:rowOff>95040</xdr:rowOff>
    </xdr:from>
    <xdr:to>
      <xdr:col>4</xdr:col>
      <xdr:colOff>657000</xdr:colOff>
      <xdr:row>10</xdr:row>
      <xdr:rowOff>95040</xdr:rowOff>
    </xdr:to>
    <xdr:sp>
      <xdr:nvSpPr>
        <xdr:cNvPr id="28" name="Line 34"/>
        <xdr:cNvSpPr/>
      </xdr:nvSpPr>
      <xdr:spPr>
        <a:xfrm flipH="1">
          <a:off x="3508200" y="1847520"/>
          <a:ext cx="841320" cy="0"/>
        </a:xfrm>
        <a:prstGeom prst="line">
          <a:avLst/>
        </a:prstGeom>
        <a:ln w="9525">
          <a:solidFill>
            <a:srgbClr val="000000"/>
          </a:solidFill>
          <a:round/>
          <a:tailEnd len="med" type="triangle" w="med"/>
        </a:ln>
      </xdr:spPr>
      <xdr:style>
        <a:lnRef idx="0"/>
        <a:fillRef idx="0"/>
        <a:effectRef idx="0"/>
        <a:fontRef idx="minor"/>
      </xdr:style>
    </xdr:sp>
    <xdr:clientData/>
  </xdr:twoCellAnchor>
  <xdr:twoCellAnchor editAs="twoCell">
    <xdr:from>
      <xdr:col>4</xdr:col>
      <xdr:colOff>9360</xdr:colOff>
      <xdr:row>37</xdr:row>
      <xdr:rowOff>75960</xdr:rowOff>
    </xdr:from>
    <xdr:to>
      <xdr:col>4</xdr:col>
      <xdr:colOff>752400</xdr:colOff>
      <xdr:row>37</xdr:row>
      <xdr:rowOff>75960</xdr:rowOff>
    </xdr:to>
    <xdr:sp>
      <xdr:nvSpPr>
        <xdr:cNvPr id="29" name="Line 38"/>
        <xdr:cNvSpPr/>
      </xdr:nvSpPr>
      <xdr:spPr>
        <a:xfrm flipH="1">
          <a:off x="3701880" y="6560640"/>
          <a:ext cx="743040" cy="0"/>
        </a:xfrm>
        <a:prstGeom prst="line">
          <a:avLst/>
        </a:prstGeom>
        <a:ln w="9525">
          <a:solidFill>
            <a:srgbClr val="000000"/>
          </a:solidFill>
          <a:round/>
          <a:headEnd len="med" type="triangle" w="med"/>
          <a:tailEnd len="med" type="triangle" w="med"/>
        </a:ln>
      </xdr:spPr>
      <xdr:style>
        <a:lnRef idx="0"/>
        <a:fillRef idx="0"/>
        <a:effectRef idx="0"/>
        <a:fontRef idx="minor"/>
      </xdr:style>
    </xdr:sp>
    <xdr:clientData/>
  </xdr:twoCellAnchor>
  <xdr:twoCellAnchor editAs="twoCell">
    <xdr:from>
      <xdr:col>4</xdr:col>
      <xdr:colOff>18720</xdr:colOff>
      <xdr:row>37</xdr:row>
      <xdr:rowOff>171360</xdr:rowOff>
    </xdr:from>
    <xdr:to>
      <xdr:col>4</xdr:col>
      <xdr:colOff>676080</xdr:colOff>
      <xdr:row>39</xdr:row>
      <xdr:rowOff>123480</xdr:rowOff>
    </xdr:to>
    <xdr:sp>
      <xdr:nvSpPr>
        <xdr:cNvPr id="30" name="Line 39"/>
        <xdr:cNvSpPr/>
      </xdr:nvSpPr>
      <xdr:spPr>
        <a:xfrm flipH="1" flipV="1">
          <a:off x="3711240" y="6656040"/>
          <a:ext cx="657360" cy="302760"/>
        </a:xfrm>
        <a:prstGeom prst="line">
          <a:avLst/>
        </a:prstGeom>
        <a:ln w="9525">
          <a:solidFill>
            <a:srgbClr val="000000"/>
          </a:solidFill>
          <a:round/>
          <a:headEnd len="med" type="triangle" w="med"/>
          <a:tailEnd len="med" type="triangle" w="med"/>
        </a:ln>
      </xdr:spPr>
      <xdr:style>
        <a:lnRef idx="0"/>
        <a:fillRef idx="0"/>
        <a:effectRef idx="0"/>
        <a:fontRef idx="minor"/>
      </xdr:style>
    </xdr:sp>
    <xdr:clientData/>
  </xdr:twoCellAnchor>
  <xdr:twoCellAnchor editAs="twoCell">
    <xdr:from>
      <xdr:col>6</xdr:col>
      <xdr:colOff>0</xdr:colOff>
      <xdr:row>4</xdr:row>
      <xdr:rowOff>85680</xdr:rowOff>
    </xdr:from>
    <xdr:to>
      <xdr:col>6</xdr:col>
      <xdr:colOff>657000</xdr:colOff>
      <xdr:row>4</xdr:row>
      <xdr:rowOff>85680</xdr:rowOff>
    </xdr:to>
    <xdr:sp>
      <xdr:nvSpPr>
        <xdr:cNvPr id="31" name="Line 42"/>
        <xdr:cNvSpPr/>
      </xdr:nvSpPr>
      <xdr:spPr>
        <a:xfrm>
          <a:off x="5671080" y="786600"/>
          <a:ext cx="657000" cy="0"/>
        </a:xfrm>
        <a:prstGeom prst="line">
          <a:avLst/>
        </a:prstGeom>
        <a:ln w="9525">
          <a:solidFill>
            <a:srgbClr val="000000"/>
          </a:solidFill>
          <a:round/>
          <a:headEnd len="med" type="triangle" w="med"/>
          <a:tailEnd len="med" type="triangle" w="med"/>
        </a:ln>
      </xdr:spPr>
      <xdr:style>
        <a:lnRef idx="0"/>
        <a:fillRef idx="0"/>
        <a:effectRef idx="0"/>
        <a:fontRef idx="minor"/>
      </xdr:style>
    </xdr:sp>
    <xdr:clientData/>
  </xdr:twoCellAnchor>
  <xdr:twoCellAnchor editAs="twoCell">
    <xdr:from>
      <xdr:col>6</xdr:col>
      <xdr:colOff>28440</xdr:colOff>
      <xdr:row>5</xdr:row>
      <xdr:rowOff>28440</xdr:rowOff>
    </xdr:from>
    <xdr:to>
      <xdr:col>6</xdr:col>
      <xdr:colOff>666720</xdr:colOff>
      <xdr:row>6</xdr:row>
      <xdr:rowOff>95040</xdr:rowOff>
    </xdr:to>
    <xdr:sp>
      <xdr:nvSpPr>
        <xdr:cNvPr id="32" name="Line 43"/>
        <xdr:cNvSpPr/>
      </xdr:nvSpPr>
      <xdr:spPr>
        <a:xfrm flipV="1">
          <a:off x="5699520" y="904680"/>
          <a:ext cx="638280" cy="241920"/>
        </a:xfrm>
        <a:prstGeom prst="line">
          <a:avLst/>
        </a:prstGeom>
        <a:ln w="9525">
          <a:solidFill>
            <a:srgbClr val="000000"/>
          </a:solidFill>
          <a:round/>
          <a:headEnd len="med" type="triangle" w="med"/>
          <a:tailEnd len="med" type="triangle" w="med"/>
        </a:ln>
      </xdr:spPr>
      <xdr:style>
        <a:lnRef idx="0"/>
        <a:fillRef idx="0"/>
        <a:effectRef idx="0"/>
        <a:fontRef idx="minor"/>
      </xdr:style>
    </xdr:sp>
    <xdr:clientData/>
  </xdr:twoCellAnchor>
  <xdr:twoCellAnchor editAs="twoCell">
    <xdr:from>
      <xdr:col>3</xdr:col>
      <xdr:colOff>885600</xdr:colOff>
      <xdr:row>17</xdr:row>
      <xdr:rowOff>0</xdr:rowOff>
    </xdr:from>
    <xdr:to>
      <xdr:col>4</xdr:col>
      <xdr:colOff>657000</xdr:colOff>
      <xdr:row>24</xdr:row>
      <xdr:rowOff>47520</xdr:rowOff>
    </xdr:to>
    <xdr:sp>
      <xdr:nvSpPr>
        <xdr:cNvPr id="33" name="Line 44"/>
        <xdr:cNvSpPr/>
      </xdr:nvSpPr>
      <xdr:spPr>
        <a:xfrm>
          <a:off x="3374640" y="2979360"/>
          <a:ext cx="974880" cy="1274400"/>
        </a:xfrm>
        <a:prstGeom prst="line">
          <a:avLst/>
        </a:prstGeom>
        <a:ln w="9525">
          <a:solidFill>
            <a:srgbClr val="000000"/>
          </a:solidFill>
          <a:round/>
          <a:tailEnd len="med" type="triangle" w="med"/>
        </a:ln>
      </xdr:spPr>
      <xdr:style>
        <a:lnRef idx="0"/>
        <a:fillRef idx="0"/>
        <a:effectRef idx="0"/>
        <a:fontRef idx="minor"/>
      </xdr:style>
    </xdr:sp>
    <xdr:clientData/>
  </xdr:twoCellAnchor>
  <xdr:twoCellAnchor editAs="twoCell">
    <xdr:from>
      <xdr:col>4</xdr:col>
      <xdr:colOff>590400</xdr:colOff>
      <xdr:row>36</xdr:row>
      <xdr:rowOff>114480</xdr:rowOff>
    </xdr:from>
    <xdr:to>
      <xdr:col>8</xdr:col>
      <xdr:colOff>275400</xdr:colOff>
      <xdr:row>40</xdr:row>
      <xdr:rowOff>75600</xdr:rowOff>
    </xdr:to>
    <xdr:sp>
      <xdr:nvSpPr>
        <xdr:cNvPr id="34" name="Rectangle 48"/>
        <xdr:cNvSpPr/>
      </xdr:nvSpPr>
      <xdr:spPr>
        <a:xfrm>
          <a:off x="4282920" y="6423840"/>
          <a:ext cx="3454200" cy="662040"/>
        </a:xfrm>
        <a:prstGeom prst="rect">
          <a:avLst/>
        </a:prstGeom>
        <a:noFill/>
        <a:ln w="9525">
          <a:solidFill>
            <a:srgbClr val="000000"/>
          </a:solidFill>
          <a:miter/>
        </a:ln>
      </xdr:spPr>
      <xdr:style>
        <a:lnRef idx="0"/>
        <a:fillRef idx="0"/>
        <a:effectRef idx="0"/>
        <a:fontRef idx="minor"/>
      </xdr:style>
    </xdr:sp>
    <xdr:clientData/>
  </xdr:twoCellAnchor>
  <xdr:twoCellAnchor editAs="twoCell">
    <xdr:from>
      <xdr:col>4</xdr:col>
      <xdr:colOff>600120</xdr:colOff>
      <xdr:row>3</xdr:row>
      <xdr:rowOff>114480</xdr:rowOff>
    </xdr:from>
    <xdr:to>
      <xdr:col>9</xdr:col>
      <xdr:colOff>256680</xdr:colOff>
      <xdr:row>7</xdr:row>
      <xdr:rowOff>75600</xdr:rowOff>
    </xdr:to>
    <xdr:sp>
      <xdr:nvSpPr>
        <xdr:cNvPr id="35" name="Rectangle 49"/>
        <xdr:cNvSpPr/>
      </xdr:nvSpPr>
      <xdr:spPr>
        <a:xfrm>
          <a:off x="4292640" y="640440"/>
          <a:ext cx="4179600" cy="662040"/>
        </a:xfrm>
        <a:prstGeom prst="rect">
          <a:avLst/>
        </a:prstGeom>
        <a:noFill/>
        <a:ln w="9525">
          <a:solidFill>
            <a:srgbClr val="000000"/>
          </a:solidFill>
          <a:miter/>
        </a:ln>
      </xdr:spPr>
      <xdr:style>
        <a:lnRef idx="0"/>
        <a:fillRef idx="0"/>
        <a:effectRef idx="0"/>
        <a:fontRef idx="minor"/>
      </xdr:style>
    </xdr:sp>
    <xdr:clientData/>
  </xdr:twoCellAnchor>
  <xdr:twoCellAnchor editAs="twoCell">
    <xdr:from>
      <xdr:col>3</xdr:col>
      <xdr:colOff>743040</xdr:colOff>
      <xdr:row>4</xdr:row>
      <xdr:rowOff>156240</xdr:rowOff>
    </xdr:from>
    <xdr:to>
      <xdr:col>4</xdr:col>
      <xdr:colOff>360000</xdr:colOff>
      <xdr:row>15</xdr:row>
      <xdr:rowOff>157680</xdr:rowOff>
    </xdr:to>
    <xdr:sp>
      <xdr:nvSpPr>
        <xdr:cNvPr id="36" name="Arc 50"/>
        <xdr:cNvSpPr/>
      </xdr:nvSpPr>
      <xdr:spPr>
        <a:xfrm flipV="1" rot="20536200">
          <a:off x="3231720" y="856800"/>
          <a:ext cx="820440" cy="1929600"/>
        </a:xfrm>
        <a:custGeom>
          <a:avLst/>
          <a:gdLst>
            <a:gd name="textAreaLeft" fmla="*/ 0 w 820440"/>
            <a:gd name="textAreaRight" fmla="*/ 821160 w 820440"/>
            <a:gd name="textAreaTop" fmla="*/ -360 h 1929600"/>
            <a:gd name="textAreaBottom" fmla="*/ 1929960 h 1929600"/>
            <a:gd name="GluePoint1X" fmla="*/ 0 w 21598"/>
            <a:gd name="GluePoint1Y" fmla="*/ 0 h 21600"/>
            <a:gd name="GluePoint2X" fmla="*/ 2147483646 w 21598"/>
            <a:gd name="GluePoint2Y" fmla="*/ 2147483646 h 21600"/>
            <a:gd name="GluePoint3X" fmla="*/ 0 w 21598"/>
            <a:gd name="GluePoint3Y" fmla="*/ 2147483646 h 21600"/>
          </a:gdLst>
          <a:ahLst/>
          <a:cxnLst>
            <a:cxn ang="0">
              <a:pos x="GluePoint1X" y="GluePoint1Y"/>
            </a:cxn>
            <a:cxn ang="0">
              <a:pos x="GluePoint2X" y="GluePoint2Y"/>
            </a:cxn>
            <a:cxn ang="0">
              <a:pos x="GluePoint3X" y="GluePoint3Y"/>
            </a:cxn>
          </a:cxnLst>
          <a:rect l="textAreaLeft" t="textAreaTop" r="textAreaRight" b="textAreaBottom"/>
          <a:pathLst>
            <a:path fill="none" w="21598" h="21600">
              <a:moveTo>
                <a:pt x="-1" y="0"/>
              </a:moveTo>
              <a:cubicBezTo>
                <a:pt x="11805" y="0"/>
                <a:pt x="21423" y="9477"/>
                <a:pt x="21597" y="21282"/>
              </a:cubicBezTo>
            </a:path>
            <a:path stroke="0" w="21598" h="21600">
              <a:moveTo>
                <a:pt x="-1" y="0"/>
              </a:moveTo>
              <a:cubicBezTo>
                <a:pt x="11805" y="0"/>
                <a:pt x="21423" y="9477"/>
                <a:pt x="21597" y="21282"/>
              </a:cubicBezTo>
              <a:lnTo>
                <a:pt x="0" y="21600"/>
              </a:lnTo>
              <a:lnTo>
                <a:pt x="-1" y="0"/>
              </a:lnTo>
              <a:close/>
            </a:path>
          </a:pathLst>
        </a:custGeom>
        <a:noFill/>
        <a:ln w="9525">
          <a:solidFill>
            <a:srgbClr val="0000D4"/>
          </a:solidFill>
          <a:round/>
          <a:tailEnd len="med" type="triangle" w="med"/>
        </a:ln>
      </xdr:spPr>
      <xdr:style>
        <a:lnRef idx="0"/>
        <a:fillRef idx="0"/>
        <a:effectRef idx="0"/>
        <a:fontRef idx="minor"/>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876240</xdr:colOff>
      <xdr:row>7</xdr:row>
      <xdr:rowOff>37800</xdr:rowOff>
    </xdr:from>
    <xdr:to>
      <xdr:col>1</xdr:col>
      <xdr:colOff>876240</xdr:colOff>
      <xdr:row>8</xdr:row>
      <xdr:rowOff>161640</xdr:rowOff>
    </xdr:to>
    <xdr:sp>
      <xdr:nvSpPr>
        <xdr:cNvPr id="37" name="Line 4"/>
        <xdr:cNvSpPr/>
      </xdr:nvSpPr>
      <xdr:spPr>
        <a:xfrm flipV="1">
          <a:off x="1630080" y="1264680"/>
          <a:ext cx="0" cy="299160"/>
        </a:xfrm>
        <a:prstGeom prst="line">
          <a:avLst/>
        </a:prstGeom>
        <a:ln w="19050">
          <a:solidFill>
            <a:srgbClr val="000000"/>
          </a:solidFill>
          <a:round/>
          <a:tailEnd len="med" type="triangle" w="med"/>
        </a:ln>
      </xdr:spPr>
      <xdr:style>
        <a:lnRef idx="0"/>
        <a:fillRef idx="0"/>
        <a:effectRef idx="0"/>
        <a:fontRef idx="minor"/>
      </xdr:style>
    </xdr:sp>
    <xdr:clientData/>
  </xdr:twoCellAnchor>
  <xdr:twoCellAnchor editAs="twoCell">
    <xdr:from>
      <xdr:col>3</xdr:col>
      <xdr:colOff>1028520</xdr:colOff>
      <xdr:row>7</xdr:row>
      <xdr:rowOff>18720</xdr:rowOff>
    </xdr:from>
    <xdr:to>
      <xdr:col>3</xdr:col>
      <xdr:colOff>1028520</xdr:colOff>
      <xdr:row>8</xdr:row>
      <xdr:rowOff>142560</xdr:rowOff>
    </xdr:to>
    <xdr:sp>
      <xdr:nvSpPr>
        <xdr:cNvPr id="38" name="Line 5"/>
        <xdr:cNvSpPr/>
      </xdr:nvSpPr>
      <xdr:spPr>
        <a:xfrm>
          <a:off x="5322960" y="1245600"/>
          <a:ext cx="0" cy="299160"/>
        </a:xfrm>
        <a:prstGeom prst="line">
          <a:avLst/>
        </a:prstGeom>
        <a:ln w="19050">
          <a:solidFill>
            <a:srgbClr val="000000"/>
          </a:solidFill>
          <a:round/>
          <a:tailEnd len="med" type="triangle" w="med"/>
        </a:ln>
      </xdr:spPr>
      <xdr:style>
        <a:lnRef idx="0"/>
        <a:fillRef idx="0"/>
        <a:effectRef idx="0"/>
        <a:fontRef idx="minor"/>
      </xdr:style>
    </xdr:sp>
    <xdr:clientData/>
  </xdr:twoCellAnchor>
  <xdr:twoCellAnchor editAs="twoCell">
    <xdr:from>
      <xdr:col>2</xdr:col>
      <xdr:colOff>9360</xdr:colOff>
      <xdr:row>9</xdr:row>
      <xdr:rowOff>125640</xdr:rowOff>
    </xdr:from>
    <xdr:to>
      <xdr:col>2</xdr:col>
      <xdr:colOff>947160</xdr:colOff>
      <xdr:row>9</xdr:row>
      <xdr:rowOff>125640</xdr:rowOff>
    </xdr:to>
    <xdr:sp>
      <xdr:nvSpPr>
        <xdr:cNvPr id="39" name="Line 6"/>
        <xdr:cNvSpPr/>
      </xdr:nvSpPr>
      <xdr:spPr>
        <a:xfrm>
          <a:off x="3355200" y="1703160"/>
          <a:ext cx="937800" cy="0"/>
        </a:xfrm>
        <a:prstGeom prst="line">
          <a:avLst/>
        </a:prstGeom>
        <a:ln cap="rnd" w="19050">
          <a:solidFill>
            <a:srgbClr val="000000"/>
          </a:solidFill>
          <a:prstDash val="sysDot"/>
          <a:round/>
          <a:tailEnd len="med" type="triangle" w="med"/>
        </a:ln>
      </xdr:spPr>
      <xdr:style>
        <a:lnRef idx="0"/>
        <a:fillRef idx="0"/>
        <a:effectRef idx="0"/>
        <a:fontRef idx="minor"/>
      </xdr:style>
    </xdr:sp>
    <xdr:clientData/>
  </xdr:twoCellAnchor>
  <xdr:twoCellAnchor editAs="twoCell">
    <xdr:from>
      <xdr:col>1</xdr:col>
      <xdr:colOff>704880</xdr:colOff>
      <xdr:row>20</xdr:row>
      <xdr:rowOff>38520</xdr:rowOff>
    </xdr:from>
    <xdr:to>
      <xdr:col>1</xdr:col>
      <xdr:colOff>1037520</xdr:colOff>
      <xdr:row>21</xdr:row>
      <xdr:rowOff>142560</xdr:rowOff>
    </xdr:to>
    <xdr:sp>
      <xdr:nvSpPr>
        <xdr:cNvPr id="40" name="AutoShape 7"/>
        <xdr:cNvSpPr/>
      </xdr:nvSpPr>
      <xdr:spPr>
        <a:xfrm flipV="1">
          <a:off x="1458720" y="3543840"/>
          <a:ext cx="332640" cy="279360"/>
        </a:xfrm>
        <a:prstGeom prst="downArrow">
          <a:avLst>
            <a:gd name="adj1" fmla="val 50000"/>
            <a:gd name="adj2" fmla="val 25000"/>
          </a:avLst>
        </a:prstGeom>
        <a:solidFill>
          <a:srgbClr val="FFFFFF"/>
        </a:solidFill>
        <a:ln w="19050">
          <a:solidFill>
            <a:srgbClr val="000000"/>
          </a:solidFill>
          <a:miter/>
        </a:ln>
      </xdr:spPr>
      <xdr:style>
        <a:lnRef idx="0"/>
        <a:fillRef idx="0"/>
        <a:effectRef idx="0"/>
        <a:fontRef idx="minor"/>
      </xdr:style>
    </xdr:sp>
    <xdr:clientData/>
  </xdr:twoCellAnchor>
  <xdr:twoCellAnchor editAs="twoCell">
    <xdr:from>
      <xdr:col>2</xdr:col>
      <xdr:colOff>9360</xdr:colOff>
      <xdr:row>11</xdr:row>
      <xdr:rowOff>95040</xdr:rowOff>
    </xdr:from>
    <xdr:to>
      <xdr:col>2</xdr:col>
      <xdr:colOff>847440</xdr:colOff>
      <xdr:row>16</xdr:row>
      <xdr:rowOff>18720</xdr:rowOff>
    </xdr:to>
    <xdr:sp>
      <xdr:nvSpPr>
        <xdr:cNvPr id="41" name="Line 12"/>
        <xdr:cNvSpPr/>
      </xdr:nvSpPr>
      <xdr:spPr>
        <a:xfrm>
          <a:off x="3355200" y="2022840"/>
          <a:ext cx="838080" cy="799920"/>
        </a:xfrm>
        <a:prstGeom prst="line">
          <a:avLst/>
        </a:prstGeom>
        <a:ln w="19050">
          <a:solidFill>
            <a:srgbClr val="000000"/>
          </a:solidFill>
          <a:prstDash val="sysDot"/>
          <a:round/>
          <a:tailEnd len="med" type="triangle" w="med"/>
        </a:ln>
      </xdr:spPr>
      <xdr:style>
        <a:lnRef idx="0"/>
        <a:fillRef idx="0"/>
        <a:effectRef idx="0"/>
        <a:fontRef idx="minor"/>
      </xdr:style>
    </xdr:sp>
    <xdr:clientData/>
  </xdr:twoCellAnchor>
  <xdr:twoCellAnchor editAs="twoCell">
    <xdr:from>
      <xdr:col>3</xdr:col>
      <xdr:colOff>685800</xdr:colOff>
      <xdr:row>20</xdr:row>
      <xdr:rowOff>38520</xdr:rowOff>
    </xdr:from>
    <xdr:to>
      <xdr:col>3</xdr:col>
      <xdr:colOff>1028160</xdr:colOff>
      <xdr:row>21</xdr:row>
      <xdr:rowOff>142560</xdr:rowOff>
    </xdr:to>
    <xdr:sp>
      <xdr:nvSpPr>
        <xdr:cNvPr id="42" name="AutoShape 14"/>
        <xdr:cNvSpPr/>
      </xdr:nvSpPr>
      <xdr:spPr>
        <a:xfrm flipV="1">
          <a:off x="4980240" y="3543840"/>
          <a:ext cx="342360" cy="279360"/>
        </a:xfrm>
        <a:prstGeom prst="downArrow">
          <a:avLst>
            <a:gd name="adj1" fmla="val 50000"/>
            <a:gd name="adj2" fmla="val 25000"/>
          </a:avLst>
        </a:prstGeom>
        <a:solidFill>
          <a:srgbClr val="FFFFFF"/>
        </a:solidFill>
        <a:ln w="19050">
          <a:solidFill>
            <a:srgbClr val="000000"/>
          </a:solidFill>
          <a:miter/>
        </a:ln>
      </xdr:spPr>
      <xdr:style>
        <a:lnRef idx="0"/>
        <a:fillRef idx="0"/>
        <a:effectRef idx="0"/>
        <a:fontRef idx="minor"/>
      </xdr:style>
    </xdr:sp>
    <xdr:clientData/>
  </xdr:twoCellAnchor>
  <xdr:twoCellAnchor editAs="twoCell">
    <xdr:from>
      <xdr:col>2</xdr:col>
      <xdr:colOff>29880</xdr:colOff>
      <xdr:row>23</xdr:row>
      <xdr:rowOff>9360</xdr:rowOff>
    </xdr:from>
    <xdr:to>
      <xdr:col>2</xdr:col>
      <xdr:colOff>681840</xdr:colOff>
      <xdr:row>24</xdr:row>
      <xdr:rowOff>105840</xdr:rowOff>
    </xdr:to>
    <xdr:sp>
      <xdr:nvSpPr>
        <xdr:cNvPr id="43" name="AutoShape 16"/>
        <xdr:cNvSpPr/>
      </xdr:nvSpPr>
      <xdr:spPr>
        <a:xfrm flipH="1">
          <a:off x="3375720" y="4040280"/>
          <a:ext cx="651960" cy="271800"/>
        </a:xfrm>
        <a:prstGeom prst="leftArrow">
          <a:avLst>
            <a:gd name="adj1" fmla="val 71426"/>
            <a:gd name="adj2" fmla="val 60352"/>
          </a:avLst>
        </a:prstGeom>
        <a:solidFill>
          <a:srgbClr val="FFFFFF"/>
        </a:solidFill>
        <a:ln w="19050">
          <a:solidFill>
            <a:srgbClr val="000000"/>
          </a:solidFill>
          <a:miter/>
        </a:ln>
      </xdr:spPr>
      <xdr:style>
        <a:lnRef idx="0"/>
        <a:fillRef idx="0"/>
        <a:effectRef idx="0"/>
        <a:fontRef idx="minor"/>
      </xdr:style>
      <xdr:txBody>
        <a:bodyPr vertOverflow="clip" lIns="27360" tIns="18360" rIns="27360" bIns="0" anchor="t" upright="1">
          <a:noAutofit/>
        </a:bodyPr>
        <a:p>
          <a:pPr algn="ctr">
            <a:lnSpc>
              <a:spcPct val="100000"/>
            </a:lnSpc>
          </a:pPr>
          <a:r>
            <a:rPr lang="ja-JP" sz="1100" b="0" u="none" strike="noStrike">
              <a:solidFill>
                <a:srgbClr val="000000"/>
              </a:solidFill>
              <a:effectLst/>
              <a:uFillTx/>
              <a:latin typeface="ＭＳ Ｐゴシック"/>
              <a:ea typeface="ＭＳ Ｐゴシック"/>
            </a:rPr>
            <a:t>派生</a:t>
          </a:r>
          <a:endParaRPr lang="en-US" sz="1100" b="0" u="none" strike="noStrike">
            <a:effectLst/>
            <a:uFillTx/>
            <a:latin typeface="Noto Serif CJK JP"/>
          </a:endParaRPr>
        </a:p>
      </xdr:txBody>
    </xdr:sp>
    <xdr:clientData/>
  </xdr:twoCellAnchor>
  <xdr:twoCellAnchor editAs="twoCell">
    <xdr:from>
      <xdr:col>1</xdr:col>
      <xdr:colOff>876240</xdr:colOff>
      <xdr:row>12</xdr:row>
      <xdr:rowOff>0</xdr:rowOff>
    </xdr:from>
    <xdr:to>
      <xdr:col>1</xdr:col>
      <xdr:colOff>876240</xdr:colOff>
      <xdr:row>15</xdr:row>
      <xdr:rowOff>133200</xdr:rowOff>
    </xdr:to>
    <xdr:sp>
      <xdr:nvSpPr>
        <xdr:cNvPr id="44" name="Line 18"/>
        <xdr:cNvSpPr/>
      </xdr:nvSpPr>
      <xdr:spPr>
        <a:xfrm>
          <a:off x="1630080" y="2103120"/>
          <a:ext cx="0" cy="659160"/>
        </a:xfrm>
        <a:prstGeom prst="line">
          <a:avLst/>
        </a:prstGeom>
        <a:ln w="19050">
          <a:solidFill>
            <a:srgbClr val="000000"/>
          </a:solidFill>
          <a:round/>
          <a:tailEnd len="med" type="triangle" w="med"/>
        </a:ln>
      </xdr:spPr>
      <xdr:style>
        <a:lnRef idx="0"/>
        <a:fillRef idx="0"/>
        <a:effectRef idx="0"/>
        <a:fontRef idx="minor"/>
      </xdr:style>
    </xdr:sp>
    <xdr:clientData/>
  </xdr:twoCellAnchor>
  <xdr:twoCellAnchor editAs="twoCell">
    <xdr:from>
      <xdr:col>0</xdr:col>
      <xdr:colOff>447480</xdr:colOff>
      <xdr:row>4</xdr:row>
      <xdr:rowOff>85680</xdr:rowOff>
    </xdr:from>
    <xdr:to>
      <xdr:col>1</xdr:col>
      <xdr:colOff>9360</xdr:colOff>
      <xdr:row>4</xdr:row>
      <xdr:rowOff>85680</xdr:rowOff>
    </xdr:to>
    <xdr:sp>
      <xdr:nvSpPr>
        <xdr:cNvPr id="45" name="Line 22"/>
        <xdr:cNvSpPr/>
      </xdr:nvSpPr>
      <xdr:spPr>
        <a:xfrm>
          <a:off x="447480" y="786600"/>
          <a:ext cx="315720" cy="0"/>
        </a:xfrm>
        <a:prstGeom prst="line">
          <a:avLst/>
        </a:prstGeom>
        <a:ln w="19050">
          <a:solidFill>
            <a:srgbClr val="000000"/>
          </a:solidFill>
          <a:round/>
          <a:tailEnd len="med" type="triangle" w="med"/>
        </a:ln>
      </xdr:spPr>
      <xdr:style>
        <a:lnRef idx="0"/>
        <a:fillRef idx="0"/>
        <a:effectRef idx="0"/>
        <a:fontRef idx="minor"/>
      </xdr:style>
    </xdr:sp>
    <xdr:clientData/>
  </xdr:twoCellAnchor>
  <xdr:twoCellAnchor editAs="twoCell">
    <xdr:from>
      <xdr:col>0</xdr:col>
      <xdr:colOff>447480</xdr:colOff>
      <xdr:row>4</xdr:row>
      <xdr:rowOff>85680</xdr:rowOff>
    </xdr:from>
    <xdr:to>
      <xdr:col>0</xdr:col>
      <xdr:colOff>447480</xdr:colOff>
      <xdr:row>16</xdr:row>
      <xdr:rowOff>142560</xdr:rowOff>
    </xdr:to>
    <xdr:sp>
      <xdr:nvSpPr>
        <xdr:cNvPr id="46" name="Line 23"/>
        <xdr:cNvSpPr/>
      </xdr:nvSpPr>
      <xdr:spPr>
        <a:xfrm>
          <a:off x="447480" y="786600"/>
          <a:ext cx="0" cy="2160000"/>
        </a:xfrm>
        <a:prstGeom prst="line">
          <a:avLst/>
        </a:prstGeom>
        <a:ln w="19050">
          <a:solidFill>
            <a:srgbClr val="000000"/>
          </a:solidFill>
          <a:round/>
        </a:ln>
      </xdr:spPr>
      <xdr:style>
        <a:lnRef idx="0"/>
        <a:fillRef idx="0"/>
        <a:effectRef idx="0"/>
        <a:fontRef idx="minor"/>
      </xdr:style>
    </xdr:sp>
    <xdr:clientData/>
  </xdr:twoCellAnchor>
  <xdr:twoCellAnchor editAs="twoCell">
    <xdr:from>
      <xdr:col>0</xdr:col>
      <xdr:colOff>438120</xdr:colOff>
      <xdr:row>16</xdr:row>
      <xdr:rowOff>145800</xdr:rowOff>
    </xdr:from>
    <xdr:to>
      <xdr:col>0</xdr:col>
      <xdr:colOff>676080</xdr:colOff>
      <xdr:row>16</xdr:row>
      <xdr:rowOff>145800</xdr:rowOff>
    </xdr:to>
    <xdr:sp>
      <xdr:nvSpPr>
        <xdr:cNvPr id="47" name="Line 24"/>
        <xdr:cNvSpPr/>
      </xdr:nvSpPr>
      <xdr:spPr>
        <a:xfrm>
          <a:off x="438120" y="2949840"/>
          <a:ext cx="237960" cy="0"/>
        </a:xfrm>
        <a:prstGeom prst="line">
          <a:avLst/>
        </a:prstGeom>
        <a:ln w="19050">
          <a:solidFill>
            <a:srgbClr val="000000"/>
          </a:solidFill>
          <a:round/>
        </a:ln>
      </xdr:spPr>
      <xdr:style>
        <a:lnRef idx="0"/>
        <a:fillRef idx="0"/>
        <a:effectRef idx="0"/>
        <a:fontRef idx="minor"/>
      </xdr:style>
    </xdr:sp>
    <xdr:clientData/>
  </xdr:twoCellAnchor>
  <xdr:twoCellAnchor editAs="twoCell">
    <xdr:from>
      <xdr:col>3</xdr:col>
      <xdr:colOff>2342880</xdr:colOff>
      <xdr:row>7</xdr:row>
      <xdr:rowOff>0</xdr:rowOff>
    </xdr:from>
    <xdr:to>
      <xdr:col>5</xdr:col>
      <xdr:colOff>314280</xdr:colOff>
      <xdr:row>16</xdr:row>
      <xdr:rowOff>28440</xdr:rowOff>
    </xdr:to>
    <xdr:sp>
      <xdr:nvSpPr>
        <xdr:cNvPr id="48" name="Line 28"/>
        <xdr:cNvSpPr/>
      </xdr:nvSpPr>
      <xdr:spPr>
        <a:xfrm flipH="1">
          <a:off x="6637320" y="1226880"/>
          <a:ext cx="1450800" cy="1605600"/>
        </a:xfrm>
        <a:prstGeom prst="line">
          <a:avLst/>
        </a:prstGeom>
        <a:ln w="19050">
          <a:solidFill>
            <a:srgbClr val="000000"/>
          </a:solidFill>
          <a:round/>
          <a:tailEnd len="med" type="triangle" w="med"/>
        </a:ln>
      </xdr:spPr>
      <xdr:style>
        <a:lnRef idx="0"/>
        <a:fillRef idx="0"/>
        <a:effectRef idx="0"/>
        <a:fontRef idx="minor"/>
      </xdr:style>
    </xdr:sp>
    <xdr:clientData/>
  </xdr:twoCellAnchor>
  <xdr:twoCellAnchor editAs="twoCell">
    <xdr:from>
      <xdr:col>2</xdr:col>
      <xdr:colOff>18720</xdr:colOff>
      <xdr:row>5</xdr:row>
      <xdr:rowOff>56880</xdr:rowOff>
    </xdr:from>
    <xdr:to>
      <xdr:col>3</xdr:col>
      <xdr:colOff>75960</xdr:colOff>
      <xdr:row>15</xdr:row>
      <xdr:rowOff>171360</xdr:rowOff>
    </xdr:to>
    <xdr:sp>
      <xdr:nvSpPr>
        <xdr:cNvPr id="49" name="Line 29"/>
        <xdr:cNvSpPr/>
      </xdr:nvSpPr>
      <xdr:spPr>
        <a:xfrm flipH="1" flipV="1">
          <a:off x="3364560" y="933120"/>
          <a:ext cx="1005840" cy="1867320"/>
        </a:xfrm>
        <a:prstGeom prst="line">
          <a:avLst/>
        </a:prstGeom>
        <a:ln w="19050">
          <a:solidFill>
            <a:srgbClr val="000000"/>
          </a:solidFill>
          <a:round/>
          <a:headEnd len="med" type="triangle" w="med"/>
          <a:tailEnd len="med" type="triangle" w="med"/>
        </a:ln>
      </xdr:spPr>
      <xdr:style>
        <a:lnRef idx="0"/>
        <a:fillRef idx="0"/>
        <a:effectRef idx="0"/>
        <a:fontRef idx="minor"/>
      </xdr:style>
    </xdr:sp>
    <xdr:clientData/>
  </xdr:twoCellAnchor>
  <xdr:twoCellAnchor editAs="twoCell">
    <xdr:from>
      <xdr:col>2</xdr:col>
      <xdr:colOff>0</xdr:colOff>
      <xdr:row>12</xdr:row>
      <xdr:rowOff>0</xdr:rowOff>
    </xdr:from>
    <xdr:to>
      <xdr:col>3</xdr:col>
      <xdr:colOff>28440</xdr:colOff>
      <xdr:row>22</xdr:row>
      <xdr:rowOff>9360</xdr:rowOff>
    </xdr:to>
    <xdr:sp>
      <xdr:nvSpPr>
        <xdr:cNvPr id="50" name="Line 30"/>
        <xdr:cNvSpPr/>
      </xdr:nvSpPr>
      <xdr:spPr>
        <a:xfrm flipH="1">
          <a:off x="3345840" y="2103120"/>
          <a:ext cx="977040" cy="1761840"/>
        </a:xfrm>
        <a:prstGeom prst="line">
          <a:avLst/>
        </a:prstGeom>
        <a:ln w="19050">
          <a:solidFill>
            <a:srgbClr val="000000"/>
          </a:solidFill>
          <a:round/>
          <a:tailEnd len="med" type="triangle" w="med"/>
        </a:ln>
      </xdr:spPr>
      <xdr:style>
        <a:lnRef idx="0"/>
        <a:fillRef idx="0"/>
        <a:effectRef idx="0"/>
        <a:fontRef idx="minor"/>
      </xdr:style>
    </xdr:sp>
    <xdr:clientData/>
  </xdr:twoCellAnchor>
  <xdr:twoCellAnchor editAs="twoCell">
    <xdr:from>
      <xdr:col>2</xdr:col>
      <xdr:colOff>9360</xdr:colOff>
      <xdr:row>17</xdr:row>
      <xdr:rowOff>38520</xdr:rowOff>
    </xdr:from>
    <xdr:to>
      <xdr:col>2</xdr:col>
      <xdr:colOff>819000</xdr:colOff>
      <xdr:row>17</xdr:row>
      <xdr:rowOff>38520</xdr:rowOff>
    </xdr:to>
    <xdr:sp>
      <xdr:nvSpPr>
        <xdr:cNvPr id="51" name="Line 31"/>
        <xdr:cNvSpPr/>
      </xdr:nvSpPr>
      <xdr:spPr>
        <a:xfrm>
          <a:off x="3355200" y="3017880"/>
          <a:ext cx="809640" cy="0"/>
        </a:xfrm>
        <a:prstGeom prst="line">
          <a:avLst/>
        </a:prstGeom>
        <a:ln w="19050">
          <a:solidFill>
            <a:srgbClr val="000000"/>
          </a:solidFill>
          <a:round/>
          <a:tailEnd len="med" type="triangle" w="med"/>
        </a:ln>
      </xdr:spPr>
      <xdr:style>
        <a:lnRef idx="0"/>
        <a:fillRef idx="0"/>
        <a:effectRef idx="0"/>
        <a:fontRef idx="minor"/>
      </xdr:style>
    </xdr:sp>
    <xdr:clientData/>
  </xdr:twoCellAnchor>
  <xdr:twoCellAnchor editAs="twoCell">
    <xdr:from>
      <xdr:col>3</xdr:col>
      <xdr:colOff>2333520</xdr:colOff>
      <xdr:row>22</xdr:row>
      <xdr:rowOff>114120</xdr:rowOff>
    </xdr:from>
    <xdr:to>
      <xdr:col>4</xdr:col>
      <xdr:colOff>228600</xdr:colOff>
      <xdr:row>22</xdr:row>
      <xdr:rowOff>114120</xdr:rowOff>
    </xdr:to>
    <xdr:sp>
      <xdr:nvSpPr>
        <xdr:cNvPr id="52" name="Line 33"/>
        <xdr:cNvSpPr/>
      </xdr:nvSpPr>
      <xdr:spPr>
        <a:xfrm flipH="1">
          <a:off x="6627960" y="3969720"/>
          <a:ext cx="620640" cy="0"/>
        </a:xfrm>
        <a:prstGeom prst="line">
          <a:avLst/>
        </a:prstGeom>
        <a:ln w="19050">
          <a:solidFill>
            <a:srgbClr val="000000"/>
          </a:solidFill>
          <a:round/>
          <a:tailEnd len="med" type="triangle" w="med"/>
        </a:ln>
      </xdr:spPr>
      <xdr:style>
        <a:lnRef idx="0"/>
        <a:fillRef idx="0"/>
        <a:effectRef idx="0"/>
        <a:fontRef idx="minor"/>
      </xdr:style>
    </xdr:sp>
    <xdr:clientData/>
  </xdr:twoCellAnchor>
  <xdr:twoCellAnchor editAs="twoCell">
    <xdr:from>
      <xdr:col>4</xdr:col>
      <xdr:colOff>237960</xdr:colOff>
      <xdr:row>9</xdr:row>
      <xdr:rowOff>85680</xdr:rowOff>
    </xdr:from>
    <xdr:to>
      <xdr:col>4</xdr:col>
      <xdr:colOff>237960</xdr:colOff>
      <xdr:row>22</xdr:row>
      <xdr:rowOff>142560</xdr:rowOff>
    </xdr:to>
    <xdr:sp>
      <xdr:nvSpPr>
        <xdr:cNvPr id="53" name="Line 34"/>
        <xdr:cNvSpPr/>
      </xdr:nvSpPr>
      <xdr:spPr>
        <a:xfrm>
          <a:off x="7257960" y="1663200"/>
          <a:ext cx="0" cy="2334960"/>
        </a:xfrm>
        <a:prstGeom prst="line">
          <a:avLst/>
        </a:prstGeom>
        <a:ln w="19050">
          <a:solidFill>
            <a:srgbClr val="000000"/>
          </a:solidFill>
          <a:round/>
        </a:ln>
      </xdr:spPr>
      <xdr:style>
        <a:lnRef idx="0"/>
        <a:fillRef idx="0"/>
        <a:effectRef idx="0"/>
        <a:fontRef idx="minor"/>
      </xdr:style>
    </xdr:sp>
    <xdr:clientData/>
  </xdr:twoCellAnchor>
  <xdr:twoCellAnchor editAs="twoCell">
    <xdr:from>
      <xdr:col>4</xdr:col>
      <xdr:colOff>0</xdr:colOff>
      <xdr:row>9</xdr:row>
      <xdr:rowOff>106560</xdr:rowOff>
    </xdr:from>
    <xdr:to>
      <xdr:col>4</xdr:col>
      <xdr:colOff>237960</xdr:colOff>
      <xdr:row>9</xdr:row>
      <xdr:rowOff>106560</xdr:rowOff>
    </xdr:to>
    <xdr:sp>
      <xdr:nvSpPr>
        <xdr:cNvPr id="54" name="Line 35"/>
        <xdr:cNvSpPr/>
      </xdr:nvSpPr>
      <xdr:spPr>
        <a:xfrm flipH="1">
          <a:off x="7020000" y="1684080"/>
          <a:ext cx="237960" cy="0"/>
        </a:xfrm>
        <a:prstGeom prst="line">
          <a:avLst/>
        </a:prstGeom>
        <a:ln w="19050">
          <a:solidFill>
            <a:srgbClr val="000000"/>
          </a:solidFill>
          <a:round/>
        </a:ln>
      </xdr:spPr>
      <xdr:style>
        <a:lnRef idx="0"/>
        <a:fillRef idx="0"/>
        <a:effectRef idx="0"/>
        <a:fontRef idx="minor"/>
      </xdr:style>
    </xdr:sp>
    <xdr:clientData/>
  </xdr:twoCellAnchor>
  <xdr:twoCellAnchor editAs="twoCell">
    <xdr:from>
      <xdr:col>3</xdr:col>
      <xdr:colOff>457200</xdr:colOff>
      <xdr:row>12</xdr:row>
      <xdr:rowOff>18720</xdr:rowOff>
    </xdr:from>
    <xdr:to>
      <xdr:col>3</xdr:col>
      <xdr:colOff>457200</xdr:colOff>
      <xdr:row>16</xdr:row>
      <xdr:rowOff>9360</xdr:rowOff>
    </xdr:to>
    <xdr:sp>
      <xdr:nvSpPr>
        <xdr:cNvPr id="55" name="Line 36"/>
        <xdr:cNvSpPr/>
      </xdr:nvSpPr>
      <xdr:spPr>
        <a:xfrm>
          <a:off x="4751640" y="2121840"/>
          <a:ext cx="0" cy="691560"/>
        </a:xfrm>
        <a:prstGeom prst="line">
          <a:avLst/>
        </a:prstGeom>
        <a:ln w="19050">
          <a:solidFill>
            <a:srgbClr val="000000"/>
          </a:solidFill>
          <a:round/>
          <a:tailEnd len="med" type="triangle" w="med"/>
        </a:ln>
      </xdr:spPr>
      <xdr:style>
        <a:lnRef idx="0"/>
        <a:fillRef idx="0"/>
        <a:effectRef idx="0"/>
        <a:fontRef idx="minor"/>
      </xdr:style>
    </xdr:sp>
    <xdr:clientData/>
  </xdr:twoCellAnchor>
  <xdr:twoCellAnchor editAs="twoCell">
    <xdr:from>
      <xdr:col>1</xdr:col>
      <xdr:colOff>1914480</xdr:colOff>
      <xdr:row>11</xdr:row>
      <xdr:rowOff>66600</xdr:rowOff>
    </xdr:from>
    <xdr:to>
      <xdr:col>2</xdr:col>
      <xdr:colOff>809280</xdr:colOff>
      <xdr:row>15</xdr:row>
      <xdr:rowOff>161640</xdr:rowOff>
    </xdr:to>
    <xdr:sp>
      <xdr:nvSpPr>
        <xdr:cNvPr id="56" name="Line 37"/>
        <xdr:cNvSpPr/>
      </xdr:nvSpPr>
      <xdr:spPr>
        <a:xfrm flipH="1">
          <a:off x="2668320" y="1994400"/>
          <a:ext cx="1486800" cy="796320"/>
        </a:xfrm>
        <a:prstGeom prst="line">
          <a:avLst/>
        </a:prstGeom>
        <a:ln w="19050">
          <a:solidFill>
            <a:srgbClr val="000000"/>
          </a:solidFill>
          <a:round/>
          <a:tailEnd len="med" type="triangle" w="med"/>
        </a:ln>
      </xdr:spPr>
      <xdr:style>
        <a:lnRef idx="0"/>
        <a:fillRef idx="0"/>
        <a:effectRef idx="0"/>
        <a:fontRef idx="minor"/>
      </xdr:style>
    </xdr:sp>
    <xdr:clientData/>
  </xdr:twoCellAnchor>
  <xdr:twoCellAnchor editAs="twoCell">
    <xdr:from>
      <xdr:col>4</xdr:col>
      <xdr:colOff>85680</xdr:colOff>
      <xdr:row>1</xdr:row>
      <xdr:rowOff>77400</xdr:rowOff>
    </xdr:from>
    <xdr:to>
      <xdr:col>4</xdr:col>
      <xdr:colOff>647640</xdr:colOff>
      <xdr:row>1</xdr:row>
      <xdr:rowOff>77400</xdr:rowOff>
    </xdr:to>
    <xdr:sp>
      <xdr:nvSpPr>
        <xdr:cNvPr id="57" name="Line 39"/>
        <xdr:cNvSpPr/>
      </xdr:nvSpPr>
      <xdr:spPr>
        <a:xfrm>
          <a:off x="7105680" y="252720"/>
          <a:ext cx="561960" cy="0"/>
        </a:xfrm>
        <a:prstGeom prst="line">
          <a:avLst/>
        </a:prstGeom>
        <a:ln cap="rnd" w="19050">
          <a:solidFill>
            <a:srgbClr val="000000"/>
          </a:solidFill>
          <a:prstDash val="sysDot"/>
          <a:round/>
          <a:tailEnd len="med" type="triangle" w="med"/>
        </a:ln>
      </xdr:spPr>
      <xdr:style>
        <a:lnRef idx="0"/>
        <a:fillRef idx="0"/>
        <a:effectRef idx="0"/>
        <a:fontRef idx="minor"/>
      </xdr:style>
    </xdr:sp>
    <xdr:clientData/>
  </xdr:twoCellAnchor>
  <xdr:twoCellAnchor editAs="twoCell">
    <xdr:from>
      <xdr:col>4</xdr:col>
      <xdr:colOff>114120</xdr:colOff>
      <xdr:row>2</xdr:row>
      <xdr:rowOff>77760</xdr:rowOff>
    </xdr:from>
    <xdr:to>
      <xdr:col>4</xdr:col>
      <xdr:colOff>647640</xdr:colOff>
      <xdr:row>2</xdr:row>
      <xdr:rowOff>77760</xdr:rowOff>
    </xdr:to>
    <xdr:sp>
      <xdr:nvSpPr>
        <xdr:cNvPr id="58" name="Line 40"/>
        <xdr:cNvSpPr/>
      </xdr:nvSpPr>
      <xdr:spPr>
        <a:xfrm>
          <a:off x="7134120" y="428400"/>
          <a:ext cx="533520" cy="0"/>
        </a:xfrm>
        <a:prstGeom prst="line">
          <a:avLst/>
        </a:prstGeom>
        <a:ln w="19050">
          <a:solidFill>
            <a:srgbClr val="000000"/>
          </a:solidFill>
          <a:round/>
          <a:tailEnd len="med" type="triangle" w="med"/>
        </a:ln>
      </xdr:spPr>
      <xdr:style>
        <a:lnRef idx="0"/>
        <a:fillRef idx="0"/>
        <a:effectRef idx="0"/>
        <a:fontRef idx="minor"/>
      </xdr:style>
    </xdr:sp>
    <xdr:clientData/>
  </xdr:twoCellAnchor>
  <xdr:twoCellAnchor editAs="twoCell">
    <xdr:from>
      <xdr:col>3</xdr:col>
      <xdr:colOff>1266480</xdr:colOff>
      <xdr:row>7</xdr:row>
      <xdr:rowOff>95040</xdr:rowOff>
    </xdr:from>
    <xdr:to>
      <xdr:col>3</xdr:col>
      <xdr:colOff>1276200</xdr:colOff>
      <xdr:row>8</xdr:row>
      <xdr:rowOff>142560</xdr:rowOff>
    </xdr:to>
    <xdr:sp>
      <xdr:nvSpPr>
        <xdr:cNvPr id="59" name="Line 42"/>
        <xdr:cNvSpPr/>
      </xdr:nvSpPr>
      <xdr:spPr>
        <a:xfrm flipH="1">
          <a:off x="5560920" y="1321920"/>
          <a:ext cx="9720" cy="222840"/>
        </a:xfrm>
        <a:prstGeom prst="line">
          <a:avLst/>
        </a:prstGeom>
        <a:ln w="19050">
          <a:solidFill>
            <a:srgbClr val="000000"/>
          </a:solidFill>
          <a:round/>
          <a:tailEnd len="med" type="triangle" w="med"/>
        </a:ln>
      </xdr:spPr>
      <xdr:style>
        <a:lnRef idx="0"/>
        <a:fillRef idx="0"/>
        <a:effectRef idx="0"/>
        <a:fontRef idx="minor"/>
      </xdr:style>
    </xdr:sp>
    <xdr:clientData/>
  </xdr:twoCellAnchor>
  <xdr:twoCellAnchor editAs="twoCell">
    <xdr:from>
      <xdr:col>3</xdr:col>
      <xdr:colOff>1257120</xdr:colOff>
      <xdr:row>7</xdr:row>
      <xdr:rowOff>95040</xdr:rowOff>
    </xdr:from>
    <xdr:to>
      <xdr:col>5</xdr:col>
      <xdr:colOff>95040</xdr:colOff>
      <xdr:row>7</xdr:row>
      <xdr:rowOff>95040</xdr:rowOff>
    </xdr:to>
    <xdr:sp>
      <xdr:nvSpPr>
        <xdr:cNvPr id="60" name="Line 43"/>
        <xdr:cNvSpPr/>
      </xdr:nvSpPr>
      <xdr:spPr>
        <a:xfrm>
          <a:off x="5551560" y="1321920"/>
          <a:ext cx="2317320" cy="0"/>
        </a:xfrm>
        <a:prstGeom prst="line">
          <a:avLst/>
        </a:prstGeom>
        <a:ln w="19050">
          <a:solidFill>
            <a:srgbClr val="000000"/>
          </a:solidFill>
          <a:round/>
        </a:ln>
      </xdr:spPr>
      <xdr:style>
        <a:lnRef idx="0"/>
        <a:fillRef idx="0"/>
        <a:effectRef idx="0"/>
        <a:fontRef idx="minor"/>
      </xdr:style>
    </xdr:sp>
    <xdr:clientData/>
  </xdr:twoCellAnchor>
  <xdr:twoCellAnchor editAs="twoCell">
    <xdr:from>
      <xdr:col>5</xdr:col>
      <xdr:colOff>75960</xdr:colOff>
      <xdr:row>6</xdr:row>
      <xdr:rowOff>161640</xdr:rowOff>
    </xdr:from>
    <xdr:to>
      <xdr:col>5</xdr:col>
      <xdr:colOff>104760</xdr:colOff>
      <xdr:row>7</xdr:row>
      <xdr:rowOff>95040</xdr:rowOff>
    </xdr:to>
    <xdr:sp>
      <xdr:nvSpPr>
        <xdr:cNvPr id="61" name="Line 44"/>
        <xdr:cNvSpPr/>
      </xdr:nvSpPr>
      <xdr:spPr>
        <a:xfrm flipV="1">
          <a:off x="7849800" y="1213200"/>
          <a:ext cx="28800" cy="108720"/>
        </a:xfrm>
        <a:prstGeom prst="line">
          <a:avLst/>
        </a:prstGeom>
        <a:ln w="19050">
          <a:solidFill>
            <a:srgbClr val="000000"/>
          </a:solidFill>
          <a:round/>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6.xml.rels><?xml version="1.0" encoding="UTF-8"?>
<Relationships xmlns="http://schemas.openxmlformats.org/package/2006/relationships"><Relationship Id="rId1" Type="http://schemas.openxmlformats.org/officeDocument/2006/relationships/drawing" Target="../drawings/drawing1.xml"/>
</Relationships>
</file>

<file path=xl/worksheets/_rels/sheet2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true" showRowColHeaders="true" showZeros="true" rightToLeft="false" tabSelected="false" showOutlineSymbols="true" defaultGridColor="true" view="normal" topLeftCell="A25" colorId="64" zoomScale="100" zoomScaleNormal="100" zoomScalePageLayoutView="100" workbookViewId="0">
      <selection pane="topLeft" activeCell="E51" activeCellId="0" sqref="E51"/>
    </sheetView>
  </sheetViews>
  <sheetFormatPr defaultColWidth="8.54296875" defaultRowHeight="13.5" customHeight="false" zeroHeight="false" outlineLevelRow="0" outlineLevelCol="0"/>
  <sheetData>
    <row r="1" customFormat="false" ht="13.8" hidden="false" customHeight="false" outlineLevel="0" collapsed="false"/>
    <row r="2" customFormat="false" ht="13.8" hidden="false" customHeight="false" outlineLevel="0" collapsed="false">
      <c r="B2" s="1" t="s">
        <v>0</v>
      </c>
    </row>
    <row r="3" customFormat="false" ht="13.8" hidden="false" customHeight="false" outlineLevel="0" collapsed="false">
      <c r="C3" s="1" t="s">
        <v>1</v>
      </c>
    </row>
    <row r="4" customFormat="false" ht="13.8" hidden="false" customHeight="false" outlineLevel="0" collapsed="false"/>
    <row r="5" customFormat="false" ht="13.8" hidden="false" customHeight="false" outlineLevel="0" collapsed="false">
      <c r="B5" s="1" t="s">
        <v>2</v>
      </c>
    </row>
    <row r="6" customFormat="false" ht="13.8" hidden="false" customHeight="false" outlineLevel="0" collapsed="false">
      <c r="C6" s="1" t="s">
        <v>3</v>
      </c>
    </row>
    <row r="7" customFormat="false" ht="13.8" hidden="false" customHeight="false" outlineLevel="0" collapsed="false"/>
    <row r="8" customFormat="false" ht="13.8" hidden="false" customHeight="false" outlineLevel="0" collapsed="false">
      <c r="B8" s="1" t="s">
        <v>4</v>
      </c>
    </row>
    <row r="9" customFormat="false" ht="13.8" hidden="false" customHeight="false" outlineLevel="0" collapsed="false"/>
    <row r="10" customFormat="false" ht="13.8" hidden="false" customHeight="false" outlineLevel="0" collapsed="false">
      <c r="B10" s="1" t="n">
        <v>1</v>
      </c>
      <c r="C10" s="1" t="s">
        <v>5</v>
      </c>
    </row>
    <row r="11" customFormat="false" ht="13.8" hidden="false" customHeight="false" outlineLevel="0" collapsed="false">
      <c r="B11" s="1" t="n">
        <v>2</v>
      </c>
      <c r="C11" s="1" t="s">
        <v>6</v>
      </c>
    </row>
    <row r="12" customFormat="false" ht="13.8" hidden="false" customHeight="false" outlineLevel="0" collapsed="false">
      <c r="B12" s="1" t="n">
        <v>3</v>
      </c>
      <c r="C12" s="1" t="s">
        <v>7</v>
      </c>
    </row>
    <row r="13" customFormat="false" ht="13.8" hidden="false" customHeight="false" outlineLevel="0" collapsed="false"/>
    <row r="14" customFormat="false" ht="13.8" hidden="false" customHeight="false" outlineLevel="0" collapsed="false">
      <c r="A14" s="1" t="s">
        <v>8</v>
      </c>
    </row>
    <row r="15" customFormat="false" ht="13.8" hidden="false" customHeight="false" outlineLevel="0" collapsed="false">
      <c r="A15" s="1" t="s">
        <v>9</v>
      </c>
    </row>
    <row r="16" customFormat="false" ht="13.8" hidden="false" customHeight="false" outlineLevel="0" collapsed="false">
      <c r="A16" s="1" t="s">
        <v>10</v>
      </c>
    </row>
    <row r="17" customFormat="false" ht="13.8" hidden="false" customHeight="false" outlineLevel="0" collapsed="false"/>
    <row r="18" customFormat="false" ht="13.8" hidden="false" customHeight="false" outlineLevel="0" collapsed="false"/>
    <row r="19" customFormat="false" ht="13.8" hidden="false" customHeight="false" outlineLevel="0" collapsed="false">
      <c r="A19" s="1" t="s">
        <v>11</v>
      </c>
    </row>
    <row r="20" customFormat="false" ht="13.8" hidden="false" customHeight="false" outlineLevel="0" collapsed="false">
      <c r="B20" s="1" t="s">
        <v>12</v>
      </c>
    </row>
    <row r="21" customFormat="false" ht="13.8" hidden="false" customHeight="false" outlineLevel="0" collapsed="false">
      <c r="B21" s="1" t="s">
        <v>13</v>
      </c>
    </row>
    <row r="22" customFormat="false" ht="13.8" hidden="false" customHeight="false" outlineLevel="0" collapsed="false">
      <c r="A22" s="1" t="s">
        <v>14</v>
      </c>
    </row>
    <row r="23" customFormat="false" ht="13.8" hidden="false" customHeight="false" outlineLevel="0" collapsed="false">
      <c r="B23" s="1" t="s">
        <v>12</v>
      </c>
    </row>
    <row r="24" customFormat="false" ht="13.8" hidden="false" customHeight="false" outlineLevel="0" collapsed="false">
      <c r="B24" s="1" t="s">
        <v>13</v>
      </c>
    </row>
    <row r="25" customFormat="false" ht="13.8" hidden="false" customHeight="false" outlineLevel="0" collapsed="false">
      <c r="B25" s="1" t="s">
        <v>15</v>
      </c>
    </row>
    <row r="26" customFormat="false" ht="13.8" hidden="false" customHeight="false" outlineLevel="0" collapsed="false">
      <c r="B26" s="1" t="s">
        <v>16</v>
      </c>
      <c r="D26" s="1" t="s">
        <v>17</v>
      </c>
    </row>
    <row r="27" customFormat="false" ht="13.8" hidden="false" customHeight="false" outlineLevel="0" collapsed="false"/>
    <row r="28" customFormat="false" ht="13.8" hidden="false" customHeight="false" outlineLevel="0" collapsed="false"/>
    <row r="29" customFormat="false" ht="13.8" hidden="false" customHeight="false" outlineLevel="0" collapsed="false"/>
    <row r="30" customFormat="false" ht="13.8" hidden="false" customHeight="false" outlineLevel="0" collapsed="false"/>
    <row r="31" customFormat="false" ht="13.8" hidden="false" customHeight="false" outlineLevel="0" collapsed="false">
      <c r="A31" s="1" t="s">
        <v>18</v>
      </c>
    </row>
    <row r="32" customFormat="false" ht="13.8" hidden="false" customHeight="false" outlineLevel="0" collapsed="false"/>
    <row r="33" customFormat="false" ht="13.8" hidden="false" customHeight="false" outlineLevel="0" collapsed="false">
      <c r="B33" s="1" t="s">
        <v>19</v>
      </c>
    </row>
    <row r="34" customFormat="false" ht="13.8" hidden="false" customHeight="false" outlineLevel="0" collapsed="false"/>
    <row r="35" customFormat="false" ht="13.8" hidden="false" customHeight="false" outlineLevel="0" collapsed="false"/>
    <row r="36" customFormat="false" ht="13.8" hidden="false" customHeight="false" outlineLevel="0" collapsed="false"/>
    <row r="37" customFormat="false" ht="13.8" hidden="false" customHeight="false" outlineLevel="0" collapsed="false"/>
    <row r="38" customFormat="false" ht="13.8" hidden="false" customHeight="false" outlineLevel="0" collapsed="false">
      <c r="B38" s="2" t="s">
        <v>20</v>
      </c>
    </row>
    <row r="39" customFormat="false" ht="13.8" hidden="false" customHeight="false" outlineLevel="0" collapsed="false"/>
    <row r="40" customFormat="false" ht="13.8" hidden="false" customHeight="false" outlineLevel="0" collapsed="false">
      <c r="B40" s="1" t="s">
        <v>21</v>
      </c>
    </row>
    <row r="41" customFormat="false" ht="13.8" hidden="false" customHeight="false" outlineLevel="0" collapsed="false">
      <c r="B41" s="1" t="s">
        <v>20</v>
      </c>
    </row>
  </sheetData>
  <dataValidations count="1">
    <dataValidation allowBlank="true" errorStyle="stop" operator="between" showDropDown="false" showErrorMessage="true" showInputMessage="true" sqref="B38" type="list">
      <formula1>$B$40:$B$41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24" activePane="bottomRight" state="frozen"/>
      <selection pane="topLeft" activeCell="A1" activeCellId="0" sqref="A1"/>
      <selection pane="topRight" activeCell="D1" activeCellId="0" sqref="D1"/>
      <selection pane="bottomLeft" activeCell="A24" activeCellId="0" sqref="A24"/>
      <selection pane="bottomRight" activeCell="D70" activeCellId="0" sqref="D70"/>
    </sheetView>
  </sheetViews>
  <sheetFormatPr defaultColWidth="8.54296875" defaultRowHeight="13.5" customHeight="false" zeroHeight="false" outlineLevelRow="0" outlineLevelCol="0"/>
  <cols>
    <col collapsed="false" customWidth="true" hidden="false" outlineLevel="0" max="1" min="1" style="1" width="10.12"/>
    <col collapsed="false" customWidth="true" hidden="false" outlineLevel="0" max="2" min="2" style="1" width="34.25"/>
    <col collapsed="false" customWidth="true" hidden="false" outlineLevel="0" max="3" min="3" style="1" width="21.88"/>
  </cols>
  <sheetData>
    <row r="1" customFormat="false" ht="22.05" hidden="false" customHeight="false" outlineLevel="0" collapsed="false">
      <c r="A1" s="3" t="s">
        <v>22</v>
      </c>
    </row>
    <row r="3" customFormat="false" ht="13.5" hidden="false" customHeight="false" outlineLevel="0" collapsed="false">
      <c r="A3" s="4" t="s">
        <v>23</v>
      </c>
    </row>
    <row r="4" customFormat="false" ht="19.4" hidden="false" customHeight="false" outlineLevel="0" collapsed="false">
      <c r="A4" s="1" t="s">
        <v>24</v>
      </c>
      <c r="D4" s="5" t="s">
        <v>25</v>
      </c>
      <c r="E4" s="6" t="s">
        <v>26</v>
      </c>
    </row>
    <row r="5" customFormat="false" ht="13.5" hidden="false" customHeight="false" outlineLevel="0" collapsed="false">
      <c r="A5" s="1" t="s">
        <v>27</v>
      </c>
    </row>
    <row r="7" customFormat="false" ht="13.5" hidden="false" customHeight="false" outlineLevel="0" collapsed="false">
      <c r="A7" s="7" t="s">
        <v>28</v>
      </c>
      <c r="B7" s="7" t="s">
        <v>29</v>
      </c>
      <c r="C7" s="7" t="s">
        <v>30</v>
      </c>
    </row>
    <row r="8" customFormat="false" ht="13.5" hidden="false" customHeight="false" outlineLevel="0" collapsed="false">
      <c r="A8" s="8" t="s">
        <v>31</v>
      </c>
      <c r="B8" s="8" t="s">
        <v>32</v>
      </c>
      <c r="C8" s="8" t="s">
        <v>33</v>
      </c>
    </row>
    <row r="9" customFormat="false" ht="13.5" hidden="false" customHeight="false" outlineLevel="0" collapsed="false">
      <c r="A9" s="8" t="s">
        <v>34</v>
      </c>
      <c r="B9" s="8" t="s">
        <v>35</v>
      </c>
      <c r="C9" s="8" t="s">
        <v>36</v>
      </c>
    </row>
    <row r="10" customFormat="false" ht="13.5" hidden="false" customHeight="false" outlineLevel="0" collapsed="false">
      <c r="A10" s="8" t="s">
        <v>37</v>
      </c>
      <c r="B10" s="8" t="s">
        <v>38</v>
      </c>
      <c r="C10" s="8" t="s">
        <v>39</v>
      </c>
    </row>
    <row r="11" customFormat="false" ht="23.85" hidden="false" customHeight="false" outlineLevel="0" collapsed="false">
      <c r="A11" s="9" t="s">
        <v>40</v>
      </c>
      <c r="B11" s="10" t="s">
        <v>41</v>
      </c>
      <c r="C11" s="8" t="s">
        <v>39</v>
      </c>
    </row>
    <row r="12" customFormat="false" ht="13.5" hidden="false" customHeight="false" outlineLevel="0" collapsed="false">
      <c r="A12" s="9" t="s">
        <v>42</v>
      </c>
      <c r="B12" s="9" t="s">
        <v>35</v>
      </c>
      <c r="C12" s="9" t="s">
        <v>43</v>
      </c>
    </row>
    <row r="13" customFormat="false" ht="13.5" hidden="false" customHeight="false" outlineLevel="0" collapsed="false">
      <c r="A13" s="11"/>
      <c r="B13" s="11"/>
      <c r="C13" s="11"/>
    </row>
    <row r="14" customFormat="false" ht="23.85" hidden="false" customHeight="false" outlineLevel="0" collapsed="false">
      <c r="A14" s="8" t="s">
        <v>44</v>
      </c>
      <c r="B14" s="12" t="s">
        <v>45</v>
      </c>
      <c r="C14" s="12" t="s">
        <v>46</v>
      </c>
    </row>
    <row r="17" customFormat="false" ht="13.5" hidden="false" customHeight="false" outlineLevel="0" collapsed="false">
      <c r="A17" s="1" t="s">
        <v>47</v>
      </c>
      <c r="B17" s="1" t="s">
        <v>48</v>
      </c>
      <c r="C17" s="13" t="n">
        <v>43056</v>
      </c>
    </row>
    <row r="18" customFormat="false" ht="13.5" hidden="false" customHeight="false" outlineLevel="0" collapsed="false">
      <c r="B18" s="1" t="s">
        <v>49</v>
      </c>
    </row>
    <row r="19" customFormat="false" ht="13.5" hidden="false" customHeight="false" outlineLevel="0" collapsed="false">
      <c r="B19" s="1" t="s">
        <v>50</v>
      </c>
    </row>
    <row r="20" customFormat="false" ht="13.5" hidden="false" customHeight="false" outlineLevel="0" collapsed="false">
      <c r="B20" s="1" t="s">
        <v>51</v>
      </c>
    </row>
    <row r="21" customFormat="false" ht="13.5" hidden="false" customHeight="false" outlineLevel="0" collapsed="false">
      <c r="B21" s="1" t="s">
        <v>52</v>
      </c>
    </row>
    <row r="22" customFormat="false" ht="13.5" hidden="false" customHeight="false" outlineLevel="0" collapsed="false">
      <c r="B22" s="1" t="s">
        <v>53</v>
      </c>
    </row>
    <row r="24" customFormat="false" ht="13.5" hidden="false" customHeight="false" outlineLevel="0" collapsed="false">
      <c r="A24" s="1" t="s">
        <v>54</v>
      </c>
      <c r="B24" s="1" t="s">
        <v>55</v>
      </c>
      <c r="C24" s="13" t="n">
        <v>43058</v>
      </c>
    </row>
    <row r="26" customFormat="false" ht="13.5" hidden="false" customHeight="false" outlineLevel="0" collapsed="false">
      <c r="B26" s="1" t="s">
        <v>56</v>
      </c>
      <c r="C26" s="13" t="n">
        <v>43064</v>
      </c>
    </row>
    <row r="27" customFormat="false" ht="13.5" hidden="false" customHeight="false" outlineLevel="0" collapsed="false">
      <c r="B27" s="1" t="s">
        <v>57</v>
      </c>
      <c r="C27" s="13" t="n">
        <v>44534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76" activeCellId="0" sqref="D76"/>
    </sheetView>
  </sheetViews>
  <sheetFormatPr defaultColWidth="8.54296875" defaultRowHeight="13.5" customHeight="false" zeroHeight="false" outlineLevelRow="0" outlineLevelCol="0"/>
  <cols>
    <col collapsed="false" customWidth="true" hidden="false" outlineLevel="0" max="1" min="1" style="1" width="9"/>
    <col collapsed="false" customWidth="true" hidden="false" outlineLevel="0" max="2" min="2" style="1" width="5.75"/>
    <col collapsed="false" customWidth="true" hidden="false" outlineLevel="0" max="4" min="3" style="1" width="16.12"/>
    <col collapsed="false" customWidth="true" hidden="false" outlineLevel="0" max="5" min="5" style="1" width="8.88"/>
    <col collapsed="false" customWidth="true" hidden="false" outlineLevel="0" max="6" min="6" style="1" width="14.75"/>
    <col collapsed="false" customWidth="true" hidden="false" outlineLevel="0" max="7" min="7" style="1" width="15.37"/>
  </cols>
  <sheetData>
    <row r="1" customFormat="false" ht="13.5" hidden="false" customHeight="false" outlineLevel="0" collapsed="false">
      <c r="A1" s="1" t="s">
        <v>58</v>
      </c>
      <c r="F1" s="14" t="s">
        <v>25</v>
      </c>
    </row>
    <row r="3" customFormat="false" ht="13.5" hidden="false" customHeight="false" outlineLevel="0" collapsed="false">
      <c r="B3" s="15" t="s">
        <v>59</v>
      </c>
      <c r="C3" s="8" t="s">
        <v>60</v>
      </c>
      <c r="D3" s="8" t="s">
        <v>61</v>
      </c>
      <c r="E3" s="8" t="s">
        <v>62</v>
      </c>
      <c r="F3" s="8" t="s">
        <v>63</v>
      </c>
      <c r="G3" s="8" t="s">
        <v>64</v>
      </c>
    </row>
    <row r="4" customFormat="false" ht="13.5" hidden="false" customHeight="false" outlineLevel="0" collapsed="false">
      <c r="B4" s="8" t="n">
        <v>0</v>
      </c>
      <c r="C4" s="16" t="s">
        <v>65</v>
      </c>
      <c r="D4" s="16" t="s">
        <v>66</v>
      </c>
      <c r="E4" s="8" t="s">
        <v>67</v>
      </c>
      <c r="F4" s="17" t="s">
        <v>65</v>
      </c>
      <c r="G4" s="17" t="s">
        <v>66</v>
      </c>
    </row>
    <row r="5" customFormat="false" ht="13.5" hidden="false" customHeight="false" outlineLevel="0" collapsed="false">
      <c r="B5" s="8" t="n">
        <v>1</v>
      </c>
      <c r="C5" s="16" t="s">
        <v>68</v>
      </c>
      <c r="D5" s="16" t="s">
        <v>68</v>
      </c>
      <c r="E5" s="8" t="s">
        <v>69</v>
      </c>
      <c r="F5" s="17" t="s">
        <v>68</v>
      </c>
      <c r="G5" s="17" t="s">
        <v>68</v>
      </c>
    </row>
    <row r="6" customFormat="false" ht="13.5" hidden="false" customHeight="false" outlineLevel="0" collapsed="false">
      <c r="B6" s="8" t="n">
        <v>2</v>
      </c>
      <c r="C6" s="16" t="s">
        <v>70</v>
      </c>
      <c r="D6" s="16" t="s">
        <v>70</v>
      </c>
      <c r="E6" s="8" t="s">
        <v>71</v>
      </c>
      <c r="F6" s="17" t="s">
        <v>70</v>
      </c>
      <c r="G6" s="17" t="s">
        <v>70</v>
      </c>
    </row>
    <row r="7" customFormat="false" ht="13.5" hidden="false" customHeight="false" outlineLevel="0" collapsed="false">
      <c r="B7" s="8" t="n">
        <v>3</v>
      </c>
      <c r="C7" s="16" t="s">
        <v>72</v>
      </c>
      <c r="D7" s="16"/>
      <c r="E7" s="8" t="s">
        <v>73</v>
      </c>
      <c r="F7" s="17" t="s">
        <v>72</v>
      </c>
      <c r="G7" s="17"/>
    </row>
    <row r="8" customFormat="false" ht="13.5" hidden="false" customHeight="false" outlineLevel="0" collapsed="false">
      <c r="B8" s="8" t="n">
        <v>4</v>
      </c>
      <c r="C8" s="16" t="s">
        <v>74</v>
      </c>
      <c r="D8" s="16" t="s">
        <v>75</v>
      </c>
      <c r="E8" s="8" t="s">
        <v>76</v>
      </c>
      <c r="F8" s="17" t="s">
        <v>74</v>
      </c>
      <c r="G8" s="17" t="s">
        <v>75</v>
      </c>
    </row>
    <row r="9" customFormat="false" ht="13.5" hidden="false" customHeight="false" outlineLevel="0" collapsed="false">
      <c r="B9" s="8" t="n">
        <v>5</v>
      </c>
      <c r="C9" s="16" t="s">
        <v>77</v>
      </c>
      <c r="D9" s="16" t="s">
        <v>77</v>
      </c>
      <c r="E9" s="8" t="s">
        <v>78</v>
      </c>
      <c r="F9" s="17" t="s">
        <v>77</v>
      </c>
      <c r="G9" s="17" t="s">
        <v>77</v>
      </c>
    </row>
    <row r="10" customFormat="false" ht="13.5" hidden="false" customHeight="false" outlineLevel="0" collapsed="false">
      <c r="B10" s="8" t="n">
        <v>6</v>
      </c>
      <c r="C10" s="16" t="s">
        <v>79</v>
      </c>
      <c r="D10" s="16" t="s">
        <v>80</v>
      </c>
      <c r="E10" s="8" t="s">
        <v>81</v>
      </c>
      <c r="F10" s="17" t="s">
        <v>79</v>
      </c>
      <c r="G10" s="17" t="s">
        <v>80</v>
      </c>
    </row>
    <row r="11" customFormat="false" ht="13.5" hidden="false" customHeight="false" outlineLevel="0" collapsed="false">
      <c r="B11" s="8" t="n">
        <v>7</v>
      </c>
      <c r="C11" s="16" t="s">
        <v>82</v>
      </c>
      <c r="D11" s="16" t="s">
        <v>82</v>
      </c>
      <c r="E11" s="8" t="s">
        <v>83</v>
      </c>
      <c r="F11" s="17" t="s">
        <v>82</v>
      </c>
      <c r="G11" s="17" t="s">
        <v>82</v>
      </c>
    </row>
    <row r="12" customFormat="false" ht="13.5" hidden="false" customHeight="false" outlineLevel="0" collapsed="false">
      <c r="B12" s="8" t="n">
        <v>8</v>
      </c>
      <c r="C12" s="16" t="s">
        <v>84</v>
      </c>
      <c r="D12" s="16"/>
      <c r="E12" s="8" t="s">
        <v>85</v>
      </c>
      <c r="F12" s="17" t="s">
        <v>84</v>
      </c>
      <c r="G12" s="17"/>
    </row>
    <row r="13" customFormat="false" ht="13.5" hidden="false" customHeight="false" outlineLevel="0" collapsed="false">
      <c r="B13" s="8" t="n">
        <v>9</v>
      </c>
      <c r="C13" s="16" t="s">
        <v>86</v>
      </c>
      <c r="D13" s="16"/>
      <c r="E13" s="8" t="s">
        <v>87</v>
      </c>
      <c r="F13" s="17" t="s">
        <v>86</v>
      </c>
      <c r="G13" s="17"/>
    </row>
    <row r="14" customFormat="false" ht="13.5" hidden="false" customHeight="false" outlineLevel="0" collapsed="false">
      <c r="B14" s="8"/>
      <c r="C14" s="16" t="s">
        <v>88</v>
      </c>
      <c r="D14" s="16" t="s">
        <v>88</v>
      </c>
      <c r="E14" s="8" t="s">
        <v>89</v>
      </c>
      <c r="F14" s="17" t="s">
        <v>88</v>
      </c>
      <c r="G14" s="17" t="s">
        <v>88</v>
      </c>
    </row>
    <row r="15" customFormat="false" ht="13.5" hidden="false" customHeight="false" outlineLevel="0" collapsed="false">
      <c r="B15" s="8"/>
      <c r="C15" s="16" t="s">
        <v>90</v>
      </c>
      <c r="D15" s="16" t="s">
        <v>90</v>
      </c>
      <c r="E15" s="8" t="s">
        <v>91</v>
      </c>
      <c r="F15" s="17" t="s">
        <v>90</v>
      </c>
      <c r="G15" s="17" t="s">
        <v>90</v>
      </c>
    </row>
    <row r="17" customFormat="false" ht="13.5" hidden="false" customHeight="false" outlineLevel="0" collapsed="false">
      <c r="A17" s="1" t="s">
        <v>92</v>
      </c>
      <c r="C17" s="1" t="s">
        <v>93</v>
      </c>
      <c r="E17" s="1" t="s">
        <v>94</v>
      </c>
      <c r="F17" s="1" t="s">
        <v>95</v>
      </c>
    </row>
    <row r="20" customFormat="false" ht="13.5" hidden="false" customHeight="false" outlineLevel="0" collapsed="false">
      <c r="A20" s="1" t="s">
        <v>96</v>
      </c>
    </row>
    <row r="21" customFormat="false" ht="13.5" hidden="false" customHeight="false" outlineLevel="0" collapsed="false">
      <c r="C21" s="1" t="s">
        <v>97</v>
      </c>
      <c r="E21" s="1" t="s">
        <v>94</v>
      </c>
      <c r="F21" s="1" t="s">
        <v>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3" activeCellId="0" sqref="D43"/>
    </sheetView>
  </sheetViews>
  <sheetFormatPr defaultColWidth="8.54296875" defaultRowHeight="13.5" customHeight="false" zeroHeight="false" outlineLevelRow="0" outlineLevelCol="0"/>
  <cols>
    <col collapsed="false" customWidth="true" hidden="false" outlineLevel="0" max="2" min="2" style="1" width="18.12"/>
    <col collapsed="false" customWidth="true" hidden="false" outlineLevel="0" max="3" min="3" style="1" width="15.37"/>
    <col collapsed="false" customWidth="true" hidden="false" outlineLevel="0" max="4" min="4" style="1" width="39.88"/>
    <col collapsed="false" customWidth="true" hidden="false" outlineLevel="0" max="5" min="5" style="1" width="5.88"/>
    <col collapsed="false" customWidth="true" hidden="false" outlineLevel="0" max="6" min="6" style="1" width="4.75"/>
  </cols>
  <sheetData>
    <row r="1" customFormat="false" ht="13.5" hidden="false" customHeight="false" outlineLevel="0" collapsed="false">
      <c r="A1" s="18" t="s">
        <v>99</v>
      </c>
      <c r="B1" s="18"/>
      <c r="C1" s="18"/>
      <c r="D1" s="18"/>
      <c r="E1" s="18"/>
      <c r="F1" s="18"/>
    </row>
    <row r="2" customFormat="false" ht="13.5" hidden="false" customHeight="false" outlineLevel="0" collapsed="false">
      <c r="B2" s="1" t="s">
        <v>100</v>
      </c>
    </row>
    <row r="4" customFormat="false" ht="13.5" hidden="false" customHeight="false" outlineLevel="0" collapsed="false">
      <c r="B4" s="1" t="s">
        <v>99</v>
      </c>
      <c r="C4" s="1" t="s">
        <v>101</v>
      </c>
    </row>
    <row r="5" customFormat="false" ht="13.5" hidden="false" customHeight="false" outlineLevel="0" collapsed="false">
      <c r="B5" s="19" t="s">
        <v>102</v>
      </c>
      <c r="C5" s="1" t="s">
        <v>103</v>
      </c>
      <c r="D5" s="1" t="s">
        <v>104</v>
      </c>
    </row>
    <row r="6" customFormat="false" ht="13.5" hidden="false" customHeight="false" outlineLevel="0" collapsed="false">
      <c r="D6" s="1" t="s">
        <v>105</v>
      </c>
    </row>
    <row r="7" customFormat="false" ht="13.5" hidden="false" customHeight="false" outlineLevel="0" collapsed="false">
      <c r="D7" s="1" t="s">
        <v>106</v>
      </c>
    </row>
    <row r="8" customFormat="false" ht="13.5" hidden="false" customHeight="false" outlineLevel="0" collapsed="false">
      <c r="D8" s="1" t="s">
        <v>107</v>
      </c>
    </row>
    <row r="9" customFormat="false" ht="13.5" hidden="false" customHeight="false" outlineLevel="0" collapsed="false">
      <c r="D9" s="1" t="s">
        <v>108</v>
      </c>
    </row>
    <row r="10" customFormat="false" ht="13.5" hidden="false" customHeight="false" outlineLevel="0" collapsed="false">
      <c r="D10" s="1" t="s">
        <v>109</v>
      </c>
    </row>
    <row r="13" customFormat="false" ht="13.5" hidden="false" customHeight="false" outlineLevel="0" collapsed="false">
      <c r="B13" s="1" t="s">
        <v>110</v>
      </c>
      <c r="C13" s="1" t="s">
        <v>111</v>
      </c>
      <c r="D13" s="1" t="s">
        <v>112</v>
      </c>
    </row>
    <row r="16" customFormat="false" ht="13.5" hidden="false" customHeight="false" outlineLevel="0" collapsed="false">
      <c r="B16" s="1" t="s">
        <v>113</v>
      </c>
      <c r="C16" s="1" t="s">
        <v>114</v>
      </c>
    </row>
    <row r="18" customFormat="false" ht="13.5" hidden="false" customHeight="false" outlineLevel="0" collapsed="false">
      <c r="B18" s="1" t="s">
        <v>115</v>
      </c>
      <c r="C18" s="1" t="s">
        <v>116</v>
      </c>
      <c r="D18" s="1" t="s">
        <v>105</v>
      </c>
    </row>
    <row r="19" customFormat="false" ht="13.5" hidden="false" customHeight="false" outlineLevel="0" collapsed="false">
      <c r="D19" s="1" t="s">
        <v>106</v>
      </c>
    </row>
    <row r="20" customFormat="false" ht="13.5" hidden="false" customHeight="false" outlineLevel="0" collapsed="false">
      <c r="D20" s="1" t="s">
        <v>117</v>
      </c>
    </row>
    <row r="21" customFormat="false" ht="13.5" hidden="false" customHeight="false" outlineLevel="0" collapsed="false">
      <c r="D21" s="1" t="s">
        <v>118</v>
      </c>
    </row>
    <row r="23" customFormat="false" ht="13.5" hidden="false" customHeight="false" outlineLevel="0" collapsed="false">
      <c r="B23" s="1" t="s">
        <v>119</v>
      </c>
      <c r="C23" s="1" t="s">
        <v>120</v>
      </c>
      <c r="D23" s="1" t="s">
        <v>121</v>
      </c>
    </row>
    <row r="24" customFormat="false" ht="13.5" hidden="false" customHeight="false" outlineLevel="0" collapsed="false">
      <c r="D24" s="1" t="s">
        <v>122</v>
      </c>
    </row>
    <row r="26" customFormat="false" ht="13.5" hidden="false" customHeight="false" outlineLevel="0" collapsed="false">
      <c r="B26" s="19" t="s">
        <v>123</v>
      </c>
      <c r="C26" s="1" t="s">
        <v>124</v>
      </c>
      <c r="D26" s="1" t="s">
        <v>125</v>
      </c>
    </row>
    <row r="27" customFormat="false" ht="13.5" hidden="false" customHeight="false" outlineLevel="0" collapsed="false">
      <c r="D27" s="1" t="s">
        <v>126</v>
      </c>
    </row>
    <row r="28" customFormat="false" ht="13.5" hidden="false" customHeight="false" outlineLevel="0" collapsed="false">
      <c r="D28" s="1" t="s">
        <v>127</v>
      </c>
    </row>
    <row r="29" customFormat="false" ht="13.5" hidden="false" customHeight="false" outlineLevel="0" collapsed="false">
      <c r="D29" s="1" t="s">
        <v>128</v>
      </c>
    </row>
    <row r="30" customFormat="false" ht="13.5" hidden="false" customHeight="false" outlineLevel="0" collapsed="false">
      <c r="D30" s="1" t="s">
        <v>129</v>
      </c>
    </row>
    <row r="33" customFormat="false" ht="13.5" hidden="false" customHeight="false" outlineLevel="0" collapsed="false">
      <c r="B33" s="19" t="s">
        <v>130</v>
      </c>
      <c r="C33" s="1" t="s">
        <v>131</v>
      </c>
      <c r="D33" s="1" t="s">
        <v>132</v>
      </c>
    </row>
    <row r="34" customFormat="false" ht="13.5" hidden="false" customHeight="false" outlineLevel="0" collapsed="false">
      <c r="D34" s="1" t="s">
        <v>133</v>
      </c>
    </row>
    <row r="35" customFormat="false" ht="13.5" hidden="false" customHeight="false" outlineLevel="0" collapsed="false">
      <c r="D35" s="1" t="s">
        <v>134</v>
      </c>
    </row>
    <row r="36" customFormat="false" ht="13.5" hidden="false" customHeight="false" outlineLevel="0" collapsed="false">
      <c r="D36" s="1" t="s">
        <v>135</v>
      </c>
    </row>
    <row r="38" customFormat="false" ht="13.5" hidden="false" customHeight="false" outlineLevel="0" collapsed="false">
      <c r="B38" s="1" t="s">
        <v>136</v>
      </c>
      <c r="C38" s="1" t="s">
        <v>137</v>
      </c>
    </row>
    <row r="40" customFormat="false" ht="13.5" hidden="false" customHeight="false" outlineLevel="0" collapsed="false">
      <c r="B40" s="1" t="s">
        <v>138</v>
      </c>
      <c r="C40" s="1" t="s">
        <v>139</v>
      </c>
      <c r="D40" s="1" t="s">
        <v>140</v>
      </c>
    </row>
    <row r="42" customFormat="false" ht="13.5" hidden="false" customHeight="false" outlineLevel="0" collapsed="false">
      <c r="B42" s="19" t="s">
        <v>141</v>
      </c>
      <c r="C42" s="1" t="s">
        <v>142</v>
      </c>
      <c r="D42" s="1" t="s">
        <v>143</v>
      </c>
    </row>
    <row r="43" customFormat="false" ht="13.5" hidden="false" customHeight="false" outlineLevel="0" collapsed="false">
      <c r="D43" s="1" t="s">
        <v>144</v>
      </c>
    </row>
    <row r="45" customFormat="false" ht="13.5" hidden="false" customHeight="false" outlineLevel="0" collapsed="false">
      <c r="B45" s="19" t="s">
        <v>145</v>
      </c>
      <c r="C45" s="1" t="s">
        <v>146</v>
      </c>
      <c r="D45" s="1" t="s">
        <v>143</v>
      </c>
    </row>
    <row r="46" customFormat="false" ht="13.5" hidden="false" customHeight="false" outlineLevel="0" collapsed="false">
      <c r="D46" s="1" t="s">
        <v>147</v>
      </c>
    </row>
    <row r="48" customFormat="false" ht="13.5" hidden="false" customHeight="false" outlineLevel="0" collapsed="false">
      <c r="B48" s="19" t="s">
        <v>148</v>
      </c>
      <c r="C48" s="1" t="s">
        <v>149</v>
      </c>
      <c r="D48" s="1" t="s">
        <v>150</v>
      </c>
    </row>
    <row r="49" customFormat="false" ht="13.5" hidden="false" customHeight="false" outlineLevel="0" collapsed="false">
      <c r="D49" s="1" t="s">
        <v>144</v>
      </c>
    </row>
    <row r="51" customFormat="false" ht="13.5" hidden="false" customHeight="false" outlineLevel="0" collapsed="false">
      <c r="B51" s="1" t="s">
        <v>151</v>
      </c>
      <c r="C51" s="1" t="s">
        <v>152</v>
      </c>
      <c r="D51" s="1" t="s">
        <v>153</v>
      </c>
    </row>
    <row r="54" customFormat="false" ht="13.5" hidden="false" customHeight="false" outlineLevel="0" collapsed="false">
      <c r="A54" s="18" t="s">
        <v>154</v>
      </c>
      <c r="B54" s="18"/>
      <c r="C54" s="18"/>
      <c r="D54" s="18"/>
      <c r="E54" s="18"/>
      <c r="F54" s="18"/>
    </row>
    <row r="55" customFormat="false" ht="13.5" hidden="false" customHeight="false" outlineLevel="0" collapsed="false">
      <c r="B55" s="1" t="s">
        <v>155</v>
      </c>
    </row>
    <row r="56" customFormat="false" ht="13.5" hidden="false" customHeight="false" outlineLevel="0" collapsed="false">
      <c r="B56" s="1" t="s">
        <v>156</v>
      </c>
    </row>
    <row r="58" customFormat="false" ht="13.5" hidden="false" customHeight="false" outlineLevel="0" collapsed="false">
      <c r="B58" s="1" t="s">
        <v>157</v>
      </c>
      <c r="D58" s="1" t="s">
        <v>158</v>
      </c>
    </row>
    <row r="59" customFormat="false" ht="13.5" hidden="false" customHeight="false" outlineLevel="0" collapsed="false">
      <c r="B59" s="1" t="s">
        <v>159</v>
      </c>
      <c r="D59" s="1" t="s">
        <v>160</v>
      </c>
    </row>
    <row r="60" customFormat="false" ht="13.5" hidden="false" customHeight="false" outlineLevel="0" collapsed="false">
      <c r="B60" s="1" t="s">
        <v>161</v>
      </c>
      <c r="D60" s="1" t="s">
        <v>162</v>
      </c>
    </row>
    <row r="61" customFormat="false" ht="13.5" hidden="false" customHeight="false" outlineLevel="0" collapsed="false">
      <c r="B61" s="1" t="s">
        <v>163</v>
      </c>
      <c r="D61" s="1" t="s">
        <v>164</v>
      </c>
    </row>
    <row r="63" customFormat="false" ht="13.5" hidden="false" customHeight="false" outlineLevel="0" collapsed="false">
      <c r="B63" s="1" t="s">
        <v>12</v>
      </c>
      <c r="C63" s="1" t="s">
        <v>124</v>
      </c>
      <c r="D63" s="1" t="s">
        <v>165</v>
      </c>
    </row>
    <row r="65" customFormat="false" ht="13.5" hidden="false" customHeight="false" outlineLevel="0" collapsed="false">
      <c r="B65" s="1" t="s">
        <v>166</v>
      </c>
      <c r="C65" s="1" t="s">
        <v>167</v>
      </c>
      <c r="D65" s="1" t="s">
        <v>165</v>
      </c>
    </row>
    <row r="67" customFormat="false" ht="13.5" hidden="false" customHeight="false" outlineLevel="0" collapsed="false">
      <c r="B67" s="1" t="s">
        <v>168</v>
      </c>
      <c r="C67" s="1" t="s">
        <v>169</v>
      </c>
      <c r="D67" s="1" t="s">
        <v>170</v>
      </c>
    </row>
    <row r="69" customFormat="false" ht="13.5" hidden="false" customHeight="false" outlineLevel="0" collapsed="false">
      <c r="B69" s="1" t="s">
        <v>171</v>
      </c>
      <c r="C69" s="1" t="s">
        <v>172</v>
      </c>
      <c r="D69" s="1" t="s">
        <v>173</v>
      </c>
    </row>
    <row r="70" customFormat="false" ht="13.5" hidden="false" customHeight="false" outlineLevel="0" collapsed="false">
      <c r="D70" s="1" t="s">
        <v>174</v>
      </c>
    </row>
    <row r="72" customFormat="false" ht="13.5" hidden="false" customHeight="false" outlineLevel="0" collapsed="false">
      <c r="A72" s="18" t="s">
        <v>175</v>
      </c>
      <c r="B72" s="18"/>
      <c r="C72" s="18"/>
      <c r="D72" s="18"/>
      <c r="E72" s="18"/>
      <c r="F72" s="18"/>
    </row>
    <row r="73" customFormat="false" ht="13.5" hidden="false" customHeight="false" outlineLevel="0" collapsed="false">
      <c r="B73" s="1" t="s">
        <v>176</v>
      </c>
    </row>
    <row r="74" customFormat="false" ht="13.5" hidden="false" customHeight="false" outlineLevel="0" collapsed="false">
      <c r="B74" s="1" t="s">
        <v>177</v>
      </c>
    </row>
    <row r="76" customFormat="false" ht="13.5" hidden="false" customHeight="false" outlineLevel="0" collapsed="false">
      <c r="B76" s="1" t="s">
        <v>11</v>
      </c>
      <c r="D76" s="1" t="s">
        <v>178</v>
      </c>
    </row>
    <row r="77" customFormat="false" ht="13.5" hidden="false" customHeight="false" outlineLevel="0" collapsed="false">
      <c r="B77" s="1" t="s">
        <v>179</v>
      </c>
      <c r="D77" s="1" t="s">
        <v>180</v>
      </c>
    </row>
    <row r="79" customFormat="false" ht="13.5" hidden="false" customHeight="false" outlineLevel="0" collapsed="false">
      <c r="B79" s="19" t="s">
        <v>12</v>
      </c>
      <c r="C79" s="1" t="s">
        <v>124</v>
      </c>
      <c r="D79" s="1" t="s">
        <v>181</v>
      </c>
    </row>
    <row r="81" customFormat="false" ht="13.5" hidden="false" customHeight="false" outlineLevel="0" collapsed="false">
      <c r="B81" s="1" t="s">
        <v>166</v>
      </c>
      <c r="C81" s="1" t="s">
        <v>167</v>
      </c>
      <c r="D81" s="1" t="s">
        <v>182</v>
      </c>
    </row>
    <row r="83" customFormat="false" ht="13.5" hidden="false" customHeight="false" outlineLevel="0" collapsed="false">
      <c r="B83" s="19" t="s">
        <v>168</v>
      </c>
      <c r="C83" s="1" t="s">
        <v>169</v>
      </c>
      <c r="D83" s="1" t="s">
        <v>183</v>
      </c>
    </row>
    <row r="84" customFormat="false" ht="13.5" hidden="false" customHeight="false" outlineLevel="0" collapsed="false">
      <c r="D84" s="1" t="s">
        <v>184</v>
      </c>
    </row>
    <row r="86" customFormat="false" ht="13.5" hidden="false" customHeight="false" outlineLevel="0" collapsed="false">
      <c r="B86" s="1" t="s">
        <v>185</v>
      </c>
      <c r="C86" s="1" t="s">
        <v>186</v>
      </c>
      <c r="D86" s="1" t="s">
        <v>187</v>
      </c>
    </row>
    <row r="93" customFormat="false" ht="13.5" hidden="false" customHeight="false" outlineLevel="0" collapsed="false">
      <c r="A93" s="18" t="s">
        <v>188</v>
      </c>
      <c r="B93" s="18"/>
      <c r="C93" s="18"/>
      <c r="D93" s="18"/>
      <c r="E93" s="18"/>
      <c r="F93" s="18"/>
    </row>
    <row r="94" customFormat="false" ht="13.5" hidden="false" customHeight="false" outlineLevel="0" collapsed="false">
      <c r="B94" s="1" t="s">
        <v>189</v>
      </c>
    </row>
    <row r="95" customFormat="false" ht="13.5" hidden="false" customHeight="false" outlineLevel="0" collapsed="false">
      <c r="B95" s="1" t="s">
        <v>190</v>
      </c>
    </row>
    <row r="96" customFormat="false" ht="13.5" hidden="false" customHeight="false" outlineLevel="0" collapsed="false">
      <c r="B96" s="1" t="s">
        <v>191</v>
      </c>
    </row>
    <row r="99" customFormat="false" ht="13.5" hidden="false" customHeight="false" outlineLevel="0" collapsed="false">
      <c r="B99" s="1" t="s">
        <v>192</v>
      </c>
      <c r="C99" s="1" t="s">
        <v>193</v>
      </c>
      <c r="D99" s="1" t="s">
        <v>194</v>
      </c>
    </row>
    <row r="101" customFormat="false" ht="13.5" hidden="false" customHeight="false" outlineLevel="0" collapsed="false">
      <c r="B101" s="19" t="s">
        <v>195</v>
      </c>
      <c r="C101" s="1" t="s">
        <v>196</v>
      </c>
      <c r="D101" s="1" t="s">
        <v>197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2" activeCellId="0" sqref="D42"/>
    </sheetView>
  </sheetViews>
  <sheetFormatPr defaultColWidth="8.54296875" defaultRowHeight="13.5" customHeight="false" zeroHeight="false" outlineLevelRow="0" outlineLevelCol="0"/>
  <cols>
    <col collapsed="false" customWidth="true" hidden="false" outlineLevel="0" max="2" min="2" style="1" width="4.63"/>
    <col collapsed="false" customWidth="true" hidden="false" outlineLevel="0" max="3" min="3" style="1" width="15.88"/>
    <col collapsed="false" customWidth="true" hidden="false" outlineLevel="0" max="5" min="5" style="1" width="10.25"/>
    <col collapsed="false" customWidth="true" hidden="false" outlineLevel="0" max="7" min="7" style="1" width="11"/>
    <col collapsed="false" customWidth="true" hidden="false" outlineLevel="0" max="9" min="8" style="1" width="13.12"/>
    <col collapsed="false" customWidth="true" hidden="false" outlineLevel="0" max="11" min="10" style="1" width="11"/>
    <col collapsed="false" customWidth="true" hidden="false" outlineLevel="0" max="12" min="12" style="1" width="9.63"/>
    <col collapsed="false" customWidth="true" hidden="false" outlineLevel="0" max="15" min="14" style="1" width="3.75"/>
    <col collapsed="false" customWidth="true" hidden="false" outlineLevel="0" max="18" min="18" style="1" width="47.5"/>
    <col collapsed="false" customWidth="true" hidden="false" outlineLevel="0" max="20" min="19" style="1" width="6.37"/>
    <col collapsed="false" customWidth="true" hidden="false" outlineLevel="0" max="21" min="21" style="1" width="30.63"/>
  </cols>
  <sheetData>
    <row r="1" customFormat="false" ht="13.5" hidden="false" customHeight="false" outlineLevel="0" collapsed="false">
      <c r="A1" s="1" t="s">
        <v>198</v>
      </c>
      <c r="G1" s="1" t="s">
        <v>199</v>
      </c>
      <c r="P1" s="1" t="s">
        <v>200</v>
      </c>
      <c r="R1" s="19" t="s">
        <v>21</v>
      </c>
      <c r="S1" s="1" t="s">
        <v>201</v>
      </c>
      <c r="X1" s="1" t="s">
        <v>202</v>
      </c>
    </row>
    <row r="2" s="20" customFormat="true" ht="35.05" hidden="false" customHeight="false" outlineLevel="0" collapsed="false">
      <c r="B2" s="21" t="s">
        <v>59</v>
      </c>
      <c r="C2" s="21" t="s">
        <v>203</v>
      </c>
      <c r="D2" s="21" t="s">
        <v>204</v>
      </c>
      <c r="E2" s="21" t="s">
        <v>205</v>
      </c>
      <c r="F2" s="21" t="s">
        <v>206</v>
      </c>
      <c r="G2" s="21" t="s">
        <v>207</v>
      </c>
      <c r="H2" s="21" t="s">
        <v>208</v>
      </c>
      <c r="I2" s="21" t="s">
        <v>209</v>
      </c>
      <c r="J2" s="21" t="s">
        <v>210</v>
      </c>
      <c r="K2" s="21" t="s">
        <v>211</v>
      </c>
      <c r="L2" s="21" t="s">
        <v>212</v>
      </c>
      <c r="R2" s="20" t="s">
        <v>213</v>
      </c>
      <c r="U2" s="20" t="s">
        <v>214</v>
      </c>
    </row>
    <row r="3" s="20" customFormat="true" ht="23.85" hidden="false" customHeight="false" outlineLevel="0" collapsed="false">
      <c r="B3" s="22"/>
      <c r="C3" s="22" t="s">
        <v>215</v>
      </c>
      <c r="D3" s="22" t="s">
        <v>216</v>
      </c>
      <c r="E3" s="22" t="s">
        <v>217</v>
      </c>
      <c r="F3" s="22" t="s">
        <v>218</v>
      </c>
      <c r="G3" s="22" t="s">
        <v>219</v>
      </c>
      <c r="H3" s="22" t="s">
        <v>220</v>
      </c>
      <c r="I3" s="22" t="s">
        <v>221</v>
      </c>
      <c r="J3" s="22" t="s">
        <v>62</v>
      </c>
      <c r="K3" s="23" t="s">
        <v>222</v>
      </c>
      <c r="L3" s="22" t="s">
        <v>223</v>
      </c>
    </row>
    <row r="4" customFormat="false" ht="13.5" hidden="false" customHeight="false" outlineLevel="0" collapsed="false">
      <c r="B4" s="8" t="n">
        <v>0</v>
      </c>
      <c r="C4" s="8" t="s">
        <v>224</v>
      </c>
      <c r="D4" s="8" t="s">
        <v>67</v>
      </c>
      <c r="E4" s="8" t="s">
        <v>225</v>
      </c>
      <c r="F4" s="8" t="n">
        <v>0</v>
      </c>
      <c r="G4" s="8"/>
      <c r="H4" s="8"/>
      <c r="I4" s="8"/>
      <c r="J4" s="8" t="n">
        <v>0</v>
      </c>
      <c r="K4" s="24" t="s">
        <v>226</v>
      </c>
      <c r="L4" s="8" t="n">
        <v>1</v>
      </c>
      <c r="P4" s="25"/>
      <c r="Q4" s="25"/>
      <c r="R4" s="25" t="str">
        <f aca="false">IF($R$1="AS","consCalcList['","$consCalcList['")&amp;C4&amp;IF($R$1="AS","'] = new logic.C","'] = new C")&amp;MID(C4,2,20)&amp;"();"</f>
        <v>consCalcList['consTotal'] = new logic.ConsTotal();</v>
      </c>
      <c r="S4" s="26" t="s">
        <v>227</v>
      </c>
      <c r="T4" s="26"/>
      <c r="U4" s="26" t="str">
        <f aca="false">IF($R$1="AS","defCons['"&amp;C4&amp;"'] = { "&amp;C$3&amp;":'"&amp;C4&amp;"', "&amp;D$3&amp;": '"&amp;D4&amp;"',  "&amp;E$3&amp;":'"&amp;E4&amp;"',  "&amp;F$3&amp;":"&amp;F4&amp;",  "&amp;G$3&amp;":'"&amp;G4&amp;"',  "&amp;H$3&amp;":'"&amp;H4&amp;"',  "&amp;I$3&amp;":'"&amp;I4&amp;"',  "&amp;J$3&amp;":"&amp;J4&amp;",  "&amp;K$3&amp;":'"&amp;K4&amp;"' };","$this-&gt;defCons['"&amp;C4&amp;"'] = [ '"&amp;C4&amp;"', '"&amp;D4&amp;"', '"&amp;E4&amp;"', "&amp;F4&amp;", '"&amp;G4&amp;"', '"&amp;H4&amp;"', '"&amp;I4&amp;"', "&amp;J4&amp;", '"&amp;K4&amp;"' ];")</f>
        <v>defCons['consTotal'] = { name:'consTotal', nameCode: 'TO',  title:'全体',  count:0,  sumClass:'',  refClass:'',  substituteClass:'',  code:0,  color:'0xa9a9a9' };</v>
      </c>
    </row>
    <row r="5" customFormat="false" ht="13.5" hidden="false" customHeight="false" outlineLevel="0" collapsed="false">
      <c r="B5" s="8" t="n">
        <v>1</v>
      </c>
      <c r="C5" s="8" t="s">
        <v>228</v>
      </c>
      <c r="D5" s="8" t="s">
        <v>69</v>
      </c>
      <c r="E5" s="8" t="s">
        <v>68</v>
      </c>
      <c r="F5" s="8" t="n">
        <v>0</v>
      </c>
      <c r="G5" s="8" t="s">
        <v>224</v>
      </c>
      <c r="H5" s="8"/>
      <c r="I5" s="8"/>
      <c r="J5" s="8" t="n">
        <v>1</v>
      </c>
      <c r="K5" s="27" t="s">
        <v>229</v>
      </c>
      <c r="L5" s="8" t="n">
        <v>1</v>
      </c>
      <c r="P5" s="25"/>
      <c r="Q5" s="25"/>
      <c r="R5" s="25" t="str">
        <f aca="false">IF($R$1="AS","consCalcList['","$consCalcList['")&amp;C5&amp;IF($R$1="AS","'] = new logic.C","'] = new C")&amp;MID(C5,2,20)&amp;"();"</f>
        <v>consCalcList['consHWsum'] = new logic.ConsHWsum();</v>
      </c>
      <c r="S5" s="26" t="s">
        <v>227</v>
      </c>
      <c r="T5" s="26"/>
      <c r="U5" s="26" t="str">
        <f aca="false">IF($R$1="AS","defCons['"&amp;C5&amp;"'] = { "&amp;C$3&amp;":'"&amp;C5&amp;"', "&amp;D$3&amp;": '"&amp;D5&amp;"',  "&amp;E$3&amp;":'"&amp;E5&amp;"',  "&amp;F$3&amp;":"&amp;F5&amp;",  "&amp;G$3&amp;":'"&amp;G5&amp;"',  "&amp;H$3&amp;":'"&amp;H5&amp;"',  "&amp;I$3&amp;":'"&amp;I5&amp;"',  "&amp;J$3&amp;":"&amp;J5&amp;",  "&amp;K$3&amp;":'"&amp;K5&amp;"' };","$this-&gt;defCons['"&amp;C5&amp;"'] = [ '"&amp;C5&amp;"', '"&amp;D5&amp;"', '"&amp;E5&amp;"', "&amp;F5&amp;", '"&amp;G5&amp;"', '"&amp;H5&amp;"', '"&amp;I5&amp;"', "&amp;J5&amp;", '"&amp;K5&amp;"' ];")</f>
        <v>defCons['consHWsum'] = { name:'consHWsum', nameCode: 'HW',  title:'給湯・水道',  count:0,  sumClass:'consTotal',  refClass:'',  substituteClass:'',  code:1,  color:'0xffb700' };</v>
      </c>
    </row>
    <row r="6" customFormat="false" ht="13.5" hidden="false" customHeight="false" outlineLevel="0" collapsed="false">
      <c r="B6" s="8" t="n">
        <v>2</v>
      </c>
      <c r="C6" s="8" t="s">
        <v>230</v>
      </c>
      <c r="D6" s="8"/>
      <c r="E6" s="8" t="s">
        <v>231</v>
      </c>
      <c r="F6" s="8" t="n">
        <v>0</v>
      </c>
      <c r="G6" s="8" t="s">
        <v>228</v>
      </c>
      <c r="H6" s="8" t="s">
        <v>232</v>
      </c>
      <c r="I6" s="8"/>
      <c r="J6" s="8" t="n">
        <v>1</v>
      </c>
      <c r="K6" s="8"/>
      <c r="L6" s="8" t="n">
        <v>2</v>
      </c>
      <c r="P6" s="25"/>
      <c r="Q6" s="25"/>
      <c r="R6" s="25" t="str">
        <f aca="false">IF($R$1="AS","consCalcList['","$consCalcList['")&amp;C6&amp;IF($R$1="AS","'] = new logic.C","'] = new C")&amp;MID(C6,2,20)&amp;"();"</f>
        <v>consCalcList['consHWtub'] = new logic.ConsHWtub();</v>
      </c>
      <c r="S6" s="26" t="s">
        <v>227</v>
      </c>
      <c r="T6" s="26"/>
      <c r="U6" s="26" t="str">
        <f aca="false">IF($R$1="AS","defCons['"&amp;C6&amp;"'] = { "&amp;C$3&amp;":'"&amp;C6&amp;"', "&amp;D$3&amp;": '"&amp;D6&amp;"',  "&amp;E$3&amp;":'"&amp;E6&amp;"',  "&amp;F$3&amp;":"&amp;F6&amp;",  "&amp;G$3&amp;":'"&amp;G6&amp;"',  "&amp;H$3&amp;":'"&amp;H6&amp;"',  "&amp;I$3&amp;":'"&amp;I6&amp;"',  "&amp;J$3&amp;":"&amp;J6&amp;",  "&amp;K$3&amp;":'"&amp;K6&amp;"' };","$this-&gt;defCons['"&amp;C6&amp;"'] = [ '"&amp;C6&amp;"', '"&amp;D6&amp;"', '"&amp;E6&amp;"', "&amp;F6&amp;", '"&amp;G6&amp;"', '"&amp;H6&amp;"', '"&amp;I6&amp;"', "&amp;J6&amp;", '"&amp;K6&amp;"' ];")</f>
        <v>defCons['consHWtub'] = { name:'consHWtub', nameCode: '',  title:'浴槽',  count:0,  sumClass:'consHWsum',  refClass:'consHWshower',  substituteClass:'',  code:1,  color:'' };</v>
      </c>
    </row>
    <row r="7" customFormat="false" ht="13.5" hidden="false" customHeight="false" outlineLevel="0" collapsed="false">
      <c r="B7" s="8" t="n">
        <v>3</v>
      </c>
      <c r="C7" s="8" t="s">
        <v>232</v>
      </c>
      <c r="D7" s="8"/>
      <c r="E7" s="8" t="s">
        <v>233</v>
      </c>
      <c r="F7" s="8" t="n">
        <v>0</v>
      </c>
      <c r="G7" s="8" t="s">
        <v>228</v>
      </c>
      <c r="H7" s="8"/>
      <c r="I7" s="8"/>
      <c r="J7" s="8" t="n">
        <v>1</v>
      </c>
      <c r="K7" s="8"/>
      <c r="L7" s="8" t="n">
        <v>2</v>
      </c>
      <c r="P7" s="25"/>
      <c r="Q7" s="25"/>
      <c r="R7" s="25" t="str">
        <f aca="false">IF($R$1="AS","consCalcList['","$consCalcList['")&amp;C7&amp;IF($R$1="AS","'] = new logic.C","'] = new C")&amp;MID(C7,2,20)&amp;"();"</f>
        <v>consCalcList['consHWshower'] = new logic.ConsHWshower();</v>
      </c>
      <c r="S7" s="26" t="s">
        <v>227</v>
      </c>
      <c r="T7" s="26"/>
      <c r="U7" s="26" t="str">
        <f aca="false">IF($R$1="AS","defCons['"&amp;C7&amp;"'] = { "&amp;C$3&amp;":'"&amp;C7&amp;"', "&amp;D$3&amp;": '"&amp;D7&amp;"',  "&amp;E$3&amp;":'"&amp;E7&amp;"',  "&amp;F$3&amp;":"&amp;F7&amp;",  "&amp;G$3&amp;":'"&amp;G7&amp;"',  "&amp;H$3&amp;":'"&amp;H7&amp;"',  "&amp;I$3&amp;":'"&amp;I7&amp;"',  "&amp;J$3&amp;":"&amp;J7&amp;",  "&amp;K$3&amp;":'"&amp;K7&amp;"' };","$this-&gt;defCons['"&amp;C7&amp;"'] = [ '"&amp;C7&amp;"', '"&amp;D7&amp;"', '"&amp;E7&amp;"', "&amp;F7&amp;", '"&amp;G7&amp;"', '"&amp;H7&amp;"', '"&amp;I7&amp;"', "&amp;J7&amp;", '"&amp;K7&amp;"' ];")</f>
        <v>defCons['consHWshower'] = { name:'consHWshower', nameCode: '',  title:'シャワー',  count:0,  sumClass:'consHWsum',  refClass:'',  substituteClass:'',  code:1,  color:'' };</v>
      </c>
    </row>
    <row r="8" customFormat="false" ht="13.5" hidden="false" customHeight="false" outlineLevel="0" collapsed="false">
      <c r="B8" s="8" t="n">
        <v>15</v>
      </c>
      <c r="C8" s="8" t="s">
        <v>234</v>
      </c>
      <c r="D8" s="8"/>
      <c r="E8" s="8" t="s">
        <v>235</v>
      </c>
      <c r="F8" s="8" t="n">
        <v>0</v>
      </c>
      <c r="G8" s="8" t="s">
        <v>228</v>
      </c>
      <c r="H8" s="8"/>
      <c r="I8" s="8"/>
      <c r="J8" s="8" t="n">
        <v>1</v>
      </c>
      <c r="K8" s="8"/>
      <c r="L8" s="8" t="n">
        <v>2</v>
      </c>
      <c r="P8" s="25"/>
      <c r="Q8" s="25"/>
      <c r="R8" s="25" t="str">
        <f aca="false">IF($R$1="AS","consCalcList['","$consCalcList['")&amp;C8&amp;IF($R$1="AS","'] = new logic.C","'] = new C")&amp;MID(C8,2,20)&amp;"();"</f>
        <v>consCalcList['consHWdishwash'] = new logic.ConsHWdishwash();</v>
      </c>
      <c r="S8" s="26" t="s">
        <v>227</v>
      </c>
      <c r="T8" s="26"/>
      <c r="U8" s="26" t="str">
        <f aca="false">IF($R$1="AS","defCons['"&amp;C8&amp;"'] = { "&amp;C$3&amp;":'"&amp;C8&amp;"', "&amp;D$3&amp;": '"&amp;D8&amp;"',  "&amp;E$3&amp;":'"&amp;E8&amp;"',  "&amp;F$3&amp;":"&amp;F8&amp;",  "&amp;G$3&amp;":'"&amp;G8&amp;"',  "&amp;H$3&amp;":'"&amp;H8&amp;"',  "&amp;I$3&amp;":'"&amp;I8&amp;"',  "&amp;J$3&amp;":"&amp;J8&amp;",  "&amp;K$3&amp;":'"&amp;K8&amp;"' };","$this-&gt;defCons['"&amp;C8&amp;"'] = [ '"&amp;C8&amp;"', '"&amp;D8&amp;"', '"&amp;E8&amp;"', "&amp;F8&amp;", '"&amp;G8&amp;"', '"&amp;H8&amp;"', '"&amp;I8&amp;"', "&amp;J8&amp;", '"&amp;K8&amp;"' ];")</f>
        <v>defCons['consHWdishwash'] = { name:'consHWdishwash', nameCode: '',  title:'食洗',  count:0,  sumClass:'consHWsum',  refClass:'',  substituteClass:'',  code:1,  color:'' };</v>
      </c>
    </row>
    <row r="9" customFormat="false" ht="13.5" hidden="false" customHeight="false" outlineLevel="0" collapsed="false">
      <c r="B9" s="8" t="n">
        <v>4</v>
      </c>
      <c r="C9" s="8" t="s">
        <v>236</v>
      </c>
      <c r="D9" s="8"/>
      <c r="E9" s="8" t="s">
        <v>237</v>
      </c>
      <c r="F9" s="8" t="n">
        <v>0</v>
      </c>
      <c r="G9" s="8" t="s">
        <v>228</v>
      </c>
      <c r="H9" s="8"/>
      <c r="I9" s="8"/>
      <c r="J9" s="8" t="n">
        <v>1</v>
      </c>
      <c r="K9" s="8"/>
      <c r="L9" s="8" t="n">
        <v>3</v>
      </c>
      <c r="P9" s="25"/>
      <c r="Q9" s="25"/>
      <c r="R9" s="25" t="str">
        <f aca="false">IF($R$1="AS","consCalcList['","$consCalcList['")&amp;C9&amp;IF($R$1="AS","'] = new logic.C","'] = new C")&amp;MID(C9,2,20)&amp;"();"</f>
        <v>consCalcList['consHWdresser'] = new logic.ConsHWdresser();</v>
      </c>
      <c r="S9" s="26" t="s">
        <v>227</v>
      </c>
      <c r="T9" s="26"/>
      <c r="U9" s="26" t="str">
        <f aca="false">IF($R$1="AS","defCons['"&amp;C9&amp;"'] = { "&amp;C$3&amp;":'"&amp;C9&amp;"', "&amp;D$3&amp;": '"&amp;D9&amp;"',  "&amp;E$3&amp;":'"&amp;E9&amp;"',  "&amp;F$3&amp;":"&amp;F9&amp;",  "&amp;G$3&amp;":'"&amp;G9&amp;"',  "&amp;H$3&amp;":'"&amp;H9&amp;"',  "&amp;I$3&amp;":'"&amp;I9&amp;"',  "&amp;J$3&amp;":"&amp;J9&amp;",  "&amp;K$3&amp;":'"&amp;K9&amp;"' };","$this-&gt;defCons['"&amp;C9&amp;"'] = [ '"&amp;C9&amp;"', '"&amp;D9&amp;"', '"&amp;E9&amp;"', "&amp;F9&amp;", '"&amp;G9&amp;"', '"&amp;H9&amp;"', '"&amp;I9&amp;"', "&amp;J9&amp;", '"&amp;K9&amp;"' ];")</f>
        <v>defCons['consHWdresser'] = { name:'consHWdresser', nameCode: '',  title:'洗面',  count:0,  sumClass:'consHWsum',  refClass:'',  substituteClass:'',  code:1,  color:'' };</v>
      </c>
    </row>
    <row r="10" customFormat="false" ht="13.5" hidden="false" customHeight="false" outlineLevel="0" collapsed="false">
      <c r="B10" s="8" t="n">
        <v>5</v>
      </c>
      <c r="C10" s="8" t="s">
        <v>238</v>
      </c>
      <c r="D10" s="8"/>
      <c r="E10" s="8" t="s">
        <v>239</v>
      </c>
      <c r="F10" s="8" t="n">
        <v>0</v>
      </c>
      <c r="G10" s="8" t="s">
        <v>228</v>
      </c>
      <c r="H10" s="8"/>
      <c r="I10" s="8"/>
      <c r="J10" s="8" t="n">
        <v>1</v>
      </c>
      <c r="K10" s="8"/>
      <c r="L10" s="8" t="n">
        <v>3</v>
      </c>
      <c r="P10" s="25"/>
      <c r="Q10" s="25"/>
      <c r="R10" s="25" t="str">
        <f aca="false">IF($R$1="AS","consCalcList['","$consCalcList['")&amp;C10&amp;IF($R$1="AS","'] = new logic.C","'] = new C")&amp;MID(C10,2,20)&amp;"();"</f>
        <v>consCalcList['consHWtoilet'] = new logic.ConsHWtoilet();</v>
      </c>
      <c r="S10" s="26" t="s">
        <v>227</v>
      </c>
      <c r="T10" s="26"/>
      <c r="U10" s="26" t="str">
        <f aca="false">IF($R$1="AS","defCons['"&amp;C10&amp;"'] = { "&amp;C$3&amp;":'"&amp;C10&amp;"', "&amp;D$3&amp;": '"&amp;D10&amp;"',  "&amp;E$3&amp;":'"&amp;E10&amp;"',  "&amp;F$3&amp;":"&amp;F10&amp;",  "&amp;G$3&amp;":'"&amp;G10&amp;"',  "&amp;H$3&amp;":'"&amp;H10&amp;"',  "&amp;I$3&amp;":'"&amp;I10&amp;"',  "&amp;J$3&amp;":"&amp;J10&amp;",  "&amp;K$3&amp;":'"&amp;K10&amp;"' };","$this-&gt;defCons['"&amp;C10&amp;"'] = [ '"&amp;C10&amp;"', '"&amp;D10&amp;"', '"&amp;E10&amp;"', "&amp;F10&amp;", '"&amp;G10&amp;"', '"&amp;H10&amp;"', '"&amp;I10&amp;"', "&amp;J10&amp;", '"&amp;K10&amp;"' ];")</f>
        <v>defCons['consHWtoilet'] = { name:'consHWtoilet', nameCode: '',  title:'トイレ',  count:0,  sumClass:'consHWsum',  refClass:'',  substituteClass:'',  code:1,  color:'' };</v>
      </c>
    </row>
    <row r="11" customFormat="false" ht="13.5" hidden="false" customHeight="false" outlineLevel="0" collapsed="false">
      <c r="B11" s="8" t="n">
        <v>6</v>
      </c>
      <c r="C11" s="8" t="s">
        <v>240</v>
      </c>
      <c r="D11" s="8" t="s">
        <v>89</v>
      </c>
      <c r="E11" s="8" t="s">
        <v>88</v>
      </c>
      <c r="F11" s="8" t="n">
        <v>0</v>
      </c>
      <c r="G11" s="8" t="s">
        <v>224</v>
      </c>
      <c r="H11" s="8" t="s">
        <v>241</v>
      </c>
      <c r="I11" s="8"/>
      <c r="J11" s="8" t="n">
        <v>2</v>
      </c>
      <c r="K11" s="28" t="s">
        <v>242</v>
      </c>
      <c r="L11" s="8" t="n">
        <v>1</v>
      </c>
      <c r="M11" s="29" t="s">
        <v>243</v>
      </c>
      <c r="P11" s="25"/>
      <c r="Q11" s="25"/>
      <c r="R11" s="25" t="str">
        <f aca="false">IF($R$1="AS","consCalcList['","$consCalcList['")&amp;C11&amp;IF($R$1="AS","'] = new logic.C","'] = new C")&amp;MID(C11,2,20)&amp;"();"</f>
        <v>consCalcList['consHTsum'] = new logic.ConsHTsum();</v>
      </c>
      <c r="S11" s="26" t="s">
        <v>227</v>
      </c>
      <c r="T11" s="26"/>
      <c r="U11" s="26" t="str">
        <f aca="false">IF($R$1="AS","defCons['"&amp;C11&amp;"'] = { "&amp;C$3&amp;":'"&amp;C11&amp;"', "&amp;D$3&amp;": '"&amp;D11&amp;"',  "&amp;E$3&amp;":'"&amp;E11&amp;"',  "&amp;F$3&amp;":"&amp;F11&amp;",  "&amp;G$3&amp;":'"&amp;G11&amp;"',  "&amp;H$3&amp;":'"&amp;H11&amp;"',  "&amp;I$3&amp;":'"&amp;I11&amp;"',  "&amp;J$3&amp;":"&amp;J11&amp;",  "&amp;K$3&amp;":'"&amp;K11&amp;"' };","$this-&gt;defCons['"&amp;C11&amp;"'] = [ '"&amp;C11&amp;"', '"&amp;D11&amp;"', '"&amp;E11&amp;"', "&amp;F11&amp;", '"&amp;G11&amp;"', '"&amp;H11&amp;"', '"&amp;I11&amp;"', "&amp;J11&amp;", '"&amp;K11&amp;"' ];")</f>
        <v>defCons['consHTsum'] = { name:'consHTsum', nameCode: 'HT',  title:'暖房',  count:0,  sumClass:'consTotal',  refClass:'consHW',  substituteClass:'',  code:2,  color:'0xff0000' };</v>
      </c>
    </row>
    <row r="12" customFormat="false" ht="13.5" hidden="false" customHeight="false" outlineLevel="0" collapsed="false">
      <c r="B12" s="8" t="n">
        <v>7</v>
      </c>
      <c r="C12" s="8" t="s">
        <v>244</v>
      </c>
      <c r="D12" s="8" t="s">
        <v>91</v>
      </c>
      <c r="E12" s="8" t="s">
        <v>245</v>
      </c>
      <c r="F12" s="8" t="n">
        <v>0</v>
      </c>
      <c r="G12" s="8" t="s">
        <v>224</v>
      </c>
      <c r="H12" s="8"/>
      <c r="I12" s="8"/>
      <c r="J12" s="8" t="n">
        <v>2</v>
      </c>
      <c r="K12" s="30" t="s">
        <v>246</v>
      </c>
      <c r="L12" s="8" t="n">
        <v>1</v>
      </c>
      <c r="P12" s="25"/>
      <c r="Q12" s="25"/>
      <c r="R12" s="25" t="str">
        <f aca="false">IF($R$1="AS","consCalcList['","$consCalcList['")&amp;C12&amp;IF($R$1="AS","'] = new logic.C","'] = new C")&amp;MID(C12,2,20)&amp;"();"</f>
        <v>consCalcList['consCOsum'] = new logic.ConsCOsum();</v>
      </c>
      <c r="S12" s="26" t="s">
        <v>227</v>
      </c>
      <c r="T12" s="26"/>
      <c r="U12" s="26" t="str">
        <f aca="false">IF($R$1="AS","defCons['"&amp;C12&amp;"'] = { "&amp;C$3&amp;":'"&amp;C12&amp;"', "&amp;D$3&amp;": '"&amp;D12&amp;"',  "&amp;E$3&amp;":'"&amp;E12&amp;"',  "&amp;F$3&amp;":"&amp;F12&amp;",  "&amp;G$3&amp;":'"&amp;G12&amp;"',  "&amp;H$3&amp;":'"&amp;H12&amp;"',  "&amp;I$3&amp;":'"&amp;I12&amp;"',  "&amp;J$3&amp;":"&amp;J12&amp;",  "&amp;K$3&amp;":'"&amp;K12&amp;"' };","$this-&gt;defCons['"&amp;C12&amp;"'] = [ '"&amp;C12&amp;"', '"&amp;D12&amp;"', '"&amp;E12&amp;"', "&amp;F12&amp;", '"&amp;G12&amp;"', '"&amp;H12&amp;"', '"&amp;I12&amp;"', "&amp;J12&amp;", '"&amp;K12&amp;"' ];")</f>
        <v>defCons['consCOsum'] = { name:'consCOsum', nameCode: 'CO',  title:'冷房除湿',  count:0,  sumClass:'consTotal',  refClass:'',  substituteClass:'',  code:2,  color:'0x0000ff' };</v>
      </c>
    </row>
    <row r="13" customFormat="false" ht="13.5" hidden="false" customHeight="false" outlineLevel="0" collapsed="false">
      <c r="B13" s="8" t="n">
        <v>8</v>
      </c>
      <c r="C13" s="8" t="s">
        <v>247</v>
      </c>
      <c r="D13" s="8"/>
      <c r="E13" s="8" t="s">
        <v>248</v>
      </c>
      <c r="F13" s="8" t="n">
        <v>3</v>
      </c>
      <c r="G13" s="8"/>
      <c r="H13" s="8"/>
      <c r="I13" s="8"/>
      <c r="J13" s="8" t="n">
        <v>2</v>
      </c>
      <c r="K13" s="8"/>
      <c r="L13" s="8" t="n">
        <v>3</v>
      </c>
      <c r="P13" s="25"/>
      <c r="Q13" s="25"/>
      <c r="R13" s="25" t="str">
        <f aca="false">IF($R$1="AS","consCalcList['","$consCalcList['")&amp;C13&amp;IF($R$1="AS","'] = new logic.C","'] = new C")&amp;MID(C13,2,20)&amp;"();"</f>
        <v>consCalcList['consAC'] = new logic.ConsAC();</v>
      </c>
      <c r="S13" s="26" t="s">
        <v>227</v>
      </c>
      <c r="T13" s="26"/>
      <c r="U13" s="26" t="str">
        <f aca="false">IF($R$1="AS","defCons['"&amp;C13&amp;"'] = { "&amp;C$3&amp;":'"&amp;C13&amp;"', "&amp;D$3&amp;": '"&amp;D13&amp;"',  "&amp;E$3&amp;":'"&amp;E13&amp;"',  "&amp;F$3&amp;":"&amp;F13&amp;",  "&amp;G$3&amp;":'"&amp;G13&amp;"',  "&amp;H$3&amp;":'"&amp;H13&amp;"',  "&amp;I$3&amp;":'"&amp;I13&amp;"',  "&amp;J$3&amp;":"&amp;J13&amp;",  "&amp;K$3&amp;":'"&amp;K13&amp;"' };","$this-&gt;defCons['"&amp;C13&amp;"'] = [ '"&amp;C13&amp;"', '"&amp;D13&amp;"', '"&amp;E13&amp;"', "&amp;F13&amp;", '"&amp;G13&amp;"', '"&amp;H13&amp;"', '"&amp;I13&amp;"', "&amp;J13&amp;", '"&amp;K13&amp;"' ];")</f>
        <v>defCons['consAC'] = { name:'consAC', nameCode: '',  title:'個別冷暖房',  count:3,  sumClass:'',  refClass:'',  substituteClass:'',  code:2,  color:'' };</v>
      </c>
    </row>
    <row r="14" customFormat="false" ht="13.5" hidden="false" customHeight="false" outlineLevel="0" collapsed="false">
      <c r="B14" s="8" t="n">
        <v>9</v>
      </c>
      <c r="C14" s="8" t="s">
        <v>249</v>
      </c>
      <c r="D14" s="8"/>
      <c r="E14" s="8" t="s">
        <v>250</v>
      </c>
      <c r="F14" s="8" t="n">
        <v>3</v>
      </c>
      <c r="G14" s="8" t="s">
        <v>240</v>
      </c>
      <c r="H14" s="8" t="s">
        <v>247</v>
      </c>
      <c r="I14" s="8"/>
      <c r="J14" s="8" t="n">
        <v>2</v>
      </c>
      <c r="K14" s="8"/>
      <c r="L14" s="8" t="n">
        <v>2</v>
      </c>
      <c r="P14" s="25"/>
      <c r="Q14" s="25"/>
      <c r="R14" s="25" t="str">
        <f aca="false">IF($R$1="AS","consCalcList['","$consCalcList['")&amp;C14&amp;IF($R$1="AS","'] = new logic.C","'] = new C")&amp;MID(C14,2,20)&amp;"();"</f>
        <v>consCalcList['consACheat'] = new logic.ConsACheat();</v>
      </c>
      <c r="S14" s="26" t="s">
        <v>227</v>
      </c>
      <c r="T14" s="26"/>
      <c r="U14" s="26" t="str">
        <f aca="false">IF($R$1="AS","defCons['"&amp;C14&amp;"'] = { "&amp;C$3&amp;":'"&amp;C14&amp;"', "&amp;D$3&amp;": '"&amp;D14&amp;"',  "&amp;E$3&amp;":'"&amp;E14&amp;"',  "&amp;F$3&amp;":"&amp;F14&amp;",  "&amp;G$3&amp;":'"&amp;G14&amp;"',  "&amp;H$3&amp;":'"&amp;H14&amp;"',  "&amp;I$3&amp;":'"&amp;I14&amp;"',  "&amp;J$3&amp;":"&amp;J14&amp;",  "&amp;K$3&amp;":'"&amp;K14&amp;"' };","$this-&gt;defCons['"&amp;C14&amp;"'] = [ '"&amp;C14&amp;"', '"&amp;D14&amp;"', '"&amp;E14&amp;"', "&amp;F14&amp;", '"&amp;G14&amp;"', '"&amp;H14&amp;"', '"&amp;I14&amp;"', "&amp;J14&amp;", '"&amp;K14&amp;"' ];")</f>
        <v>defCons['consACheat'] = { name:'consACheat', nameCode: '',  title:'個別暖房',  count:3,  sumClass:'consHTsum',  refClass:'consAC',  substituteClass:'',  code:2,  color:'' };</v>
      </c>
    </row>
    <row r="15" customFormat="false" ht="13.5" hidden="false" customHeight="false" outlineLevel="0" collapsed="false">
      <c r="B15" s="8" t="n">
        <v>10</v>
      </c>
      <c r="C15" s="8" t="s">
        <v>251</v>
      </c>
      <c r="D15" s="8"/>
      <c r="E15" s="8" t="s">
        <v>252</v>
      </c>
      <c r="F15" s="8" t="n">
        <v>3</v>
      </c>
      <c r="G15" s="8" t="s">
        <v>244</v>
      </c>
      <c r="H15" s="8" t="s">
        <v>247</v>
      </c>
      <c r="I15" s="8"/>
      <c r="J15" s="8" t="n">
        <v>2</v>
      </c>
      <c r="K15" s="8"/>
      <c r="L15" s="8" t="n">
        <v>2</v>
      </c>
      <c r="P15" s="25"/>
      <c r="Q15" s="25"/>
      <c r="R15" s="25" t="str">
        <f aca="false">IF($R$1="AS","consCalcList['","$consCalcList['")&amp;C15&amp;IF($R$1="AS","'] = new logic.C","'] = new C")&amp;MID(C15,2,20)&amp;"();"</f>
        <v>consCalcList['consACcool'] = new logic.ConsACcool();</v>
      </c>
      <c r="S15" s="26" t="s">
        <v>227</v>
      </c>
      <c r="T15" s="26"/>
      <c r="U15" s="26" t="str">
        <f aca="false">IF($R$1="AS","defCons['"&amp;C15&amp;"'] = { "&amp;C$3&amp;":'"&amp;C15&amp;"', "&amp;D$3&amp;": '"&amp;D15&amp;"',  "&amp;E$3&amp;":'"&amp;E15&amp;"',  "&amp;F$3&amp;":"&amp;F15&amp;",  "&amp;G$3&amp;":'"&amp;G15&amp;"',  "&amp;H$3&amp;":'"&amp;H15&amp;"',  "&amp;I$3&amp;":'"&amp;I15&amp;"',  "&amp;J$3&amp;":"&amp;J15&amp;",  "&amp;K$3&amp;":'"&amp;K15&amp;"' };","$this-&gt;defCons['"&amp;C15&amp;"'] = [ '"&amp;C15&amp;"', '"&amp;D15&amp;"', '"&amp;E15&amp;"', "&amp;F15&amp;", '"&amp;G15&amp;"', '"&amp;H15&amp;"', '"&amp;I15&amp;"', "&amp;J15&amp;", '"&amp;K15&amp;"' ];")</f>
        <v>defCons['consACcool'] = { name:'consACcool', nameCode: '',  title:'個別冷房',  count:3,  sumClass:'consCOsum',  refClass:'consAC',  substituteClass:'',  code:2,  color:'' };</v>
      </c>
    </row>
    <row r="16" customFormat="false" ht="13.5" hidden="false" customHeight="false" outlineLevel="0" collapsed="false">
      <c r="B16" s="8" t="n">
        <v>11</v>
      </c>
      <c r="C16" s="8" t="s">
        <v>253</v>
      </c>
      <c r="D16" s="8" t="s">
        <v>83</v>
      </c>
      <c r="E16" s="8" t="s">
        <v>82</v>
      </c>
      <c r="F16" s="8" t="n">
        <v>0</v>
      </c>
      <c r="G16" s="8" t="s">
        <v>224</v>
      </c>
      <c r="H16" s="8"/>
      <c r="I16" s="8" t="s">
        <v>254</v>
      </c>
      <c r="J16" s="8" t="n">
        <v>3</v>
      </c>
      <c r="K16" s="31" t="s">
        <v>255</v>
      </c>
      <c r="L16" s="8" t="n">
        <v>1</v>
      </c>
      <c r="P16" s="25"/>
      <c r="Q16" s="25"/>
      <c r="R16" s="25" t="str">
        <f aca="false">IF($R$1="AS","consCalcList['","$consCalcList['")&amp;C16&amp;IF($R$1="AS","'] = new logic.C","'] = new C")&amp;MID(C16,2,20)&amp;"();"</f>
        <v>consCalcList['consRFsum'] = new logic.ConsRFsum();</v>
      </c>
      <c r="S16" s="26" t="s">
        <v>227</v>
      </c>
      <c r="T16" s="26"/>
      <c r="U16" s="26" t="str">
        <f aca="false">IF($R$1="AS","defCons['"&amp;C16&amp;"'] = { "&amp;C$3&amp;":'"&amp;C16&amp;"', "&amp;D$3&amp;": '"&amp;D16&amp;"',  "&amp;E$3&amp;":'"&amp;E16&amp;"',  "&amp;F$3&amp;":"&amp;F16&amp;",  "&amp;G$3&amp;":'"&amp;G16&amp;"',  "&amp;H$3&amp;":'"&amp;H16&amp;"',  "&amp;I$3&amp;":'"&amp;I16&amp;"',  "&amp;J$3&amp;":"&amp;J16&amp;",  "&amp;K$3&amp;":'"&amp;K16&amp;"' };","$this-&gt;defCons['"&amp;C16&amp;"'] = [ '"&amp;C16&amp;"', '"&amp;D16&amp;"', '"&amp;E16&amp;"', "&amp;F16&amp;", '"&amp;G16&amp;"', '"&amp;H16&amp;"', '"&amp;I16&amp;"', "&amp;J16&amp;", '"&amp;K16&amp;"' ];")</f>
        <v>defCons['consRFsum'] = { name:'consRFsum', nameCode: 'RF',  title:'冷蔵庫',  count:0,  sumClass:'consTotal',  refClass:'',  substituteClass:'consSum',  code:3,  color:'0x80ff80' };</v>
      </c>
    </row>
    <row r="17" customFormat="false" ht="13.5" hidden="false" customHeight="false" outlineLevel="0" collapsed="false">
      <c r="B17" s="8" t="n">
        <v>12</v>
      </c>
      <c r="C17" s="8" t="s">
        <v>256</v>
      </c>
      <c r="D17" s="8"/>
      <c r="E17" s="8" t="s">
        <v>82</v>
      </c>
      <c r="F17" s="8" t="n">
        <v>2</v>
      </c>
      <c r="G17" s="8" t="s">
        <v>253</v>
      </c>
      <c r="H17" s="8"/>
      <c r="I17" s="8"/>
      <c r="J17" s="8" t="n">
        <v>3</v>
      </c>
      <c r="K17" s="8"/>
      <c r="L17" s="8" t="n">
        <v>2</v>
      </c>
      <c r="P17" s="25"/>
      <c r="Q17" s="25"/>
      <c r="R17" s="25" t="str">
        <f aca="false">IF($R$1="AS","consCalcList['","$consCalcList['")&amp;C17&amp;IF($R$1="AS","'] = new logic.C","'] = new C")&amp;MID(C17,2,20)&amp;"();"</f>
        <v>consCalcList['consRF'] = new logic.ConsRF();</v>
      </c>
      <c r="S17" s="26" t="s">
        <v>227</v>
      </c>
      <c r="T17" s="26"/>
      <c r="U17" s="26" t="str">
        <f aca="false">IF($R$1="AS","defCons['"&amp;C17&amp;"'] = { "&amp;C$3&amp;":'"&amp;C17&amp;"', "&amp;D$3&amp;": '"&amp;D17&amp;"',  "&amp;E$3&amp;":'"&amp;E17&amp;"',  "&amp;F$3&amp;":"&amp;F17&amp;",  "&amp;G$3&amp;":'"&amp;G17&amp;"',  "&amp;H$3&amp;":'"&amp;H17&amp;"',  "&amp;I$3&amp;":'"&amp;I17&amp;"',  "&amp;J$3&amp;":"&amp;J17&amp;",  "&amp;K$3&amp;":'"&amp;K17&amp;"' };","$this-&gt;defCons['"&amp;C17&amp;"'] = [ '"&amp;C17&amp;"', '"&amp;D17&amp;"', '"&amp;E17&amp;"', "&amp;F17&amp;", '"&amp;G17&amp;"', '"&amp;H17&amp;"', '"&amp;I17&amp;"', "&amp;J17&amp;", '"&amp;K17&amp;"' ];")</f>
        <v>defCons['consRF'] = { name:'consRF', nameCode: '',  title:'冷蔵庫',  count:2,  sumClass:'consRFsum',  refClass:'',  substituteClass:'',  code:3,  color:'' };</v>
      </c>
    </row>
    <row r="18" customFormat="false" ht="13.5" hidden="false" customHeight="false" outlineLevel="0" collapsed="false">
      <c r="B18" s="8" t="n">
        <v>13</v>
      </c>
      <c r="C18" s="8" t="s">
        <v>257</v>
      </c>
      <c r="D18" s="8" t="s">
        <v>73</v>
      </c>
      <c r="E18" s="8" t="s">
        <v>72</v>
      </c>
      <c r="F18" s="8" t="n">
        <v>0</v>
      </c>
      <c r="G18" s="8" t="s">
        <v>224</v>
      </c>
      <c r="H18" s="8"/>
      <c r="I18" s="8" t="s">
        <v>254</v>
      </c>
      <c r="J18" s="8" t="n">
        <v>4</v>
      </c>
      <c r="K18" s="32" t="s">
        <v>258</v>
      </c>
      <c r="L18" s="8" t="n">
        <v>1</v>
      </c>
      <c r="P18" s="25"/>
      <c r="Q18" s="25"/>
      <c r="R18" s="25" t="str">
        <f aca="false">IF($R$1="AS","consCalcList['","$consCalcList['")&amp;C18&amp;IF($R$1="AS","'] = new logic.C","'] = new C")&amp;MID(C18,2,20)&amp;"();"</f>
        <v>consCalcList['consCKsum'] = new logic.ConsCKsum();</v>
      </c>
      <c r="S18" s="26" t="s">
        <v>227</v>
      </c>
      <c r="T18" s="26"/>
      <c r="U18" s="26" t="str">
        <f aca="false">IF($R$1="AS","defCons['"&amp;C18&amp;"'] = { "&amp;C$3&amp;":'"&amp;C18&amp;"', "&amp;D$3&amp;": '"&amp;D18&amp;"',  "&amp;E$3&amp;":'"&amp;E18&amp;"',  "&amp;F$3&amp;":"&amp;F18&amp;",  "&amp;G$3&amp;":'"&amp;G18&amp;"',  "&amp;H$3&amp;":'"&amp;H18&amp;"',  "&amp;I$3&amp;":'"&amp;I18&amp;"',  "&amp;J$3&amp;":"&amp;J18&amp;",  "&amp;K$3&amp;":'"&amp;K18&amp;"' };","$this-&gt;defCons['"&amp;C18&amp;"'] = [ '"&amp;C18&amp;"', '"&amp;D18&amp;"', '"&amp;E18&amp;"', "&amp;F18&amp;", '"&amp;G18&amp;"', '"&amp;H18&amp;"', '"&amp;I18&amp;"', "&amp;J18&amp;", '"&amp;K18&amp;"' ];")</f>
        <v>defCons['consCKsum'] = { name:'consCKsum', nameCode: 'CK',  title:'調理',  count:0,  sumClass:'consTotal',  refClass:'',  substituteClass:'consSum',  code:4,  color:'0xffe4b5' };</v>
      </c>
    </row>
    <row r="19" customFormat="false" ht="13.5" hidden="false" customHeight="false" outlineLevel="0" collapsed="false">
      <c r="B19" s="8" t="n">
        <v>14</v>
      </c>
      <c r="C19" s="8" t="s">
        <v>259</v>
      </c>
      <c r="D19" s="8"/>
      <c r="E19" s="8" t="s">
        <v>72</v>
      </c>
      <c r="F19" s="8" t="n">
        <v>0</v>
      </c>
      <c r="G19" s="8" t="s">
        <v>257</v>
      </c>
      <c r="H19" s="8"/>
      <c r="I19" s="8"/>
      <c r="J19" s="8" t="n">
        <v>4</v>
      </c>
      <c r="K19" s="8"/>
      <c r="L19" s="8" t="n">
        <v>3</v>
      </c>
      <c r="P19" s="25"/>
      <c r="Q19" s="25"/>
      <c r="R19" s="25" t="str">
        <f aca="false">IF($R$1="AS","consCalcList['","$consCalcList['")&amp;C19&amp;IF($R$1="AS","'] = new logic.C","'] = new C")&amp;MID(C19,2,20)&amp;"();"</f>
        <v>consCalcList['consCKcook'] = new logic.ConsCKcook();</v>
      </c>
      <c r="S19" s="26" t="s">
        <v>227</v>
      </c>
      <c r="T19" s="26"/>
      <c r="U19" s="26" t="str">
        <f aca="false">IF($R$1="AS","defCons['"&amp;C19&amp;"'] = { "&amp;C$3&amp;":'"&amp;C19&amp;"', "&amp;D$3&amp;": '"&amp;D19&amp;"',  "&amp;E$3&amp;":'"&amp;E19&amp;"',  "&amp;F$3&amp;":"&amp;F19&amp;",  "&amp;G$3&amp;":'"&amp;G19&amp;"',  "&amp;H$3&amp;":'"&amp;H19&amp;"',  "&amp;I$3&amp;":'"&amp;I19&amp;"',  "&amp;J$3&amp;":"&amp;J19&amp;",  "&amp;K$3&amp;":'"&amp;K19&amp;"' };","$this-&gt;defCons['"&amp;C19&amp;"'] = [ '"&amp;C19&amp;"', '"&amp;D19&amp;"', '"&amp;E19&amp;"', "&amp;F19&amp;", '"&amp;G19&amp;"', '"&amp;H19&amp;"', '"&amp;I19&amp;"', "&amp;J19&amp;", '"&amp;K19&amp;"' ];")</f>
        <v>defCons['consCKcook'] = { name:'consCKcook', nameCode: '',  title:'調理',  count:0,  sumClass:'consCKsum',  refClass:'',  substituteClass:'',  code:4,  color:'' };</v>
      </c>
    </row>
    <row r="20" customFormat="false" ht="13.5" hidden="false" customHeight="false" outlineLevel="0" collapsed="false">
      <c r="B20" s="8" t="n">
        <v>16</v>
      </c>
      <c r="C20" s="8" t="s">
        <v>260</v>
      </c>
      <c r="D20" s="8"/>
      <c r="E20" s="8" t="s">
        <v>261</v>
      </c>
      <c r="F20" s="8" t="n">
        <v>0</v>
      </c>
      <c r="G20" s="8" t="s">
        <v>257</v>
      </c>
      <c r="H20" s="8"/>
      <c r="I20" s="8"/>
      <c r="J20" s="8" t="n">
        <v>4</v>
      </c>
      <c r="K20" s="8"/>
      <c r="L20" s="8" t="n">
        <v>3</v>
      </c>
      <c r="P20" s="25"/>
      <c r="Q20" s="25"/>
      <c r="R20" s="25" t="str">
        <f aca="false">IF($R$1="AS","consCalcList['","$consCalcList['")&amp;C20&amp;IF($R$1="AS","'] = new logic.C","'] = new C")&amp;MID(C20,2,20)&amp;"();"</f>
        <v>consCalcList['consCKplug'] = new logic.ConsCKplug();</v>
      </c>
      <c r="S20" s="26" t="s">
        <v>227</v>
      </c>
      <c r="T20" s="26"/>
      <c r="U20" s="26" t="str">
        <f aca="false">IF($R$1="AS","defCons['"&amp;C20&amp;"'] = { "&amp;C$3&amp;":'"&amp;C20&amp;"', "&amp;D$3&amp;": '"&amp;D20&amp;"',  "&amp;E$3&amp;":'"&amp;E20&amp;"',  "&amp;F$3&amp;":"&amp;F20&amp;",  "&amp;G$3&amp;":'"&amp;G20&amp;"',  "&amp;H$3&amp;":'"&amp;H20&amp;"',  "&amp;I$3&amp;":'"&amp;I20&amp;"',  "&amp;J$3&amp;":"&amp;J20&amp;",  "&amp;K$3&amp;":'"&amp;K20&amp;"' };","$this-&gt;defCons['"&amp;C20&amp;"'] = [ '"&amp;C20&amp;"', '"&amp;D20&amp;"', '"&amp;E20&amp;"', "&amp;F20&amp;", '"&amp;G20&amp;"', '"&amp;H20&amp;"', '"&amp;I20&amp;"', "&amp;J20&amp;", '"&amp;K20&amp;"' ];")</f>
        <v>defCons['consCKplug'] = { name:'consCKplug', nameCode: '',  title:'待機',  count:0,  sumClass:'consCKsum',  refClass:'',  substituteClass:'',  code:4,  color:'' };</v>
      </c>
    </row>
    <row r="21" customFormat="false" ht="13.5" hidden="false" customHeight="false" outlineLevel="0" collapsed="false">
      <c r="B21" s="8" t="n">
        <v>17</v>
      </c>
      <c r="C21" s="8" t="s">
        <v>262</v>
      </c>
      <c r="D21" s="8"/>
      <c r="E21" s="8" t="s">
        <v>263</v>
      </c>
      <c r="F21" s="8" t="n">
        <v>0</v>
      </c>
      <c r="G21" s="8" t="s">
        <v>257</v>
      </c>
      <c r="H21" s="8"/>
      <c r="I21" s="8"/>
      <c r="J21" s="8" t="n">
        <v>4</v>
      </c>
      <c r="K21" s="8"/>
      <c r="L21" s="8" t="n">
        <v>3</v>
      </c>
      <c r="P21" s="25"/>
      <c r="Q21" s="25"/>
      <c r="R21" s="25" t="str">
        <f aca="false">IF($R$1="AS","consCalcList['","$consCalcList['")&amp;C21&amp;IF($R$1="AS","'] = new logic.C","'] = new C")&amp;MID(C21,2,20)&amp;"();"</f>
        <v>consCalcList['consCKpot'] = new logic.ConsCKpot();</v>
      </c>
      <c r="S21" s="26" t="s">
        <v>227</v>
      </c>
      <c r="T21" s="26"/>
      <c r="U21" s="26" t="str">
        <f aca="false">IF($R$1="AS","defCons['"&amp;C21&amp;"'] = { "&amp;C$3&amp;":'"&amp;C21&amp;"', "&amp;D$3&amp;": '"&amp;D21&amp;"',  "&amp;E$3&amp;":'"&amp;E21&amp;"',  "&amp;F$3&amp;":"&amp;F21&amp;",  "&amp;G$3&amp;":'"&amp;G21&amp;"',  "&amp;H$3&amp;":'"&amp;H21&amp;"',  "&amp;I$3&amp;":'"&amp;I21&amp;"',  "&amp;J$3&amp;":"&amp;J21&amp;",  "&amp;K$3&amp;":'"&amp;K21&amp;"' };","$this-&gt;defCons['"&amp;C21&amp;"'] = [ '"&amp;C21&amp;"', '"&amp;D21&amp;"', '"&amp;E21&amp;"', "&amp;F21&amp;", '"&amp;G21&amp;"', '"&amp;H21&amp;"', '"&amp;I21&amp;"', "&amp;J21&amp;", '"&amp;K21&amp;"' ];")</f>
        <v>defCons['consCKpot'] = { name:'consCKpot', nameCode: '',  title:'ポット',  count:0,  sumClass:'consCKsum',  refClass:'',  substituteClass:'',  code:4,  color:'' };</v>
      </c>
    </row>
    <row r="22" customFormat="false" ht="13.5" hidden="false" customHeight="false" outlineLevel="0" collapsed="false">
      <c r="B22" s="8" t="n">
        <v>18</v>
      </c>
      <c r="C22" s="8" t="s">
        <v>264</v>
      </c>
      <c r="D22" s="8"/>
      <c r="E22" s="8" t="s">
        <v>265</v>
      </c>
      <c r="F22" s="8" t="n">
        <v>0</v>
      </c>
      <c r="G22" s="8" t="s">
        <v>257</v>
      </c>
      <c r="H22" s="8"/>
      <c r="I22" s="8"/>
      <c r="J22" s="8" t="n">
        <v>4</v>
      </c>
      <c r="K22" s="8"/>
      <c r="L22" s="8" t="n">
        <v>3</v>
      </c>
      <c r="P22" s="25"/>
      <c r="Q22" s="25"/>
      <c r="R22" s="25" t="str">
        <f aca="false">IF($R$1="AS","consCalcList['","$consCalcList['")&amp;C22&amp;IF($R$1="AS","'] = new logic.C","'] = new C")&amp;MID(C22,2,20)&amp;"();"</f>
        <v>consCalcList['consCKrice'] = new logic.ConsCKrice();</v>
      </c>
      <c r="S22" s="26" t="s">
        <v>227</v>
      </c>
      <c r="T22" s="26"/>
      <c r="U22" s="26" t="str">
        <f aca="false">IF($R$1="AS","defCons['"&amp;C22&amp;"'] = { "&amp;C$3&amp;":'"&amp;C22&amp;"', "&amp;D$3&amp;": '"&amp;D22&amp;"',  "&amp;E$3&amp;":'"&amp;E22&amp;"',  "&amp;F$3&amp;":"&amp;F22&amp;",  "&amp;G$3&amp;":'"&amp;G22&amp;"',  "&amp;H$3&amp;":'"&amp;H22&amp;"',  "&amp;I$3&amp;":'"&amp;I22&amp;"',  "&amp;J$3&amp;":"&amp;J22&amp;",  "&amp;K$3&amp;":'"&amp;K22&amp;"' };","$this-&gt;defCons['"&amp;C22&amp;"'] = [ '"&amp;C22&amp;"', '"&amp;D22&amp;"', '"&amp;E22&amp;"', "&amp;F22&amp;", '"&amp;G22&amp;"', '"&amp;H22&amp;"', '"&amp;I22&amp;"', "&amp;J22&amp;", '"&amp;K22&amp;"' ];")</f>
        <v>defCons['consCKrice'] = { name:'consCKrice', nameCode: '',  title:'炊飯ジャー',  count:0,  sumClass:'consCKsum',  refClass:'',  substituteClass:'',  code:4,  color:'' };</v>
      </c>
    </row>
    <row r="23" customFormat="false" ht="13.5" hidden="false" customHeight="false" outlineLevel="0" collapsed="false">
      <c r="B23" s="8" t="n">
        <v>19</v>
      </c>
      <c r="C23" s="8" t="s">
        <v>266</v>
      </c>
      <c r="D23" s="8" t="s">
        <v>76</v>
      </c>
      <c r="E23" s="8" t="s">
        <v>267</v>
      </c>
      <c r="F23" s="8" t="n">
        <v>0</v>
      </c>
      <c r="G23" s="8" t="s">
        <v>224</v>
      </c>
      <c r="H23" s="8"/>
      <c r="I23" s="8"/>
      <c r="J23" s="8" t="n">
        <v>5</v>
      </c>
      <c r="K23" s="33" t="s">
        <v>268</v>
      </c>
      <c r="L23" s="8" t="n">
        <v>1</v>
      </c>
      <c r="P23" s="25"/>
      <c r="Q23" s="25"/>
      <c r="R23" s="25" t="str">
        <f aca="false">IF($R$1="AS","consCalcList['","$consCalcList['")&amp;C23&amp;IF($R$1="AS","'] = new logic.C","'] = new C")&amp;MID(C23,2,20)&amp;"();"</f>
        <v>consCalcList['consDRsum'] = new logic.ConsDRsum();</v>
      </c>
      <c r="S23" s="26" t="s">
        <v>227</v>
      </c>
      <c r="T23" s="26"/>
      <c r="U23" s="26" t="str">
        <f aca="false">IF($R$1="AS","defCons['"&amp;C23&amp;"'] = { "&amp;C$3&amp;":'"&amp;C23&amp;"', "&amp;D$3&amp;": '"&amp;D23&amp;"',  "&amp;E$3&amp;":'"&amp;E23&amp;"',  "&amp;F$3&amp;":"&amp;F23&amp;",  "&amp;G$3&amp;":'"&amp;G23&amp;"',  "&amp;H$3&amp;":'"&amp;H23&amp;"',  "&amp;I$3&amp;":'"&amp;I23&amp;"',  "&amp;J$3&amp;":"&amp;J23&amp;",  "&amp;K$3&amp;":'"&amp;K23&amp;"' };","$this-&gt;defCons['"&amp;C23&amp;"'] = [ '"&amp;C23&amp;"', '"&amp;D23&amp;"', '"&amp;E23&amp;"', "&amp;F23&amp;", '"&amp;G23&amp;"', '"&amp;H23&amp;"', '"&amp;I23&amp;"', "&amp;J23&amp;", '"&amp;K23&amp;"' ];")</f>
        <v>defCons['consDRsum'] = { name:'consDRsum', nameCode: 'DR',  title:'洗濯乾燥',  count:0,  sumClass:'consTotal',  refClass:'',  substituteClass:'',  code:5,  color:'0x00ffff' };</v>
      </c>
    </row>
    <row r="24" customFormat="false" ht="13.5" hidden="false" customHeight="false" outlineLevel="0" collapsed="false">
      <c r="B24" s="8" t="n">
        <v>20</v>
      </c>
      <c r="C24" s="8" t="s">
        <v>269</v>
      </c>
      <c r="D24" s="8"/>
      <c r="E24" s="8" t="s">
        <v>270</v>
      </c>
      <c r="F24" s="8" t="n">
        <v>0</v>
      </c>
      <c r="G24" s="8" t="s">
        <v>266</v>
      </c>
      <c r="H24" s="8"/>
      <c r="I24" s="8"/>
      <c r="J24" s="8" t="n">
        <v>5</v>
      </c>
      <c r="K24" s="8"/>
      <c r="L24" s="8" t="n">
        <v>3</v>
      </c>
      <c r="P24" s="25"/>
      <c r="Q24" s="25"/>
      <c r="R24" s="25" t="str">
        <f aca="false">IF($R$1="AS","consCalcList['","$consCalcList['")&amp;C24&amp;IF($R$1="AS","'] = new logic.C","'] = new C")&amp;MID(C24,2,20)&amp;"();"</f>
        <v>consCalcList['consDRwash'] = new logic.ConsDRwash();</v>
      </c>
      <c r="S24" s="26" t="s">
        <v>227</v>
      </c>
      <c r="T24" s="26"/>
      <c r="U24" s="26" t="str">
        <f aca="false">IF($R$1="AS","defCons['"&amp;C24&amp;"'] = { "&amp;C$3&amp;":'"&amp;C24&amp;"', "&amp;D$3&amp;": '"&amp;D24&amp;"',  "&amp;E$3&amp;":'"&amp;E24&amp;"',  "&amp;F$3&amp;":"&amp;F24&amp;",  "&amp;G$3&amp;":'"&amp;G24&amp;"',  "&amp;H$3&amp;":'"&amp;H24&amp;"',  "&amp;I$3&amp;":'"&amp;I24&amp;"',  "&amp;J$3&amp;":"&amp;J24&amp;",  "&amp;K$3&amp;":'"&amp;K24&amp;"' };","$this-&gt;defCons['"&amp;C24&amp;"'] = [ '"&amp;C24&amp;"', '"&amp;D24&amp;"', '"&amp;E24&amp;"', "&amp;F24&amp;", '"&amp;G24&amp;"', '"&amp;H24&amp;"', '"&amp;I24&amp;"', "&amp;J24&amp;", '"&amp;K24&amp;"' ];")</f>
        <v>defCons['consDRwash'] = { name:'consDRwash', nameCode: '',  title:'洗濯',  count:0,  sumClass:'consDRsum',  refClass:'',  substituteClass:'',  code:5,  color:'' };</v>
      </c>
    </row>
    <row r="25" customFormat="false" ht="13.5" hidden="false" customHeight="false" outlineLevel="0" collapsed="false">
      <c r="B25" s="8" t="n">
        <v>21</v>
      </c>
      <c r="C25" s="8" t="s">
        <v>271</v>
      </c>
      <c r="D25" s="8"/>
      <c r="E25" s="8" t="s">
        <v>272</v>
      </c>
      <c r="F25" s="8" t="n">
        <v>0</v>
      </c>
      <c r="G25" s="8" t="s">
        <v>266</v>
      </c>
      <c r="H25" s="8"/>
      <c r="I25" s="8"/>
      <c r="J25" s="8" t="n">
        <v>5</v>
      </c>
      <c r="K25" s="8"/>
      <c r="L25" s="8" t="n">
        <v>3</v>
      </c>
      <c r="P25" s="25"/>
      <c r="Q25" s="25"/>
      <c r="R25" s="25" t="str">
        <f aca="false">IF($R$1="AS","consCalcList['","$consCalcList['")&amp;C25&amp;IF($R$1="AS","'] = new logic.C","'] = new C")&amp;MID(C25,2,20)&amp;"();"</f>
        <v>consCalcList['consDRdry'] = new logic.ConsDRdry();</v>
      </c>
      <c r="S25" s="26" t="s">
        <v>227</v>
      </c>
      <c r="T25" s="26"/>
      <c r="U25" s="26" t="str">
        <f aca="false">IF($R$1="AS","defCons['"&amp;C25&amp;"'] = { "&amp;C$3&amp;":'"&amp;C25&amp;"', "&amp;D$3&amp;": '"&amp;D25&amp;"',  "&amp;E$3&amp;":'"&amp;E25&amp;"',  "&amp;F$3&amp;":"&amp;F25&amp;",  "&amp;G$3&amp;":'"&amp;G25&amp;"',  "&amp;H$3&amp;":'"&amp;H25&amp;"',  "&amp;I$3&amp;":'"&amp;I25&amp;"',  "&amp;J$3&amp;":"&amp;J25&amp;",  "&amp;K$3&amp;":'"&amp;K25&amp;"' };","$this-&gt;defCons['"&amp;C25&amp;"'] = [ '"&amp;C25&amp;"', '"&amp;D25&amp;"', '"&amp;E25&amp;"', "&amp;F25&amp;", '"&amp;G25&amp;"', '"&amp;H25&amp;"', '"&amp;I25&amp;"', "&amp;J25&amp;", '"&amp;K25&amp;"' ];")</f>
        <v>defCons['consDRdry'] = { name:'consDRdry', nameCode: '',  title:'乾燥',  count:0,  sumClass:'consDRsum',  refClass:'',  substituteClass:'',  code:5,  color:'' };</v>
      </c>
    </row>
    <row r="26" customFormat="false" ht="13.5" hidden="false" customHeight="false" outlineLevel="0" collapsed="false">
      <c r="B26" s="8" t="n">
        <v>22</v>
      </c>
      <c r="C26" s="8" t="s">
        <v>273</v>
      </c>
      <c r="D26" s="8" t="s">
        <v>78</v>
      </c>
      <c r="E26" s="8" t="s">
        <v>77</v>
      </c>
      <c r="F26" s="8" t="n">
        <v>0</v>
      </c>
      <c r="G26" s="8" t="s">
        <v>224</v>
      </c>
      <c r="H26" s="8"/>
      <c r="I26" s="8" t="s">
        <v>254</v>
      </c>
      <c r="J26" s="8" t="n">
        <v>6</v>
      </c>
      <c r="K26" s="34" t="s">
        <v>274</v>
      </c>
      <c r="L26" s="8" t="n">
        <v>1</v>
      </c>
      <c r="P26" s="25"/>
      <c r="Q26" s="25"/>
      <c r="R26" s="25" t="str">
        <f aca="false">IF($R$1="AS","consCalcList['","$consCalcList['")&amp;C26&amp;IF($R$1="AS","'] = new logic.C","'] = new C")&amp;MID(C26,2,20)&amp;"();"</f>
        <v>consCalcList['consLIsum'] = new logic.ConsLIsum();</v>
      </c>
      <c r="S26" s="26" t="s">
        <v>227</v>
      </c>
      <c r="T26" s="26"/>
      <c r="U26" s="26" t="str">
        <f aca="false">IF($R$1="AS","defCons['"&amp;C26&amp;"'] = { "&amp;C$3&amp;":'"&amp;C26&amp;"', "&amp;D$3&amp;": '"&amp;D26&amp;"',  "&amp;E$3&amp;":'"&amp;E26&amp;"',  "&amp;F$3&amp;":"&amp;F26&amp;",  "&amp;G$3&amp;":'"&amp;G26&amp;"',  "&amp;H$3&amp;":'"&amp;H26&amp;"',  "&amp;I$3&amp;":'"&amp;I26&amp;"',  "&amp;J$3&amp;":"&amp;J26&amp;",  "&amp;K$3&amp;":'"&amp;K26&amp;"' };","$this-&gt;defCons['"&amp;C26&amp;"'] = [ '"&amp;C26&amp;"', '"&amp;D26&amp;"', '"&amp;E26&amp;"', "&amp;F26&amp;", '"&amp;G26&amp;"', '"&amp;H26&amp;"', '"&amp;I26&amp;"', "&amp;J26&amp;", '"&amp;K26&amp;"' ];")</f>
        <v>defCons['consLIsum'] = { name:'consLIsum', nameCode: 'LI',  title:'照明',  count:0,  sumClass:'consTotal',  refClass:'',  substituteClass:'consSum',  code:6,  color:'0xffff00' };</v>
      </c>
    </row>
    <row r="27" customFormat="false" ht="13.5" hidden="false" customHeight="false" outlineLevel="0" collapsed="false">
      <c r="B27" s="8" t="n">
        <v>23</v>
      </c>
      <c r="C27" s="8" t="s">
        <v>275</v>
      </c>
      <c r="D27" s="8"/>
      <c r="E27" s="8" t="s">
        <v>77</v>
      </c>
      <c r="F27" s="8" t="n">
        <v>3</v>
      </c>
      <c r="G27" s="8" t="s">
        <v>273</v>
      </c>
      <c r="H27" s="8"/>
      <c r="I27" s="8"/>
      <c r="J27" s="8" t="n">
        <v>6</v>
      </c>
      <c r="K27" s="8"/>
      <c r="L27" s="8" t="n">
        <v>2</v>
      </c>
      <c r="P27" s="25"/>
      <c r="Q27" s="25"/>
      <c r="R27" s="25" t="str">
        <f aca="false">IF($R$1="AS","consCalcList['","$consCalcList['")&amp;C27&amp;IF($R$1="AS","'] = new logic.C","'] = new C")&amp;MID(C27,2,20)&amp;"();"</f>
        <v>consCalcList['consLI'] = new logic.ConsLI();</v>
      </c>
      <c r="S27" s="26" t="s">
        <v>227</v>
      </c>
      <c r="T27" s="26"/>
      <c r="U27" s="26" t="str">
        <f aca="false">IF($R$1="AS","defCons['"&amp;C27&amp;"'] = { "&amp;C$3&amp;":'"&amp;C27&amp;"', "&amp;D$3&amp;": '"&amp;D27&amp;"',  "&amp;E$3&amp;":'"&amp;E27&amp;"',  "&amp;F$3&amp;":"&amp;F27&amp;",  "&amp;G$3&amp;":'"&amp;G27&amp;"',  "&amp;H$3&amp;":'"&amp;H27&amp;"',  "&amp;I$3&amp;":'"&amp;I27&amp;"',  "&amp;J$3&amp;":"&amp;J27&amp;",  "&amp;K$3&amp;":'"&amp;K27&amp;"' };","$this-&gt;defCons['"&amp;C27&amp;"'] = [ '"&amp;C27&amp;"', '"&amp;D27&amp;"', '"&amp;E27&amp;"', "&amp;F27&amp;", '"&amp;G27&amp;"', '"&amp;H27&amp;"', '"&amp;I27&amp;"', "&amp;J27&amp;", '"&amp;K27&amp;"' ];")</f>
        <v>defCons['consLI'] = { name:'consLI', nameCode: '',  title:'照明',  count:3,  sumClass:'consLIsum',  refClass:'',  substituteClass:'',  code:6,  color:'' };</v>
      </c>
    </row>
    <row r="28" customFormat="false" ht="13.5" hidden="false" customHeight="false" outlineLevel="0" collapsed="false">
      <c r="B28" s="8" t="n">
        <v>24</v>
      </c>
      <c r="C28" s="8" t="s">
        <v>276</v>
      </c>
      <c r="D28" s="8" t="s">
        <v>81</v>
      </c>
      <c r="E28" s="8" t="s">
        <v>79</v>
      </c>
      <c r="F28" s="8" t="n">
        <v>0</v>
      </c>
      <c r="G28" s="8" t="s">
        <v>224</v>
      </c>
      <c r="H28" s="8"/>
      <c r="I28" s="8" t="s">
        <v>254</v>
      </c>
      <c r="J28" s="8" t="n">
        <v>7</v>
      </c>
      <c r="K28" s="35" t="s">
        <v>277</v>
      </c>
      <c r="L28" s="8" t="n">
        <v>1</v>
      </c>
      <c r="P28" s="25"/>
      <c r="Q28" s="25"/>
      <c r="R28" s="25" t="str">
        <f aca="false">IF($R$1="AS","consCalcList['","$consCalcList['")&amp;C28&amp;IF($R$1="AS","'] = new logic.C","'] = new C")&amp;MID(C28,2,20)&amp;"();"</f>
        <v>consCalcList['consTVsum'] = new logic.ConsTVsum();</v>
      </c>
      <c r="S28" s="26" t="s">
        <v>227</v>
      </c>
      <c r="T28" s="26"/>
      <c r="U28" s="26" t="str">
        <f aca="false">IF($R$1="AS","defCons['"&amp;C28&amp;"'] = { "&amp;C$3&amp;":'"&amp;C28&amp;"', "&amp;D$3&amp;": '"&amp;D28&amp;"',  "&amp;E$3&amp;":'"&amp;E28&amp;"',  "&amp;F$3&amp;":"&amp;F28&amp;",  "&amp;G$3&amp;":'"&amp;G28&amp;"',  "&amp;H$3&amp;":'"&amp;H28&amp;"',  "&amp;I$3&amp;":'"&amp;I28&amp;"',  "&amp;J$3&amp;":"&amp;J28&amp;",  "&amp;K$3&amp;":'"&amp;K28&amp;"' };","$this-&gt;defCons['"&amp;C28&amp;"'] = [ '"&amp;C28&amp;"', '"&amp;D28&amp;"', '"&amp;E28&amp;"', "&amp;F28&amp;", '"&amp;G28&amp;"', '"&amp;H28&amp;"', '"&amp;I28&amp;"', "&amp;J28&amp;", '"&amp;K28&amp;"' ];")</f>
        <v>defCons['consTVsum'] = { name:'consTVsum', nameCode: 'TV',  title:'テレビ',  count:0,  sumClass:'consTotal',  refClass:'',  substituteClass:'consSum',  code:7,  color:'0x00ff00' };</v>
      </c>
    </row>
    <row r="29" customFormat="false" ht="13.5" hidden="false" customHeight="false" outlineLevel="0" collapsed="false">
      <c r="B29" s="8" t="n">
        <v>25</v>
      </c>
      <c r="C29" s="8" t="s">
        <v>278</v>
      </c>
      <c r="D29" s="8"/>
      <c r="E29" s="8" t="s">
        <v>79</v>
      </c>
      <c r="F29" s="8" t="n">
        <v>3</v>
      </c>
      <c r="G29" s="8" t="s">
        <v>276</v>
      </c>
      <c r="H29" s="8"/>
      <c r="I29" s="8"/>
      <c r="J29" s="8" t="n">
        <v>7</v>
      </c>
      <c r="K29" s="8"/>
      <c r="L29" s="8" t="n">
        <v>3</v>
      </c>
      <c r="P29" s="25"/>
      <c r="Q29" s="25"/>
      <c r="R29" s="25" t="str">
        <f aca="false">IF($R$1="AS","consCalcList['","$consCalcList['")&amp;C29&amp;IF($R$1="AS","'] = new logic.C","'] = new C")&amp;MID(C29,2,20)&amp;"();"</f>
        <v>consCalcList['consTV'] = new logic.ConsTV();</v>
      </c>
      <c r="S29" s="26" t="s">
        <v>227</v>
      </c>
      <c r="T29" s="26"/>
      <c r="U29" s="26" t="str">
        <f aca="false">IF($R$1="AS","defCons['"&amp;C29&amp;"'] = { "&amp;C$3&amp;":'"&amp;C29&amp;"', "&amp;D$3&amp;": '"&amp;D29&amp;"',  "&amp;E$3&amp;":'"&amp;E29&amp;"',  "&amp;F$3&amp;":"&amp;F29&amp;",  "&amp;G$3&amp;":'"&amp;G29&amp;"',  "&amp;H$3&amp;":'"&amp;H29&amp;"',  "&amp;I$3&amp;":'"&amp;I29&amp;"',  "&amp;J$3&amp;":"&amp;J29&amp;",  "&amp;K$3&amp;":'"&amp;K29&amp;"' };","$this-&gt;defCons['"&amp;C29&amp;"'] = [ '"&amp;C29&amp;"', '"&amp;D29&amp;"', '"&amp;E29&amp;"', "&amp;F29&amp;", '"&amp;G29&amp;"', '"&amp;H29&amp;"', '"&amp;I29&amp;"', "&amp;J29&amp;", '"&amp;K29&amp;"' ];")</f>
        <v>defCons['consTV'] = { name:'consTV', nameCode: '',  title:'テレビ',  count:3,  sumClass:'consTVsum',  refClass:'',  substituteClass:'',  code:7,  color:'' };</v>
      </c>
    </row>
    <row r="30" customFormat="false" ht="13.5" hidden="false" customHeight="false" outlineLevel="0" collapsed="false">
      <c r="B30" s="8" t="n">
        <v>26</v>
      </c>
      <c r="C30" s="8" t="s">
        <v>279</v>
      </c>
      <c r="D30" s="8" t="s">
        <v>85</v>
      </c>
      <c r="E30" s="8" t="s">
        <v>280</v>
      </c>
      <c r="F30" s="8" t="n">
        <v>0</v>
      </c>
      <c r="G30" s="8" t="s">
        <v>224</v>
      </c>
      <c r="H30" s="8"/>
      <c r="I30" s="8"/>
      <c r="J30" s="8" t="n">
        <v>8</v>
      </c>
      <c r="K30" s="36" t="s">
        <v>281</v>
      </c>
      <c r="L30" s="8" t="n">
        <v>1</v>
      </c>
      <c r="P30" s="25"/>
      <c r="Q30" s="25"/>
      <c r="R30" s="25" t="str">
        <f aca="false">IF($R$1="AS","consCalcList['","$consCalcList['")&amp;C30&amp;IF($R$1="AS","'] = new logic.C","'] = new C")&amp;MID(C30,2,20)&amp;"();"</f>
        <v>consCalcList['consCRsum'] = new logic.ConsCRsum();</v>
      </c>
      <c r="S30" s="26" t="s">
        <v>227</v>
      </c>
      <c r="T30" s="26"/>
      <c r="U30" s="26" t="str">
        <f aca="false">IF($R$1="AS","defCons['"&amp;C30&amp;"'] = { "&amp;C$3&amp;":'"&amp;C30&amp;"', "&amp;D$3&amp;": '"&amp;D30&amp;"',  "&amp;E$3&amp;":'"&amp;E30&amp;"',  "&amp;F$3&amp;":"&amp;F30&amp;",  "&amp;G$3&amp;":'"&amp;G30&amp;"',  "&amp;H$3&amp;":'"&amp;H30&amp;"',  "&amp;I$3&amp;":'"&amp;I30&amp;"',  "&amp;J$3&amp;":"&amp;J30&amp;",  "&amp;K$3&amp;":'"&amp;K30&amp;"' };","$this-&gt;defCons['"&amp;C30&amp;"'] = [ '"&amp;C30&amp;"', '"&amp;D30&amp;"', '"&amp;E30&amp;"', "&amp;F30&amp;", '"&amp;G30&amp;"', '"&amp;H30&amp;"', '"&amp;I30&amp;"', "&amp;J30&amp;", '"&amp;K30&amp;"' ];")</f>
        <v>defCons['consCRsum'] = { name:'consCRsum', nameCode: 'CR',  title:'交通',  count:0,  sumClass:'consTotal',  refClass:'',  substituteClass:'',  code:8,  color:'0xee82ee' };</v>
      </c>
    </row>
    <row r="31" customFormat="false" ht="13.5" hidden="false" customHeight="false" outlineLevel="0" collapsed="false">
      <c r="B31" s="8" t="n">
        <v>27</v>
      </c>
      <c r="C31" s="8" t="s">
        <v>282</v>
      </c>
      <c r="D31" s="8"/>
      <c r="E31" s="8" t="s">
        <v>283</v>
      </c>
      <c r="F31" s="8" t="n">
        <v>3</v>
      </c>
      <c r="G31" s="8" t="s">
        <v>279</v>
      </c>
      <c r="H31" s="8" t="s">
        <v>284</v>
      </c>
      <c r="I31" s="8"/>
      <c r="J31" s="8" t="n">
        <v>8</v>
      </c>
      <c r="K31" s="8"/>
      <c r="L31" s="8" t="n">
        <v>3</v>
      </c>
      <c r="P31" s="25"/>
      <c r="Q31" s="25"/>
      <c r="R31" s="25" t="str">
        <f aca="false">IF($R$1="AS","consCalcList['","$consCalcList['")&amp;C31&amp;IF($R$1="AS","'] = new logic.C","'] = new C")&amp;MID(C31,2,20)&amp;"();"</f>
        <v>consCalcList['consCR'] = new logic.ConsCR();</v>
      </c>
      <c r="S31" s="26" t="s">
        <v>227</v>
      </c>
      <c r="T31" s="26"/>
      <c r="U31" s="26" t="str">
        <f aca="false">IF($R$1="AS","defCons['"&amp;C31&amp;"'] = { "&amp;C$3&amp;":'"&amp;C31&amp;"', "&amp;D$3&amp;": '"&amp;D31&amp;"',  "&amp;E$3&amp;":'"&amp;E31&amp;"',  "&amp;F$3&amp;":"&amp;F31&amp;",  "&amp;G$3&amp;":'"&amp;G31&amp;"',  "&amp;H$3&amp;":'"&amp;H31&amp;"',  "&amp;I$3&amp;":'"&amp;I31&amp;"',  "&amp;J$3&amp;":"&amp;J31&amp;",  "&amp;K$3&amp;":'"&amp;K31&amp;"' };","$this-&gt;defCons['"&amp;C31&amp;"'] = [ '"&amp;C31&amp;"', '"&amp;D31&amp;"', '"&amp;E31&amp;"', "&amp;F31&amp;", '"&amp;G31&amp;"', '"&amp;H31&amp;"', '"&amp;I31&amp;"', "&amp;J31&amp;", '"&amp;K31&amp;"' ];")</f>
        <v>defCons['consCR'] = { name:'consCR', nameCode: '',  title:'車',  count:3,  sumClass:'consCRsum',  refClass:'consCRtrip',  substituteClass:'',  code:8,  color:'' };</v>
      </c>
    </row>
    <row r="32" customFormat="false" ht="13.5" hidden="false" customHeight="false" outlineLevel="0" collapsed="false">
      <c r="B32" s="8" t="n">
        <v>28</v>
      </c>
      <c r="C32" s="8" t="s">
        <v>284</v>
      </c>
      <c r="D32" s="8"/>
      <c r="E32" s="8" t="s">
        <v>280</v>
      </c>
      <c r="F32" s="8" t="n">
        <v>5</v>
      </c>
      <c r="G32" s="8" t="s">
        <v>279</v>
      </c>
      <c r="H32" s="8" t="s">
        <v>282</v>
      </c>
      <c r="I32" s="8"/>
      <c r="J32" s="8" t="n">
        <v>8</v>
      </c>
      <c r="K32" s="8"/>
      <c r="L32" s="8" t="n">
        <v>2</v>
      </c>
      <c r="P32" s="25"/>
      <c r="Q32" s="25"/>
      <c r="R32" s="25" t="str">
        <f aca="false">IF($R$1="AS","consCalcList['","$consCalcList['")&amp;C32&amp;IF($R$1="AS","'] = new logic.C","'] = new C")&amp;MID(C32,2,20)&amp;"();"</f>
        <v>consCalcList['consCRtrip'] = new logic.ConsCRtrip();</v>
      </c>
      <c r="S32" s="26" t="s">
        <v>227</v>
      </c>
      <c r="T32" s="26"/>
      <c r="U32" s="26" t="str">
        <f aca="false">IF($R$1="AS","defCons['"&amp;C32&amp;"'] = { "&amp;C$3&amp;":'"&amp;C32&amp;"', "&amp;D$3&amp;": '"&amp;D32&amp;"',  "&amp;E$3&amp;":'"&amp;E32&amp;"',  "&amp;F$3&amp;":"&amp;F32&amp;",  "&amp;G$3&amp;":'"&amp;G32&amp;"',  "&amp;H$3&amp;":'"&amp;H32&amp;"',  "&amp;I$3&amp;":'"&amp;I32&amp;"',  "&amp;J$3&amp;":"&amp;J32&amp;",  "&amp;K$3&amp;":'"&amp;K32&amp;"' };","$this-&gt;defCons['"&amp;C32&amp;"'] = [ '"&amp;C32&amp;"', '"&amp;D32&amp;"', '"&amp;E32&amp;"', "&amp;F32&amp;", '"&amp;G32&amp;"', '"&amp;H32&amp;"', '"&amp;I32&amp;"', "&amp;J32&amp;", '"&amp;K32&amp;"' ];")</f>
        <v>defCons['consCRtrip'] = { name:'consCRtrip', nameCode: '',  title:'交通',  count:5,  sumClass:'consCRsum',  refClass:'consCR',  substituteClass:'',  code:8,  color:'' };</v>
      </c>
    </row>
    <row r="33" customFormat="false" ht="13.5" hidden="false" customHeight="false" outlineLevel="0" collapsed="false">
      <c r="B33" s="8" t="n">
        <v>29</v>
      </c>
      <c r="C33" s="8" t="s">
        <v>285</v>
      </c>
      <c r="D33" s="8" t="s">
        <v>87</v>
      </c>
      <c r="E33" s="8" t="s">
        <v>286</v>
      </c>
      <c r="F33" s="8" t="n">
        <v>0</v>
      </c>
      <c r="G33" s="8" t="s">
        <v>224</v>
      </c>
      <c r="H33" s="8"/>
      <c r="I33" s="8" t="s">
        <v>254</v>
      </c>
      <c r="J33" s="8" t="n">
        <v>9</v>
      </c>
      <c r="K33" s="37" t="s">
        <v>287</v>
      </c>
      <c r="L33" s="8" t="n">
        <v>1</v>
      </c>
      <c r="M33" s="1" t="s">
        <v>288</v>
      </c>
      <c r="P33" s="25"/>
      <c r="Q33" s="25"/>
      <c r="R33" s="25" t="str">
        <f aca="false">IF($R$1="AS","consCalcList['","$consCalcList['")&amp;C33&amp;IF($R$1="AS","'] = new logic.C","'] = new C")&amp;MID(C33,2,20)&amp;"();"</f>
        <v>consCalcList['consOTsum'] = new logic.ConsOTsum();</v>
      </c>
      <c r="S33" s="26" t="s">
        <v>227</v>
      </c>
      <c r="T33" s="26"/>
      <c r="U33" s="26" t="str">
        <f aca="false">IF($R$1="AS","defCons['"&amp;C33&amp;"'] = { "&amp;C$3&amp;":'"&amp;C33&amp;"', "&amp;D$3&amp;": '"&amp;D33&amp;"',  "&amp;E$3&amp;":'"&amp;E33&amp;"',  "&amp;F$3&amp;":"&amp;F33&amp;",  "&amp;G$3&amp;":'"&amp;G33&amp;"',  "&amp;H$3&amp;":'"&amp;H33&amp;"',  "&amp;I$3&amp;":'"&amp;I33&amp;"',  "&amp;J$3&amp;":"&amp;J33&amp;",  "&amp;K$3&amp;":'"&amp;K33&amp;"' };","$this-&gt;defCons['"&amp;C33&amp;"'] = [ '"&amp;C33&amp;"', '"&amp;D33&amp;"', '"&amp;E33&amp;"', "&amp;F33&amp;", '"&amp;G33&amp;"', '"&amp;H33&amp;"', '"&amp;I33&amp;"', "&amp;J33&amp;", '"&amp;K33&amp;"' ];")</f>
        <v>defCons['consOTsum'] = { name:'consOTsum', nameCode: 'OT',  title:'待機・その他',  count:0,  sumClass:'consTotal',  refClass:'',  substituteClass:'consSum',  code:9,  color:'0xd2691e' };</v>
      </c>
    </row>
    <row r="34" customFormat="false" ht="13.5" hidden="false" customHeight="false" outlineLevel="0" collapsed="false">
      <c r="B34" s="8" t="n">
        <v>30</v>
      </c>
      <c r="C34" s="8" t="s">
        <v>289</v>
      </c>
      <c r="D34" s="8"/>
      <c r="E34" s="8" t="s">
        <v>286</v>
      </c>
      <c r="F34" s="8" t="n">
        <v>3</v>
      </c>
      <c r="G34" s="8" t="s">
        <v>285</v>
      </c>
      <c r="H34" s="8"/>
      <c r="I34" s="8"/>
      <c r="J34" s="8" t="n">
        <v>9</v>
      </c>
      <c r="K34" s="8"/>
      <c r="L34" s="8" t="n">
        <v>3</v>
      </c>
      <c r="P34" s="25"/>
      <c r="Q34" s="25"/>
      <c r="R34" s="25" t="str">
        <f aca="false">IF($R$1="AS","consCalcList['","$consCalcList['")&amp;C34&amp;IF($R$1="AS","'] = new logic.C","'] = new C")&amp;MID(C34,2,20)&amp;"();"</f>
        <v>consCalcList['consOT'] = new logic.ConsOT();</v>
      </c>
      <c r="S34" s="26" t="s">
        <v>227</v>
      </c>
      <c r="T34" s="26"/>
      <c r="U34" s="26" t="str">
        <f aca="false">IF($R$1="AS","defCons['"&amp;C34&amp;"'] = { "&amp;C$3&amp;":'"&amp;C34&amp;"', "&amp;D$3&amp;": '"&amp;D34&amp;"',  "&amp;E$3&amp;":'"&amp;E34&amp;"',  "&amp;F$3&amp;":"&amp;F34&amp;",  "&amp;G$3&amp;":'"&amp;G34&amp;"',  "&amp;H$3&amp;":'"&amp;H34&amp;"',  "&amp;I$3&amp;":'"&amp;I34&amp;"',  "&amp;J$3&amp;":"&amp;J34&amp;",  "&amp;K$3&amp;":'"&amp;K34&amp;"' };","$this-&gt;defCons['"&amp;C34&amp;"'] = [ '"&amp;C34&amp;"', '"&amp;D34&amp;"', '"&amp;E34&amp;"', "&amp;F34&amp;", '"&amp;G34&amp;"', '"&amp;H34&amp;"', '"&amp;I34&amp;"', "&amp;J34&amp;", '"&amp;K34&amp;"' ];")</f>
        <v>defCons['consOT'] = { name:'consOT', nameCode: '',  title:'待機・その他',  count:3,  sumClass:'consOTsum',  refClass:'',  substituteClass:'',  code:9,  color:'' };</v>
      </c>
    </row>
    <row r="37" customFormat="false" ht="13.5" hidden="false" customHeight="false" outlineLevel="0" collapsed="false">
      <c r="C37" s="1" t="s">
        <v>290</v>
      </c>
    </row>
    <row r="38" customFormat="false" ht="13.5" hidden="false" customHeight="false" outlineLevel="0" collapsed="false">
      <c r="C38" s="1" t="s">
        <v>291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3.5" customHeight="false" zeroHeight="false" outlineLevelRow="0" outlineLevelCol="0"/>
  <cols>
    <col collapsed="false" customWidth="true" hidden="false" outlineLevel="0" max="1" min="1" style="1" width="48.75"/>
    <col collapsed="false" customWidth="true" hidden="false" outlineLevel="0" max="2" min="2" style="1" width="29.75"/>
    <col collapsed="false" customWidth="true" hidden="false" outlineLevel="0" max="3" min="3" style="1" width="36.12"/>
    <col collapsed="false" customWidth="true" hidden="false" outlineLevel="0" max="4" min="4" style="1" width="38.25"/>
  </cols>
  <sheetData>
    <row r="1" customFormat="false" ht="13.5" hidden="false" customHeight="false" outlineLevel="0" collapsed="false">
      <c r="A1" s="38" t="s">
        <v>292</v>
      </c>
      <c r="C1" s="39" t="s">
        <v>293</v>
      </c>
      <c r="D1" s="39" t="s">
        <v>294</v>
      </c>
    </row>
    <row r="2" customFormat="false" ht="13.5" hidden="false" customHeight="false" outlineLevel="0" collapsed="false">
      <c r="A2" s="40" t="str">
        <f aca="false">CLEAN(B2&amp;IF(C2="","",""""&amp;C2&amp;""";"))</f>
        <v/>
      </c>
      <c r="C2" s="41"/>
      <c r="D2" s="42"/>
    </row>
    <row r="3" customFormat="false" ht="13.5" hidden="false" customHeight="false" outlineLevel="0" collapsed="false">
      <c r="A3" s="40" t="str">
        <f aca="false">CLEAN(B3&amp;IF(C3="","",""""&amp;C3&amp;""";"))</f>
        <v>D6.consAC.title = "部屋空調";</v>
      </c>
      <c r="B3" s="1" t="s">
        <v>295</v>
      </c>
      <c r="C3" s="41" t="s">
        <v>296</v>
      </c>
      <c r="D3" s="42" t="s">
        <v>297</v>
      </c>
    </row>
    <row r="4" customFormat="false" ht="13.5" hidden="false" customHeight="false" outlineLevel="0" collapsed="false">
      <c r="A4" s="40" t="str">
        <f aca="false">CLEAN(B4&amp;IF(C4="","",""""&amp;C4&amp;""";"))</f>
        <v>D6.consAC.countCall = "部屋目";</v>
      </c>
      <c r="B4" s="1" t="s">
        <v>298</v>
      </c>
      <c r="C4" s="41" t="s">
        <v>299</v>
      </c>
      <c r="D4" s="42" t="s">
        <v>300</v>
      </c>
    </row>
    <row r="5" customFormat="false" ht="13.5" hidden="false" customHeight="false" outlineLevel="0" collapsed="false">
      <c r="A5" s="40" t="str">
        <f aca="false">CLEAN(B5&amp;IF(C5="","",""""&amp;C5&amp;""";"))</f>
        <v/>
      </c>
      <c r="C5" s="41"/>
      <c r="D5" s="42"/>
    </row>
    <row r="6" customFormat="false" ht="13.5" hidden="false" customHeight="false" outlineLevel="0" collapsed="false">
      <c r="A6" s="40" t="str">
        <f aca="false">CLEAN(B6&amp;IF(C6="","",""""&amp;C6&amp;""";"))</f>
        <v>D6.consACcool.title = "部屋冷房";</v>
      </c>
      <c r="B6" s="1" t="s">
        <v>301</v>
      </c>
      <c r="C6" s="41" t="s">
        <v>302</v>
      </c>
      <c r="D6" s="42" t="s">
        <v>297</v>
      </c>
    </row>
    <row r="7" customFormat="false" ht="13.5" hidden="false" customHeight="false" outlineLevel="0" collapsed="false">
      <c r="A7" s="40" t="str">
        <f aca="false">CLEAN(B7&amp;IF(C7="","",""""&amp;C7&amp;""";"))</f>
        <v>D6.consACcool.addable = "冷暖房する部屋";</v>
      </c>
      <c r="B7" s="1" t="s">
        <v>303</v>
      </c>
      <c r="C7" s="41" t="s">
        <v>304</v>
      </c>
      <c r="D7" s="42" t="s">
        <v>297</v>
      </c>
    </row>
    <row r="8" customFormat="false" ht="13.5" hidden="false" customHeight="false" outlineLevel="0" collapsed="false">
      <c r="A8" s="40" t="str">
        <f aca="false">CLEAN(B8&amp;IF(C8="","",""""&amp;C8&amp;""";"))</f>
        <v>D6.consACcool.countCall = "部屋目";</v>
      </c>
      <c r="B8" s="1" t="s">
        <v>305</v>
      </c>
      <c r="C8" s="41" t="s">
        <v>299</v>
      </c>
      <c r="D8" s="42" t="s">
        <v>306</v>
      </c>
    </row>
    <row r="9" customFormat="false" ht="13.5" hidden="false" customHeight="false" outlineLevel="0" collapsed="false">
      <c r="A9" s="40" t="str">
        <f aca="false">CLEAN(B9&amp;IF(C9="","",""""&amp;C9&amp;""";"))</f>
        <v>D6.consACcool.inputGuide = "部屋ごとの冷房の使い方について";</v>
      </c>
      <c r="B9" s="1" t="s">
        <v>307</v>
      </c>
      <c r="C9" s="41" t="s">
        <v>308</v>
      </c>
      <c r="D9" s="42" t="s">
        <v>309</v>
      </c>
    </row>
    <row r="10" customFormat="false" ht="13.5" hidden="false" customHeight="false" outlineLevel="0" collapsed="false">
      <c r="A10" s="40" t="str">
        <f aca="false">CLEAN(B10&amp;IF(C10="","",""""&amp;C10&amp;""";"))</f>
        <v/>
      </c>
      <c r="C10" s="41"/>
      <c r="D10" s="42"/>
    </row>
    <row r="11" customFormat="false" ht="13.5" hidden="false" customHeight="false" outlineLevel="0" collapsed="false">
      <c r="A11" s="40" t="str">
        <f aca="false">CLEAN(B11&amp;IF(C11="","",""""&amp;C11&amp;""";"))</f>
        <v>D6.consACheat.title = "部屋暖房";</v>
      </c>
      <c r="B11" s="1" t="s">
        <v>310</v>
      </c>
      <c r="C11" s="41" t="s">
        <v>311</v>
      </c>
      <c r="D11" s="42" t="s">
        <v>312</v>
      </c>
    </row>
    <row r="12" customFormat="false" ht="13.5" hidden="false" customHeight="false" outlineLevel="0" collapsed="false">
      <c r="A12" s="40" t="str">
        <f aca="false">CLEAN(B12&amp;IF(C12="","",""""&amp;C12&amp;""";"))</f>
        <v>D6.consACheat.addable = "冷暖房する部屋";</v>
      </c>
      <c r="B12" s="1" t="s">
        <v>313</v>
      </c>
      <c r="C12" s="41" t="s">
        <v>304</v>
      </c>
      <c r="D12" s="42" t="s">
        <v>297</v>
      </c>
    </row>
    <row r="13" customFormat="false" ht="13.5" hidden="false" customHeight="false" outlineLevel="0" collapsed="false">
      <c r="A13" s="40" t="str">
        <f aca="false">CLEAN(B13&amp;IF(C13="","",""""&amp;C13&amp;""";"))</f>
        <v>D6.consACheat.countCall = "部屋目";</v>
      </c>
      <c r="B13" s="1" t="s">
        <v>314</v>
      </c>
      <c r="C13" s="41" t="s">
        <v>299</v>
      </c>
      <c r="D13" s="42" t="s">
        <v>306</v>
      </c>
    </row>
    <row r="14" customFormat="false" ht="13.5" hidden="false" customHeight="false" outlineLevel="0" collapsed="false">
      <c r="A14" s="40" t="str">
        <f aca="false">CLEAN(B14&amp;IF(C14="","",""""&amp;C14&amp;""";"))</f>
        <v>D6.consACheat.inputGuide = "部屋ごとの暖房の使い方について";</v>
      </c>
      <c r="B14" s="1" t="s">
        <v>315</v>
      </c>
      <c r="C14" s="41" t="s">
        <v>316</v>
      </c>
      <c r="D14" s="42" t="s">
        <v>317</v>
      </c>
    </row>
    <row r="15" customFormat="false" ht="13.5" hidden="false" customHeight="false" outlineLevel="0" collapsed="false">
      <c r="A15" s="40" t="str">
        <f aca="false">CLEAN(B15&amp;IF(C15="","",""""&amp;C15&amp;""";"))</f>
        <v/>
      </c>
      <c r="C15" s="41"/>
      <c r="D15" s="42"/>
    </row>
    <row r="16" customFormat="false" ht="13.5" hidden="false" customHeight="false" outlineLevel="0" collapsed="false">
      <c r="A16" s="40" t="str">
        <f aca="false">CLEAN(B16&amp;IF(C16="","",""""&amp;C16&amp;""";"))</f>
        <v>D6.consCKcook.title = "調理";</v>
      </c>
      <c r="B16" s="1" t="s">
        <v>318</v>
      </c>
      <c r="C16" s="41" t="s">
        <v>72</v>
      </c>
      <c r="D16" s="42" t="s">
        <v>319</v>
      </c>
    </row>
    <row r="17" customFormat="false" ht="13.5" hidden="false" customHeight="false" outlineLevel="0" collapsed="false">
      <c r="A17" s="40" t="str">
        <f aca="false">CLEAN(B17&amp;IF(C17="","",""""&amp;C17&amp;""";"))</f>
        <v>D6.consCKcook.inputGuide = "コンロを中心とした調理の使い方について";</v>
      </c>
      <c r="B17" s="1" t="s">
        <v>320</v>
      </c>
      <c r="C17" s="41" t="s">
        <v>321</v>
      </c>
      <c r="D17" s="42" t="s">
        <v>322</v>
      </c>
    </row>
    <row r="18" customFormat="false" ht="13.5" hidden="false" customHeight="false" outlineLevel="0" collapsed="false">
      <c r="A18" s="40" t="str">
        <f aca="false">CLEAN(B18&amp;IF(C18="","",""""&amp;C18&amp;""";"))</f>
        <v/>
      </c>
      <c r="C18" s="41"/>
      <c r="D18" s="42"/>
    </row>
    <row r="19" customFormat="false" ht="13.5" hidden="false" customHeight="false" outlineLevel="0" collapsed="false">
      <c r="A19" s="40" t="str">
        <f aca="false">CLEAN(B19&amp;IF(C19="","",""""&amp;C19&amp;""";"))</f>
        <v>D6.consCKpot.title = "保温";</v>
      </c>
      <c r="B19" s="1" t="s">
        <v>323</v>
      </c>
      <c r="C19" s="41" t="s">
        <v>324</v>
      </c>
      <c r="D19" s="42" t="s">
        <v>325</v>
      </c>
    </row>
    <row r="20" customFormat="false" ht="13.5" hidden="false" customHeight="false" outlineLevel="0" collapsed="false">
      <c r="A20" s="40" t="str">
        <f aca="false">CLEAN(B20&amp;IF(C20="","",""""&amp;C20&amp;""";"))</f>
        <v>D6.consCKpot.inputGuide = "保温器具の使い方について";</v>
      </c>
      <c r="B20" s="1" t="s">
        <v>326</v>
      </c>
      <c r="C20" s="41" t="s">
        <v>327</v>
      </c>
      <c r="D20" s="42" t="s">
        <v>328</v>
      </c>
    </row>
    <row r="21" customFormat="false" ht="13.5" hidden="false" customHeight="false" outlineLevel="0" collapsed="false">
      <c r="A21" s="40" t="str">
        <f aca="false">CLEAN(B21&amp;IF(C21="","",""""&amp;C21&amp;""";"))</f>
        <v/>
      </c>
      <c r="C21" s="41"/>
      <c r="D21" s="42"/>
    </row>
    <row r="22" customFormat="false" ht="13.5" hidden="false" customHeight="false" outlineLevel="0" collapsed="false">
      <c r="A22" s="40" t="str">
        <f aca="false">CLEAN(B22&amp;IF(C22="","",""""&amp;C22&amp;""";"))</f>
        <v>D6.consCKrice.title = "炊飯";</v>
      </c>
      <c r="B22" s="1" t="s">
        <v>329</v>
      </c>
      <c r="C22" s="41" t="s">
        <v>330</v>
      </c>
      <c r="D22" s="42" t="s">
        <v>331</v>
      </c>
    </row>
    <row r="23" customFormat="false" ht="13.5" hidden="false" customHeight="false" outlineLevel="0" collapsed="false">
      <c r="A23" s="40" t="str">
        <f aca="false">CLEAN(B23&amp;IF(C23="","",""""&amp;C23&amp;""";"))</f>
        <v>D6.consCKrice.inputGuide = "炊飯の使い方について";</v>
      </c>
      <c r="B23" s="1" t="s">
        <v>332</v>
      </c>
      <c r="C23" s="41" t="s">
        <v>333</v>
      </c>
      <c r="D23" s="42" t="s">
        <v>334</v>
      </c>
    </row>
    <row r="24" customFormat="false" ht="13.5" hidden="false" customHeight="false" outlineLevel="0" collapsed="false">
      <c r="A24" s="40" t="str">
        <f aca="false">CLEAN(B24&amp;IF(C24="","",""""&amp;C24&amp;""";"))</f>
        <v/>
      </c>
      <c r="C24" s="41"/>
      <c r="D24" s="42"/>
    </row>
    <row r="25" customFormat="false" ht="13.5" hidden="false" customHeight="false" outlineLevel="0" collapsed="false">
      <c r="A25" s="40" t="str">
        <f aca="false">CLEAN(B25&amp;IF(C25="","",""""&amp;C25&amp;""";"))</f>
        <v>D6.consCKsum.title = "調理";</v>
      </c>
      <c r="B25" s="1" t="s">
        <v>335</v>
      </c>
      <c r="C25" s="41" t="s">
        <v>72</v>
      </c>
      <c r="D25" s="42" t="s">
        <v>319</v>
      </c>
    </row>
    <row r="26" customFormat="false" ht="13.5" hidden="false" customHeight="false" outlineLevel="0" collapsed="false">
      <c r="A26" s="40" t="str">
        <f aca="false">CLEAN(B26&amp;IF(C26="","",""""&amp;C26&amp;""";"))</f>
        <v>D6.consCKsum.inputGuide = "調理関連の使い方について";</v>
      </c>
      <c r="B26" s="1" t="s">
        <v>336</v>
      </c>
      <c r="C26" s="41" t="s">
        <v>337</v>
      </c>
      <c r="D26" s="42" t="s">
        <v>338</v>
      </c>
    </row>
    <row r="27" customFormat="false" ht="13.5" hidden="false" customHeight="false" outlineLevel="0" collapsed="false">
      <c r="A27" s="40" t="str">
        <f aca="false">CLEAN(B27&amp;IF(C27="","",""""&amp;C27&amp;""";"))</f>
        <v/>
      </c>
      <c r="C27" s="41"/>
      <c r="D27" s="42"/>
    </row>
    <row r="28" customFormat="false" ht="13.5" hidden="false" customHeight="false" outlineLevel="0" collapsed="false">
      <c r="A28" s="40" t="str">
        <f aca="false">CLEAN(B28&amp;IF(C28="","",""""&amp;C28&amp;""";"))</f>
        <v>D6.consCOsum.title = "冷房";</v>
      </c>
      <c r="B28" s="1" t="s">
        <v>339</v>
      </c>
      <c r="C28" s="41" t="s">
        <v>90</v>
      </c>
      <c r="D28" s="42" t="s">
        <v>340</v>
      </c>
    </row>
    <row r="29" customFormat="false" ht="13.5" hidden="false" customHeight="false" outlineLevel="0" collapsed="false">
      <c r="A29" s="40" t="str">
        <f aca="false">CLEAN(B29&amp;IF(C29="","",""""&amp;C29&amp;""";"))</f>
        <v>D6.consCOsum.inputGuide = "家全体での冷房の使い方について";</v>
      </c>
      <c r="B29" s="1" t="s">
        <v>341</v>
      </c>
      <c r="C29" s="41" t="s">
        <v>342</v>
      </c>
      <c r="D29" s="42" t="s">
        <v>343</v>
      </c>
    </row>
    <row r="30" customFormat="false" ht="13.5" hidden="false" customHeight="false" outlineLevel="0" collapsed="false">
      <c r="A30" s="40" t="str">
        <f aca="false">CLEAN(B30&amp;IF(C30="","",""""&amp;C30&amp;""";"))</f>
        <v/>
      </c>
      <c r="C30" s="41"/>
      <c r="D30" s="42"/>
    </row>
    <row r="31" customFormat="false" ht="13.5" hidden="false" customHeight="false" outlineLevel="0" collapsed="false">
      <c r="A31" s="40" t="str">
        <f aca="false">CLEAN(B31&amp;IF(C31="","",""""&amp;C31&amp;""";"))</f>
        <v>D6.consCR.title = "車両";</v>
      </c>
      <c r="B31" s="1" t="s">
        <v>344</v>
      </c>
      <c r="C31" s="41" t="s">
        <v>345</v>
      </c>
      <c r="D31" s="42" t="s">
        <v>346</v>
      </c>
    </row>
    <row r="32" customFormat="false" ht="13.5" hidden="false" customHeight="false" outlineLevel="0" collapsed="false">
      <c r="A32" s="40" t="str">
        <f aca="false">CLEAN(B32&amp;IF(C32="","",""""&amp;C32&amp;""";"))</f>
        <v>D6.consCR.addable = "車両";</v>
      </c>
      <c r="B32" s="1" t="s">
        <v>347</v>
      </c>
      <c r="C32" s="41" t="s">
        <v>345</v>
      </c>
      <c r="D32" s="42" t="s">
        <v>346</v>
      </c>
    </row>
    <row r="33" customFormat="false" ht="13.5" hidden="false" customHeight="false" outlineLevel="0" collapsed="false">
      <c r="A33" s="40" t="str">
        <f aca="false">CLEAN(B33&amp;IF(C33="","",""""&amp;C33&amp;""";"))</f>
        <v>D6.consCR.countCall = "台目";</v>
      </c>
      <c r="B33" s="1" t="s">
        <v>348</v>
      </c>
      <c r="C33" s="41" t="s">
        <v>349</v>
      </c>
      <c r="D33" s="42" t="s">
        <v>350</v>
      </c>
    </row>
    <row r="34" customFormat="false" ht="23.85" hidden="false" customHeight="false" outlineLevel="0" collapsed="false">
      <c r="A34" s="40" t="str">
        <f aca="false">CLEAN(B34&amp;IF(C34="","",""""&amp;C34&amp;""";"))</f>
        <v>D6.consCR.inputGuide = "保有する車ごとの性能・使い方について";</v>
      </c>
      <c r="B34" s="1" t="s">
        <v>351</v>
      </c>
      <c r="C34" s="41" t="s">
        <v>352</v>
      </c>
      <c r="D34" s="42" t="s">
        <v>353</v>
      </c>
    </row>
    <row r="35" customFormat="false" ht="13.5" hidden="false" customHeight="false" outlineLevel="0" collapsed="false">
      <c r="A35" s="40" t="str">
        <f aca="false">CLEAN(B35&amp;IF(C35="","",""""&amp;C35&amp;""";"))</f>
        <v/>
      </c>
      <c r="C35" s="41"/>
      <c r="D35" s="42"/>
    </row>
    <row r="36" customFormat="false" ht="13.5" hidden="false" customHeight="false" outlineLevel="0" collapsed="false">
      <c r="A36" s="40" t="str">
        <f aca="false">CLEAN(B36&amp;IF(C36="","",""""&amp;C36&amp;""";"))</f>
        <v>D6.consCRsum.title = "車";</v>
      </c>
      <c r="B36" s="1" t="s">
        <v>354</v>
      </c>
      <c r="C36" s="41" t="s">
        <v>283</v>
      </c>
      <c r="D36" s="42" t="s">
        <v>346</v>
      </c>
    </row>
    <row r="37" customFormat="false" ht="13.5" hidden="false" customHeight="false" outlineLevel="0" collapsed="false">
      <c r="A37" s="40" t="str">
        <f aca="false">CLEAN(B37&amp;IF(C37="","",""""&amp;C37&amp;""";"))</f>
        <v>D6.consCRsum.inputGuide = "車・バイクの使い方について";</v>
      </c>
      <c r="B37" s="1" t="s">
        <v>355</v>
      </c>
      <c r="C37" s="41" t="s">
        <v>356</v>
      </c>
      <c r="D37" s="42" t="s">
        <v>357</v>
      </c>
    </row>
    <row r="38" customFormat="false" ht="13.5" hidden="false" customHeight="false" outlineLevel="0" collapsed="false">
      <c r="A38" s="40" t="str">
        <f aca="false">CLEAN(B38&amp;IF(C38="","",""""&amp;C38&amp;""";"))</f>
        <v/>
      </c>
      <c r="C38" s="41"/>
      <c r="D38" s="42"/>
    </row>
    <row r="39" customFormat="false" ht="13.5" hidden="false" customHeight="false" outlineLevel="0" collapsed="false">
      <c r="A39" s="40" t="str">
        <f aca="false">CLEAN(B39&amp;IF(C39="","",""""&amp;C39&amp;""";"))</f>
        <v>D6.consCRtrip.title = "移動";</v>
      </c>
      <c r="B39" s="1" t="s">
        <v>358</v>
      </c>
      <c r="C39" s="41" t="s">
        <v>359</v>
      </c>
      <c r="D39" s="42" t="s">
        <v>360</v>
      </c>
    </row>
    <row r="40" customFormat="false" ht="13.5" hidden="false" customHeight="false" outlineLevel="0" collapsed="false">
      <c r="A40" s="40" t="str">
        <f aca="false">CLEAN(B40&amp;IF(C40="","",""""&amp;C40&amp;""";"))</f>
        <v>D6.consCRtrip.countCall = "ヶ所目";</v>
      </c>
      <c r="B40" s="1" t="s">
        <v>361</v>
      </c>
      <c r="C40" s="41" t="s">
        <v>362</v>
      </c>
      <c r="D40" s="42" t="s">
        <v>363</v>
      </c>
    </row>
    <row r="41" customFormat="false" ht="13.5" hidden="false" customHeight="false" outlineLevel="0" collapsed="false">
      <c r="A41" s="40" t="str">
        <f aca="false">CLEAN(B41&amp;IF(C41="","",""""&amp;C41&amp;""";"))</f>
        <v>D6.consCRtrip.addable = "移動先";</v>
      </c>
      <c r="B41" s="1" t="s">
        <v>364</v>
      </c>
      <c r="C41" s="41" t="s">
        <v>365</v>
      </c>
      <c r="D41" s="42" t="s">
        <v>366</v>
      </c>
    </row>
    <row r="42" customFormat="false" ht="13.5" hidden="false" customHeight="false" outlineLevel="0" collapsed="false">
      <c r="A42" s="40" t="str">
        <f aca="false">CLEAN(B42&amp;IF(C42="","",""""&amp;C42&amp;""";"))</f>
        <v>D6.consCRtrip.inputGuide = "移動先ごとの車等の使い方について";</v>
      </c>
      <c r="B42" s="1" t="s">
        <v>367</v>
      </c>
      <c r="C42" s="41" t="s">
        <v>368</v>
      </c>
      <c r="D42" s="42" t="s">
        <v>369</v>
      </c>
    </row>
    <row r="43" customFormat="false" ht="13.5" hidden="false" customHeight="false" outlineLevel="0" collapsed="false">
      <c r="A43" s="40" t="str">
        <f aca="false">CLEAN(B43&amp;IF(C43="","",""""&amp;C43&amp;""";"))</f>
        <v/>
      </c>
      <c r="C43" s="41"/>
      <c r="D43" s="42"/>
    </row>
    <row r="44" customFormat="false" ht="13.5" hidden="false" customHeight="false" outlineLevel="0" collapsed="false">
      <c r="A44" s="40" t="str">
        <f aca="false">CLEAN(B44&amp;IF(C44="","",""""&amp;C44&amp;""";"))</f>
        <v>D6.consDRsum.title = "掃除洗濯";</v>
      </c>
      <c r="B44" s="1" t="s">
        <v>370</v>
      </c>
      <c r="C44" s="41" t="s">
        <v>371</v>
      </c>
      <c r="D44" s="42" t="s">
        <v>372</v>
      </c>
    </row>
    <row r="45" customFormat="false" ht="23.85" hidden="false" customHeight="false" outlineLevel="0" collapsed="false">
      <c r="A45" s="40" t="str">
        <f aca="false">CLEAN(B45&amp;IF(C45="","",""""&amp;C45&amp;""";"))</f>
        <v>D6.consDRsum.inputGuide = "掃除機、洗濯機や衣類乾燥機の使い方について";</v>
      </c>
      <c r="B45" s="1" t="s">
        <v>373</v>
      </c>
      <c r="C45" s="41" t="s">
        <v>374</v>
      </c>
      <c r="D45" s="42" t="s">
        <v>375</v>
      </c>
    </row>
    <row r="46" customFormat="false" ht="13.5" hidden="false" customHeight="false" outlineLevel="0" collapsed="false">
      <c r="A46" s="40" t="str">
        <f aca="false">CLEAN(B46&amp;IF(C46="","",""""&amp;C46&amp;""";"))</f>
        <v/>
      </c>
      <c r="C46" s="41"/>
      <c r="D46" s="42"/>
    </row>
    <row r="47" customFormat="false" ht="13.5" hidden="false" customHeight="false" outlineLevel="0" collapsed="false">
      <c r="A47" s="40" t="str">
        <f aca="false">CLEAN(B47&amp;IF(C47="","",""""&amp;C47&amp;""";"))</f>
        <v>D6.consEnergy.title = "全般エネルギー設定";</v>
      </c>
      <c r="B47" s="1" t="s">
        <v>376</v>
      </c>
      <c r="C47" s="41" t="s">
        <v>377</v>
      </c>
      <c r="D47" s="42" t="s">
        <v>378</v>
      </c>
    </row>
    <row r="48" customFormat="false" ht="23.85" hidden="false" customHeight="false" outlineLevel="0" collapsed="false">
      <c r="A48" s="40" t="str">
        <f aca="false">CLEAN(B48&amp;IF(C48="","",""""&amp;C48&amp;""";"))</f>
        <v>D6.consEnergy.inputGuide = "家全体でのエネルギーの使い方や、1ヶ月あたりの光熱費について";</v>
      </c>
      <c r="B48" s="1" t="s">
        <v>379</v>
      </c>
      <c r="C48" s="41" t="s">
        <v>380</v>
      </c>
      <c r="D48" s="42" t="s">
        <v>381</v>
      </c>
    </row>
    <row r="49" customFormat="false" ht="13.5" hidden="false" customHeight="false" outlineLevel="0" collapsed="false">
      <c r="A49" s="40" t="str">
        <f aca="false">CLEAN(B49&amp;IF(C49="","",""""&amp;C49&amp;""";"))</f>
        <v/>
      </c>
      <c r="C49" s="41"/>
      <c r="D49" s="42"/>
    </row>
    <row r="50" customFormat="false" ht="13.5" hidden="false" customHeight="false" outlineLevel="0" collapsed="false">
      <c r="A50" s="40" t="str">
        <f aca="false">CLEAN(B50&amp;IF(C50="","",""""&amp;C50&amp;""";"))</f>
        <v>D6.consHTcold.title = "寒冷地";</v>
      </c>
      <c r="B50" s="1" t="s">
        <v>382</v>
      </c>
      <c r="C50" s="41" t="s">
        <v>383</v>
      </c>
      <c r="D50" s="42" t="s">
        <v>384</v>
      </c>
    </row>
    <row r="51" customFormat="false" ht="13.5" hidden="false" customHeight="false" outlineLevel="0" collapsed="false">
      <c r="A51" s="40" t="str">
        <f aca="false">CLEAN(B51&amp;IF(C51="","",""""&amp;C51&amp;""";"))</f>
        <v>D6.consHTcold.inputGuide = "寒冷地での暖房の使い方について";</v>
      </c>
      <c r="B51" s="1" t="s">
        <v>385</v>
      </c>
      <c r="C51" s="41" t="s">
        <v>386</v>
      </c>
      <c r="D51" s="42" t="s">
        <v>387</v>
      </c>
    </row>
    <row r="52" customFormat="false" ht="13.5" hidden="false" customHeight="false" outlineLevel="0" collapsed="false">
      <c r="A52" s="40" t="str">
        <f aca="false">CLEAN(B52&amp;IF(C52="","",""""&amp;C52&amp;""";"))</f>
        <v/>
      </c>
      <c r="C52" s="41"/>
      <c r="D52" s="42"/>
    </row>
    <row r="53" customFormat="false" ht="13.5" hidden="false" customHeight="false" outlineLevel="0" collapsed="false">
      <c r="A53" s="40" t="str">
        <f aca="false">CLEAN(B53&amp;IF(C53="","",""""&amp;C53&amp;""";"))</f>
        <v>D6.consHTsum.title = "暖房";</v>
      </c>
      <c r="B53" s="1" t="s">
        <v>388</v>
      </c>
      <c r="C53" s="41" t="s">
        <v>88</v>
      </c>
      <c r="D53" s="42" t="s">
        <v>389</v>
      </c>
    </row>
    <row r="54" customFormat="false" ht="13.5" hidden="false" customHeight="false" outlineLevel="0" collapsed="false">
      <c r="A54" s="40" t="str">
        <f aca="false">CLEAN(B54&amp;IF(C54="","",""""&amp;C54&amp;""";"))</f>
        <v>D6.consHTsum.inputGuide = "家全体での暖房の使い方について";</v>
      </c>
      <c r="B54" s="1" t="s">
        <v>390</v>
      </c>
      <c r="C54" s="41" t="s">
        <v>391</v>
      </c>
      <c r="D54" s="42" t="s">
        <v>392</v>
      </c>
    </row>
    <row r="55" customFormat="false" ht="13.5" hidden="false" customHeight="false" outlineLevel="0" collapsed="false">
      <c r="A55" s="40" t="str">
        <f aca="false">CLEAN(B55&amp;IF(C55="","",""""&amp;C55&amp;""";"))</f>
        <v/>
      </c>
      <c r="C55" s="41"/>
      <c r="D55" s="42"/>
    </row>
    <row r="56" customFormat="false" ht="13.5" hidden="false" customHeight="false" outlineLevel="0" collapsed="false">
      <c r="A56" s="40" t="str">
        <f aca="false">CLEAN(B56&amp;IF(C56="","",""""&amp;C56&amp;""";"))</f>
        <v>D6.consHWdishwash.title = "食器洗い";</v>
      </c>
      <c r="B56" s="1" t="s">
        <v>393</v>
      </c>
      <c r="C56" s="41" t="s">
        <v>394</v>
      </c>
      <c r="D56" s="42" t="s">
        <v>395</v>
      </c>
    </row>
    <row r="57" customFormat="false" ht="13.5" hidden="false" customHeight="false" outlineLevel="0" collapsed="false">
      <c r="A57" s="40" t="str">
        <f aca="false">CLEAN(B57&amp;IF(C57="","",""""&amp;C57&amp;""";"))</f>
        <v>D6.consHWdishwash.inputGuide = "食器洗いの使い方について";</v>
      </c>
      <c r="B57" s="1" t="s">
        <v>396</v>
      </c>
      <c r="C57" s="41" t="s">
        <v>397</v>
      </c>
      <c r="D57" s="42" t="s">
        <v>398</v>
      </c>
    </row>
    <row r="58" customFormat="false" ht="13.5" hidden="false" customHeight="false" outlineLevel="0" collapsed="false">
      <c r="A58" s="40" t="str">
        <f aca="false">CLEAN(B58&amp;IF(C58="","",""""&amp;C58&amp;""";"))</f>
        <v/>
      </c>
      <c r="C58" s="41"/>
      <c r="D58" s="42"/>
    </row>
    <row r="59" customFormat="false" ht="13.5" hidden="false" customHeight="false" outlineLevel="0" collapsed="false">
      <c r="A59" s="40" t="str">
        <f aca="false">CLEAN(B59&amp;IF(C59="","",""""&amp;C59&amp;""";"))</f>
        <v>D6.consHWdresser.title = "洗面";</v>
      </c>
      <c r="B59" s="1" t="s">
        <v>399</v>
      </c>
      <c r="C59" s="41" t="s">
        <v>237</v>
      </c>
      <c r="D59" s="42" t="s">
        <v>400</v>
      </c>
    </row>
    <row r="60" customFormat="false" ht="13.5" hidden="false" customHeight="false" outlineLevel="0" collapsed="false">
      <c r="A60" s="40" t="str">
        <f aca="false">CLEAN(B60&amp;IF(C60="","",""""&amp;C60&amp;""";"))</f>
        <v>D6.consHWdresser.inputGuide = "洗面でのお湯の使い方について";</v>
      </c>
      <c r="B60" s="1" t="s">
        <v>401</v>
      </c>
      <c r="C60" s="41" t="s">
        <v>402</v>
      </c>
      <c r="D60" s="42" t="s">
        <v>403</v>
      </c>
    </row>
    <row r="61" customFormat="false" ht="13.5" hidden="false" customHeight="false" outlineLevel="0" collapsed="false">
      <c r="A61" s="40" t="str">
        <f aca="false">CLEAN(B61&amp;IF(C61="","",""""&amp;C61&amp;""";"))</f>
        <v/>
      </c>
      <c r="C61" s="41"/>
      <c r="D61" s="42"/>
    </row>
    <row r="62" customFormat="false" ht="13.5" hidden="false" customHeight="false" outlineLevel="0" collapsed="false">
      <c r="A62" s="40" t="str">
        <f aca="false">CLEAN(B62&amp;IF(C62="","",""""&amp;C62&amp;""";"))</f>
        <v>D6.consHWshower.title = "シャワー";</v>
      </c>
      <c r="B62" s="1" t="s">
        <v>404</v>
      </c>
      <c r="C62" s="41" t="s">
        <v>233</v>
      </c>
      <c r="D62" s="42" t="s">
        <v>405</v>
      </c>
    </row>
    <row r="63" customFormat="false" ht="13.5" hidden="false" customHeight="false" outlineLevel="0" collapsed="false">
      <c r="A63" s="40" t="str">
        <f aca="false">CLEAN(B63&amp;IF(C63="","",""""&amp;C63&amp;""";"))</f>
        <v>D6.consHWshower.inputGuide = "シャワーの使い方について";</v>
      </c>
      <c r="B63" s="1" t="s">
        <v>406</v>
      </c>
      <c r="C63" s="41" t="s">
        <v>407</v>
      </c>
      <c r="D63" s="42" t="s">
        <v>408</v>
      </c>
    </row>
    <row r="64" customFormat="false" ht="13.5" hidden="false" customHeight="false" outlineLevel="0" collapsed="false">
      <c r="A64" s="40" t="str">
        <f aca="false">CLEAN(B64&amp;IF(C64="","",""""&amp;C64&amp;""";"))</f>
        <v/>
      </c>
      <c r="C64" s="41"/>
      <c r="D64" s="42"/>
    </row>
    <row r="65" customFormat="false" ht="13.5" hidden="false" customHeight="false" outlineLevel="0" collapsed="false">
      <c r="A65" s="40" t="str">
        <f aca="false">CLEAN(B65&amp;IF(C65="","",""""&amp;C65&amp;""";"))</f>
        <v>D6.consHWsum.title = "給湯";</v>
      </c>
      <c r="B65" s="1" t="s">
        <v>409</v>
      </c>
      <c r="C65" s="41" t="s">
        <v>410</v>
      </c>
      <c r="D65" s="42" t="s">
        <v>411</v>
      </c>
    </row>
    <row r="66" customFormat="false" ht="13.5" hidden="false" customHeight="false" outlineLevel="0" collapsed="false">
      <c r="A66" s="40" t="str">
        <f aca="false">CLEAN(B66&amp;IF(C66="","",""""&amp;C66&amp;""";"))</f>
        <v>D6.consHWsum.inputGuide = "給湯全般の使い方について";</v>
      </c>
      <c r="B66" s="1" t="s">
        <v>412</v>
      </c>
      <c r="C66" s="41" t="s">
        <v>413</v>
      </c>
      <c r="D66" s="42" t="s">
        <v>414</v>
      </c>
    </row>
    <row r="67" customFormat="false" ht="13.5" hidden="false" customHeight="false" outlineLevel="0" collapsed="false">
      <c r="A67" s="40" t="str">
        <f aca="false">CLEAN(B67&amp;IF(C67="","",""""&amp;C67&amp;""";"))</f>
        <v/>
      </c>
      <c r="C67" s="41"/>
      <c r="D67" s="42"/>
    </row>
    <row r="68" customFormat="false" ht="13.5" hidden="false" customHeight="false" outlineLevel="0" collapsed="false">
      <c r="A68" s="40" t="str">
        <f aca="false">CLEAN(B68&amp;IF(C68="","",""""&amp;C68&amp;""";"))</f>
        <v>D6.consHWtoilet.title = "トイレ";</v>
      </c>
      <c r="B68" s="1" t="s">
        <v>415</v>
      </c>
      <c r="C68" s="41" t="s">
        <v>239</v>
      </c>
      <c r="D68" s="42" t="s">
        <v>416</v>
      </c>
    </row>
    <row r="69" customFormat="false" ht="13.5" hidden="false" customHeight="false" outlineLevel="0" collapsed="false">
      <c r="A69" s="40" t="str">
        <f aca="false">CLEAN(B69&amp;IF(C69="","",""""&amp;C69&amp;""";"))</f>
        <v>D6.consHWtoilet.inputGuide = "トイレの水や保温の使い方について";</v>
      </c>
      <c r="B69" s="1" t="s">
        <v>417</v>
      </c>
      <c r="C69" s="41" t="s">
        <v>418</v>
      </c>
      <c r="D69" s="42" t="s">
        <v>419</v>
      </c>
    </row>
    <row r="70" customFormat="false" ht="13.5" hidden="false" customHeight="false" outlineLevel="0" collapsed="false">
      <c r="A70" s="40" t="str">
        <f aca="false">CLEAN(B70&amp;IF(C70="","",""""&amp;C70&amp;""";"))</f>
        <v/>
      </c>
      <c r="C70" s="41"/>
      <c r="D70" s="42"/>
    </row>
    <row r="71" customFormat="false" ht="13.5" hidden="false" customHeight="false" outlineLevel="0" collapsed="false">
      <c r="A71" s="40" t="str">
        <f aca="false">CLEAN(B71&amp;IF(C71="","",""""&amp;C71&amp;""";"))</f>
        <v>D6.consHWtub.title = "浴槽";</v>
      </c>
      <c r="B71" s="1" t="s">
        <v>420</v>
      </c>
      <c r="C71" s="41" t="s">
        <v>231</v>
      </c>
      <c r="D71" s="42" t="s">
        <v>421</v>
      </c>
    </row>
    <row r="72" customFormat="false" ht="13.5" hidden="false" customHeight="false" outlineLevel="0" collapsed="false">
      <c r="A72" s="40" t="str">
        <f aca="false">CLEAN(B72&amp;IF(C72="","",""""&amp;C72&amp;""";"))</f>
        <v>D6.consHWtub.inputGuide = "浴槽のお湯の使い方について";</v>
      </c>
      <c r="B72" s="1" t="s">
        <v>422</v>
      </c>
      <c r="C72" s="41" t="s">
        <v>423</v>
      </c>
      <c r="D72" s="42" t="s">
        <v>424</v>
      </c>
    </row>
    <row r="73" customFormat="false" ht="13.5" hidden="false" customHeight="false" outlineLevel="0" collapsed="false">
      <c r="A73" s="40" t="str">
        <f aca="false">CLEAN(B73&amp;IF(C73="","",""""&amp;C73&amp;""";"))</f>
        <v/>
      </c>
      <c r="C73" s="41"/>
      <c r="D73" s="42"/>
    </row>
    <row r="74" customFormat="false" ht="13.5" hidden="false" customHeight="false" outlineLevel="0" collapsed="false">
      <c r="A74" s="40" t="str">
        <f aca="false">CLEAN(B74&amp;IF(C74="","",""""&amp;C74&amp;""";"))</f>
        <v>D6.consLI.title = "照明";</v>
      </c>
      <c r="B74" s="1" t="s">
        <v>425</v>
      </c>
      <c r="C74" s="41" t="s">
        <v>77</v>
      </c>
      <c r="D74" s="42" t="s">
        <v>426</v>
      </c>
    </row>
    <row r="75" customFormat="false" ht="13.5" hidden="false" customHeight="false" outlineLevel="0" collapsed="false">
      <c r="A75" s="40" t="str">
        <f aca="false">CLEAN(B75&amp;IF(C75="","",""""&amp;C75&amp;""";"))</f>
        <v>D6.consLI.addable = "照明する部屋";</v>
      </c>
      <c r="B75" s="1" t="s">
        <v>427</v>
      </c>
      <c r="C75" s="41" t="s">
        <v>428</v>
      </c>
      <c r="D75" s="42" t="s">
        <v>429</v>
      </c>
    </row>
    <row r="76" customFormat="false" ht="13.5" hidden="false" customHeight="false" outlineLevel="0" collapsed="false">
      <c r="A76" s="40" t="str">
        <f aca="false">CLEAN(B76&amp;IF(C76="","",""""&amp;C76&amp;""";"))</f>
        <v>D6.consLI.countCall = "部屋目";</v>
      </c>
      <c r="B76" s="1" t="s">
        <v>430</v>
      </c>
      <c r="C76" s="41" t="s">
        <v>299</v>
      </c>
      <c r="D76" s="42" t="s">
        <v>306</v>
      </c>
    </row>
    <row r="77" customFormat="false" ht="13.5" hidden="false" customHeight="false" outlineLevel="0" collapsed="false">
      <c r="A77" s="40" t="str">
        <f aca="false">CLEAN(B77&amp;IF(C77="","",""""&amp;C77&amp;""";"))</f>
        <v>D6.consLI.inputGuide = "個別部屋の照明の使い方について";</v>
      </c>
      <c r="B77" s="1" t="s">
        <v>431</v>
      </c>
      <c r="C77" s="41" t="s">
        <v>432</v>
      </c>
      <c r="D77" s="42" t="s">
        <v>433</v>
      </c>
    </row>
    <row r="78" customFormat="false" ht="13.5" hidden="false" customHeight="false" outlineLevel="0" collapsed="false">
      <c r="A78" s="40" t="str">
        <f aca="false">CLEAN(B78&amp;IF(C78="","",""""&amp;C78&amp;""";"))</f>
        <v/>
      </c>
      <c r="C78" s="41"/>
      <c r="D78" s="42"/>
    </row>
    <row r="79" customFormat="false" ht="13.5" hidden="false" customHeight="false" outlineLevel="0" collapsed="false">
      <c r="A79" s="40" t="str">
        <f aca="false">CLEAN(B79&amp;IF(C79="","",""""&amp;C79&amp;""";"))</f>
        <v>D6.consLIsum.title = "照明";</v>
      </c>
      <c r="B79" s="1" t="s">
        <v>434</v>
      </c>
      <c r="C79" s="41" t="s">
        <v>77</v>
      </c>
      <c r="D79" s="42" t="s">
        <v>426</v>
      </c>
    </row>
    <row r="80" customFormat="false" ht="13.5" hidden="false" customHeight="false" outlineLevel="0" collapsed="false">
      <c r="A80" s="40" t="str">
        <f aca="false">CLEAN(B80&amp;IF(C80="","",""""&amp;C80&amp;""";"))</f>
        <v>D6.consLIsum.inputGuide = "家全体での照明の使い方について";</v>
      </c>
      <c r="B80" s="1" t="s">
        <v>435</v>
      </c>
      <c r="C80" s="41" t="s">
        <v>436</v>
      </c>
      <c r="D80" s="42" t="s">
        <v>437</v>
      </c>
    </row>
    <row r="81" customFormat="false" ht="13.5" hidden="false" customHeight="false" outlineLevel="0" collapsed="false">
      <c r="A81" s="40" t="str">
        <f aca="false">CLEAN(B81&amp;IF(C81="","",""""&amp;C81&amp;""";"))</f>
        <v/>
      </c>
      <c r="C81" s="41"/>
      <c r="D81" s="42"/>
    </row>
    <row r="82" customFormat="false" ht="13.5" hidden="false" customHeight="false" outlineLevel="0" collapsed="false">
      <c r="A82" s="40" t="str">
        <f aca="false">CLEAN(B82&amp;IF(C82="","",""""&amp;C82&amp;""";"))</f>
        <v>D6.consRF.title = "冷蔵庫";</v>
      </c>
      <c r="B82" s="1" t="s">
        <v>438</v>
      </c>
      <c r="C82" s="41" t="s">
        <v>82</v>
      </c>
      <c r="D82" s="42" t="s">
        <v>439</v>
      </c>
    </row>
    <row r="83" customFormat="false" ht="13.5" hidden="false" customHeight="false" outlineLevel="0" collapsed="false">
      <c r="A83" s="40" t="str">
        <f aca="false">CLEAN(B83&amp;IF(C83="","",""""&amp;C83&amp;""";"))</f>
        <v>D6.consRF.addable = "冷蔵庫";</v>
      </c>
      <c r="B83" s="1" t="s">
        <v>440</v>
      </c>
      <c r="C83" s="41" t="s">
        <v>82</v>
      </c>
      <c r="D83" s="42" t="s">
        <v>439</v>
      </c>
    </row>
    <row r="84" customFormat="false" ht="13.5" hidden="false" customHeight="false" outlineLevel="0" collapsed="false">
      <c r="A84" s="40" t="str">
        <f aca="false">CLEAN(B84&amp;IF(C84="","",""""&amp;C84&amp;""";"))</f>
        <v>D6.consRF.countCall = "台目";</v>
      </c>
      <c r="B84" s="1" t="s">
        <v>441</v>
      </c>
      <c r="C84" s="41" t="s">
        <v>349</v>
      </c>
      <c r="D84" s="42" t="s">
        <v>442</v>
      </c>
    </row>
    <row r="85" customFormat="false" ht="13.5" hidden="false" customHeight="false" outlineLevel="0" collapsed="false">
      <c r="A85" s="40" t="str">
        <f aca="false">CLEAN(B85&amp;IF(C85="","",""""&amp;C85&amp;""";"))</f>
        <v>D6.consRF.inputGuide = "個別の冷蔵庫の使い方について";</v>
      </c>
      <c r="B85" s="1" t="s">
        <v>443</v>
      </c>
      <c r="C85" s="41" t="s">
        <v>444</v>
      </c>
      <c r="D85" s="42" t="s">
        <v>445</v>
      </c>
    </row>
    <row r="86" customFormat="false" ht="13.5" hidden="false" customHeight="false" outlineLevel="0" collapsed="false">
      <c r="A86" s="40" t="str">
        <f aca="false">CLEAN(B86&amp;IF(C86="","",""""&amp;C86&amp;""";"))</f>
        <v/>
      </c>
      <c r="C86" s="41"/>
      <c r="D86" s="42"/>
    </row>
    <row r="87" customFormat="false" ht="13.5" hidden="false" customHeight="false" outlineLevel="0" collapsed="false">
      <c r="A87" s="40" t="str">
        <f aca="false">CLEAN(B87&amp;IF(C87="","",""""&amp;C87&amp;""";"))</f>
        <v>D6.consRFsum.title = "冷蔵庫";</v>
      </c>
      <c r="B87" s="1" t="s">
        <v>446</v>
      </c>
      <c r="C87" s="41" t="s">
        <v>82</v>
      </c>
      <c r="D87" s="42" t="s">
        <v>439</v>
      </c>
    </row>
    <row r="88" customFormat="false" ht="13.5" hidden="false" customHeight="false" outlineLevel="0" collapsed="false">
      <c r="A88" s="40" t="str">
        <f aca="false">CLEAN(B88&amp;IF(C88="","",""""&amp;C88&amp;""";"))</f>
        <v>D6.consRFsum.inputGuide = "家全体での冷蔵庫の使い方について";</v>
      </c>
      <c r="B88" s="1" t="s">
        <v>447</v>
      </c>
      <c r="C88" s="41" t="s">
        <v>448</v>
      </c>
      <c r="D88" s="42" t="s">
        <v>449</v>
      </c>
    </row>
    <row r="89" customFormat="false" ht="13.5" hidden="false" customHeight="false" outlineLevel="0" collapsed="false">
      <c r="A89" s="40" t="str">
        <f aca="false">CLEAN(B89&amp;IF(C89="","",""""&amp;C89&amp;""";"))</f>
        <v/>
      </c>
      <c r="C89" s="41"/>
      <c r="D89" s="42"/>
    </row>
    <row r="90" customFormat="false" ht="23.85" hidden="false" customHeight="false" outlineLevel="0" collapsed="false">
      <c r="A90" s="40" t="str">
        <f aca="false">CLEAN(B90&amp;IF(C90="","",""""&amp;C90&amp;""";"))</f>
        <v>D6.consSeason.inputGuide = "季節ごとの1ヶ月あたりの光熱費について。おおよその値でご記入ください。";</v>
      </c>
      <c r="B90" s="1" t="s">
        <v>450</v>
      </c>
      <c r="C90" s="41" t="s">
        <v>451</v>
      </c>
      <c r="D90" s="42" t="s">
        <v>452</v>
      </c>
    </row>
    <row r="91" customFormat="false" ht="13.5" hidden="false" customHeight="false" outlineLevel="0" collapsed="false">
      <c r="A91" s="40" t="str">
        <f aca="false">CLEAN(B91&amp;IF(C91="","",""""&amp;C91&amp;""";"))</f>
        <v/>
      </c>
      <c r="C91" s="41"/>
      <c r="D91" s="42"/>
    </row>
    <row r="92" customFormat="false" ht="13.5" hidden="false" customHeight="false" outlineLevel="0" collapsed="false">
      <c r="A92" s="40" t="str">
        <f aca="false">CLEAN(B92&amp;IF(C92="","",""""&amp;C92&amp;""";"))</f>
        <v>D6.consTotal.title = "全体";</v>
      </c>
      <c r="B92" s="1" t="s">
        <v>453</v>
      </c>
      <c r="C92" s="41" t="s">
        <v>225</v>
      </c>
      <c r="D92" s="42" t="s">
        <v>454</v>
      </c>
    </row>
    <row r="93" customFormat="false" ht="13.5" hidden="false" customHeight="false" outlineLevel="0" collapsed="false">
      <c r="A93" s="40" t="str">
        <f aca="false">CLEAN(B93&amp;IF(C93="","",""""&amp;C93&amp;""";"))</f>
        <v>D6.consTotal.inputGuide = "地域や家の基本情報について";</v>
      </c>
      <c r="B93" s="1" t="s">
        <v>455</v>
      </c>
      <c r="C93" s="41" t="s">
        <v>456</v>
      </c>
      <c r="D93" s="42" t="s">
        <v>457</v>
      </c>
    </row>
    <row r="94" customFormat="false" ht="13.5" hidden="false" customHeight="false" outlineLevel="0" collapsed="false">
      <c r="A94" s="40" t="str">
        <f aca="false">CLEAN(B94&amp;IF(C94="","",""""&amp;C94&amp;""";"))</f>
        <v/>
      </c>
      <c r="C94" s="41"/>
      <c r="D94" s="42"/>
    </row>
    <row r="95" customFormat="false" ht="13.5" hidden="false" customHeight="false" outlineLevel="0" collapsed="false">
      <c r="A95" s="40" t="str">
        <f aca="false">CLEAN(B95&amp;IF(C95="","",""""&amp;C95&amp;""";"))</f>
        <v>D6.consTV.title = "テレビ";</v>
      </c>
      <c r="B95" s="1" t="s">
        <v>458</v>
      </c>
      <c r="C95" s="41" t="s">
        <v>79</v>
      </c>
      <c r="D95" s="42" t="s">
        <v>81</v>
      </c>
    </row>
    <row r="96" customFormat="false" ht="13.5" hidden="false" customHeight="false" outlineLevel="0" collapsed="false">
      <c r="A96" s="40" t="str">
        <f aca="false">CLEAN(B96&amp;IF(C96="","",""""&amp;C96&amp;""";"))</f>
        <v>D6.consTV.addable = "テレビ";</v>
      </c>
      <c r="B96" s="1" t="s">
        <v>459</v>
      </c>
      <c r="C96" s="41" t="s">
        <v>79</v>
      </c>
      <c r="D96" s="42" t="s">
        <v>81</v>
      </c>
    </row>
    <row r="97" customFormat="false" ht="13.5" hidden="false" customHeight="false" outlineLevel="0" collapsed="false">
      <c r="A97" s="40" t="str">
        <f aca="false">CLEAN(B97&amp;IF(C97="","",""""&amp;C97&amp;""";"))</f>
        <v>D6.consTV.countCall = "台目";</v>
      </c>
      <c r="B97" s="1" t="s">
        <v>460</v>
      </c>
      <c r="C97" s="41" t="s">
        <v>349</v>
      </c>
      <c r="D97" s="42" t="s">
        <v>442</v>
      </c>
    </row>
    <row r="98" customFormat="false" ht="13.5" hidden="false" customHeight="false" outlineLevel="0" collapsed="false">
      <c r="A98" s="40" t="str">
        <f aca="false">CLEAN(B98&amp;IF(C98="","",""""&amp;C98&amp;""";"))</f>
        <v>D6.consTV.inputGuide = "個別のテレビの使い方について";</v>
      </c>
      <c r="B98" s="1" t="s">
        <v>461</v>
      </c>
      <c r="C98" s="41" t="s">
        <v>462</v>
      </c>
      <c r="D98" s="42" t="s">
        <v>463</v>
      </c>
    </row>
    <row r="99" customFormat="false" ht="13.5" hidden="false" customHeight="false" outlineLevel="0" collapsed="false">
      <c r="A99" s="40" t="str">
        <f aca="false">CLEAN(B99&amp;IF(C99="","",""""&amp;C99&amp;""";"))</f>
        <v/>
      </c>
      <c r="C99" s="41"/>
      <c r="D99" s="42"/>
    </row>
    <row r="100" customFormat="false" ht="13.5" hidden="false" customHeight="false" outlineLevel="0" collapsed="false">
      <c r="A100" s="40" t="str">
        <f aca="false">CLEAN(B100&amp;IF(C100="","",""""&amp;C100&amp;""";"))</f>
        <v>D6.consTVsum.title = "テレビ";</v>
      </c>
      <c r="B100" s="1" t="s">
        <v>464</v>
      </c>
      <c r="C100" s="41" t="s">
        <v>79</v>
      </c>
      <c r="D100" s="42" t="s">
        <v>81</v>
      </c>
    </row>
    <row r="101" customFormat="false" ht="13.5" hidden="false" customHeight="false" outlineLevel="0" collapsed="false">
      <c r="A101" s="40" t="str">
        <f aca="false">CLEAN(B101&amp;IF(C101="","",""""&amp;C101&amp;""";"))</f>
        <v>D6.consTVsum.inputGuide = "家全体のテレビの使い方について";</v>
      </c>
      <c r="B101" s="1" t="s">
        <v>465</v>
      </c>
      <c r="C101" s="41" t="s">
        <v>466</v>
      </c>
      <c r="D101" s="42" t="s">
        <v>467</v>
      </c>
    </row>
    <row r="102" customFormat="false" ht="13.5" hidden="false" customHeight="false" outlineLevel="0" collapsed="false">
      <c r="A102" s="40" t="str">
        <f aca="false">CLEAN(B102&amp;IF(C102="","",""""&amp;C102&amp;""";"))</f>
        <v/>
      </c>
      <c r="C102" s="41"/>
      <c r="D102" s="42"/>
    </row>
    <row r="103" customFormat="false" ht="13.5" hidden="false" customHeight="false" outlineLevel="0" collapsed="false">
      <c r="A103" s="40" t="str">
        <f aca="false">CLEAN(B103&amp;IF(C103="","",""""&amp;C103&amp;""";"))</f>
        <v>D6.consSeason.titleList[1] = "冬";</v>
      </c>
      <c r="B103" s="1" t="s">
        <v>468</v>
      </c>
      <c r="C103" s="41" t="s">
        <v>469</v>
      </c>
      <c r="D103" s="42" t="s">
        <v>470</v>
      </c>
    </row>
    <row r="104" customFormat="false" ht="13.5" hidden="false" customHeight="false" outlineLevel="0" collapsed="false">
      <c r="A104" s="40" t="str">
        <f aca="false">CLEAN(B104&amp;IF(C104="","",""""&amp;C104&amp;""";"))</f>
        <v>D6.consSeason.titleList[2] = "春秋";</v>
      </c>
      <c r="B104" s="1" t="s">
        <v>471</v>
      </c>
      <c r="C104" s="41" t="s">
        <v>472</v>
      </c>
      <c r="D104" s="42" t="s">
        <v>473</v>
      </c>
    </row>
    <row r="105" customFormat="false" ht="13.5" hidden="false" customHeight="false" outlineLevel="0" collapsed="false">
      <c r="A105" s="40" t="str">
        <f aca="false">CLEAN(B105&amp;IF(C105="","",""""&amp;C105&amp;""";"))</f>
        <v>D6.consSeason.titleList[3] = "夏";</v>
      </c>
      <c r="B105" s="1" t="s">
        <v>474</v>
      </c>
      <c r="C105" s="41" t="s">
        <v>475</v>
      </c>
      <c r="D105" s="42" t="s">
        <v>476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 defaultRowHeight="13.5" customHeight="false" zeroHeight="false" outlineLevelRow="0" outlineLevelCol="0"/>
  <cols>
    <col collapsed="false" customWidth="true" hidden="false" outlineLevel="0" max="1" min="1" style="43" width="2.5"/>
    <col collapsed="false" customWidth="true" hidden="false" outlineLevel="0" max="2" min="2" style="43" width="3.88"/>
    <col collapsed="false" customWidth="true" hidden="false" outlineLevel="0" max="3" min="3" style="43" width="7"/>
    <col collapsed="false" customWidth="true" hidden="false" outlineLevel="0" max="5" min="4" style="43" width="22.62"/>
    <col collapsed="false" customWidth="true" hidden="false" outlineLevel="0" max="6" min="6" style="43" width="9.37"/>
    <col collapsed="false" customWidth="true" hidden="false" outlineLevel="0" max="8" min="7" style="43" width="9.12"/>
    <col collapsed="false" customWidth="true" hidden="false" outlineLevel="0" max="9" min="9" style="43" width="9.75"/>
    <col collapsed="false" customWidth="true" hidden="false" outlineLevel="0" max="10" min="10" style="43" width="7.5"/>
    <col collapsed="false" customWidth="true" hidden="false" outlineLevel="0" max="11" min="11" style="43" width="5.75"/>
    <col collapsed="false" customWidth="true" hidden="false" outlineLevel="0" max="12" min="12" style="43" width="4.63"/>
    <col collapsed="false" customWidth="true" hidden="false" outlineLevel="0" max="13" min="13" style="43" width="5.75"/>
    <col collapsed="false" customWidth="true" hidden="false" outlineLevel="0" max="14" min="14" style="43" width="7.25"/>
    <col collapsed="false" customWidth="true" hidden="false" outlineLevel="0" max="15" min="15" style="43" width="5.25"/>
    <col collapsed="false" customWidth="true" hidden="false" outlineLevel="0" max="16" min="16" style="43" width="5"/>
    <col collapsed="false" customWidth="true" hidden="false" outlineLevel="0" max="18" min="17" style="43" width="18.75"/>
    <col collapsed="false" customWidth="true" hidden="false" outlineLevel="0" max="20" min="19" style="43" width="42.75"/>
    <col collapsed="false" customWidth="false" hidden="false" outlineLevel="0" max="21" min="21" style="43" width="9"/>
    <col collapsed="false" customWidth="true" hidden="false" outlineLevel="0" max="22" min="22" style="43" width="6.51"/>
    <col collapsed="false" customWidth="false" hidden="false" outlineLevel="0" max="23" min="23" style="43" width="9"/>
    <col collapsed="false" customWidth="true" hidden="false" outlineLevel="0" max="25" min="24" style="43" width="4.75"/>
    <col collapsed="false" customWidth="true" hidden="false" outlineLevel="0" max="26" min="26" style="44" width="72.62"/>
    <col collapsed="false" customWidth="false" hidden="false" outlineLevel="0" max="27" min="27" style="20" width="9"/>
    <col collapsed="false" customWidth="true" hidden="false" outlineLevel="0" max="28" min="28" style="20" width="34.51"/>
    <col collapsed="false" customWidth="false" hidden="false" outlineLevel="0" max="29" min="29" style="20" width="9"/>
    <col collapsed="false" customWidth="true" hidden="false" outlineLevel="0" max="30" min="30" style="43" width="39.63"/>
    <col collapsed="false" customWidth="false" hidden="false" outlineLevel="0" max="16384" min="31" style="20" width="9"/>
  </cols>
  <sheetData>
    <row r="1" customFormat="false" ht="13.5" hidden="false" customHeight="false" outlineLevel="0" collapsed="false">
      <c r="A1" s="45" t="s">
        <v>477</v>
      </c>
      <c r="D1" s="14" t="s">
        <v>25</v>
      </c>
      <c r="X1" s="46" t="s">
        <v>478</v>
      </c>
      <c r="Y1" s="47"/>
      <c r="Z1" s="48"/>
      <c r="AD1" s="43" t="n">
        <v>5</v>
      </c>
    </row>
    <row r="2" customFormat="false" ht="15" hidden="false" customHeight="true" outlineLevel="0" collapsed="false">
      <c r="B2" s="49" t="s">
        <v>479</v>
      </c>
      <c r="C2" s="50" t="s">
        <v>215</v>
      </c>
      <c r="D2" s="51" t="s">
        <v>217</v>
      </c>
      <c r="E2" s="52"/>
      <c r="F2" s="53" t="s">
        <v>480</v>
      </c>
      <c r="G2" s="51" t="s">
        <v>481</v>
      </c>
      <c r="H2" s="54"/>
      <c r="I2" s="55" t="s">
        <v>482</v>
      </c>
      <c r="J2" s="56"/>
      <c r="K2" s="57" t="s">
        <v>223</v>
      </c>
      <c r="L2" s="49" t="s">
        <v>483</v>
      </c>
      <c r="M2" s="49" t="s">
        <v>484</v>
      </c>
      <c r="N2" s="49" t="s">
        <v>485</v>
      </c>
      <c r="O2" s="49" t="s">
        <v>486</v>
      </c>
      <c r="P2" s="50" t="s">
        <v>487</v>
      </c>
      <c r="Q2" s="51" t="s">
        <v>488</v>
      </c>
      <c r="R2" s="54"/>
      <c r="S2" s="55" t="s">
        <v>489</v>
      </c>
      <c r="T2" s="56"/>
      <c r="U2" s="57" t="s">
        <v>490</v>
      </c>
      <c r="V2" s="49" t="s">
        <v>491</v>
      </c>
      <c r="X2" s="58"/>
      <c r="Y2" s="58"/>
      <c r="Z2" s="58"/>
      <c r="AB2" s="59" t="s">
        <v>492</v>
      </c>
      <c r="AD2" s="60" t="s">
        <v>493</v>
      </c>
    </row>
    <row r="3" customFormat="false" ht="43.5" hidden="false" customHeight="true" outlineLevel="0" collapsed="false">
      <c r="B3" s="61" t="s">
        <v>494</v>
      </c>
      <c r="C3" s="61" t="s">
        <v>62</v>
      </c>
      <c r="D3" s="61" t="s">
        <v>495</v>
      </c>
      <c r="E3" s="61" t="s">
        <v>496</v>
      </c>
      <c r="F3" s="61" t="s">
        <v>497</v>
      </c>
      <c r="G3" s="61" t="s">
        <v>498</v>
      </c>
      <c r="H3" s="61" t="s">
        <v>26</v>
      </c>
      <c r="I3" s="61" t="s">
        <v>499</v>
      </c>
      <c r="J3" s="61" t="s">
        <v>294</v>
      </c>
      <c r="K3" s="61" t="s">
        <v>500</v>
      </c>
      <c r="L3" s="61" t="s">
        <v>501</v>
      </c>
      <c r="M3" s="61" t="s">
        <v>502</v>
      </c>
      <c r="N3" s="61" t="s">
        <v>485</v>
      </c>
      <c r="O3" s="61" t="s">
        <v>503</v>
      </c>
      <c r="P3" s="61" t="s">
        <v>504</v>
      </c>
      <c r="Q3" s="61" t="s">
        <v>488</v>
      </c>
      <c r="R3" s="61" t="s">
        <v>26</v>
      </c>
      <c r="S3" s="61" t="s">
        <v>505</v>
      </c>
      <c r="T3" s="61" t="s">
        <v>26</v>
      </c>
      <c r="U3" s="61" t="s">
        <v>506</v>
      </c>
      <c r="V3" s="61" t="s">
        <v>507</v>
      </c>
      <c r="X3" s="47"/>
      <c r="Y3" s="47"/>
      <c r="Z3" s="47" t="s">
        <v>508</v>
      </c>
      <c r="AB3" s="20" t="s">
        <v>509</v>
      </c>
      <c r="AD3" s="62" t="s">
        <v>510</v>
      </c>
    </row>
    <row r="4" customFormat="false" ht="79.5" hidden="false" customHeight="true" outlineLevel="0" collapsed="false">
      <c r="B4" s="62" t="n">
        <v>1</v>
      </c>
      <c r="C4" s="62" t="s">
        <v>511</v>
      </c>
      <c r="D4" s="63" t="s">
        <v>512</v>
      </c>
      <c r="E4" s="64" t="s">
        <v>512</v>
      </c>
      <c r="F4" s="62" t="s">
        <v>224</v>
      </c>
      <c r="G4" s="63" t="s">
        <v>513</v>
      </c>
      <c r="H4" s="64" t="s">
        <v>513</v>
      </c>
      <c r="I4" s="5" t="n">
        <v>0.5</v>
      </c>
      <c r="J4" s="65" t="n">
        <v>0.5</v>
      </c>
      <c r="K4" s="62"/>
      <c r="L4" s="62" t="n">
        <v>25</v>
      </c>
      <c r="M4" s="62" t="n">
        <v>20</v>
      </c>
      <c r="N4" s="62" t="n">
        <v>350000</v>
      </c>
      <c r="O4" s="62"/>
      <c r="P4" s="62"/>
      <c r="Q4" s="5"/>
      <c r="R4" s="65"/>
      <c r="S4" s="5" t="s">
        <v>514</v>
      </c>
      <c r="T4" s="65" t="s">
        <v>515</v>
      </c>
      <c r="U4" s="62"/>
      <c r="V4" s="62" t="s">
        <v>516</v>
      </c>
      <c r="Z4" s="43" t="str">
        <f aca="false">"D6.scenario.defMeasures['"&amp;C4&amp;"'] = { "&amp;B$2&amp;":"""&amp;B4&amp;""",  "&amp;C$2&amp;":"""&amp;C4&amp;""",  "&amp;D$2&amp;":"""&amp;CLEAN(SUBSTITUTE(D4,"""","'"))&amp;""",  "&amp;I$2&amp;":"""&amp;I4&amp;""",  "&amp;F$2&amp;":"""&amp;F4&amp;""",  "&amp;G$2&amp;":"""&amp;CLEAN(SUBSTITUTE(G4,"""","'"))&amp;""", "&amp;K$2&amp;":"""&amp;K4&amp;""",  "&amp;L$2&amp;":"""&amp;L4&amp;""",  "&amp;M$2&amp;":"""&amp;M4&amp;""",  "&amp;N$2&amp;":"""&amp;N4&amp;""",  "&amp;O$2&amp;":"""&amp;O4&amp;""",  "&amp;P$2&amp;":"""&amp;P4&amp;""",  "&amp;Q$2&amp;":"""&amp;Q4&amp;""",  "&amp;S$2&amp;":"""&amp;CLEAN(SUBSTITUTE(S4,"""","'"))&amp;""",   "&amp;U$2&amp;":"""&amp;U4&amp;""",   "&amp;V$2&amp;":"""&amp;V4&amp;"""};"</f>
        <v>D6.scenario.defMeasures['mTOsolar'] = { mid:"1",  name:"mTOsolar",  title:"太陽光発電を設置する",  easyness:"0.5",  refCons:"consTotal",  titleShort:"太陽光発電", level:"",  figNum:"25",  lifeTime:"20",  price:"350000",  roanShow:"",  standardType:"",  subsidy :"",  advice:"発電で余った電気は、FIT制度により電力会社に買い取ってもらうことができ、2025年10月以降に設置した場合は最初の4年間が1kWhあたり24円、5年目から10年目までが8.3円で買取がされます。パネルを設置するだけで発電がされ、モーターなど稼働する部分がないために寿命が長く、維持管理も比較的少なくて済みます。交流に変換をする「コンディショナー」と呼ばれる装置は10年程度ごとに交換が必要になります。&lt;br&gt;　また、太陽光発電装置を導入すると、電気を売る様子が表示される装置が設置されます。電気をどれだけ発電できたのか、家庭でどれだけ消費したのかが表示され、機種によっては時間帯別に表示されるものもあります。販売できた金額も表示され、より多く販売するために自然と電気の使用量が減る効果も出てきます。",   lifestyle:"",   season:"wss"};</v>
      </c>
      <c r="AB4" s="20" t="str">
        <f aca="false">"$defMeasures['"&amp;C4&amp;"'] = [ '"&amp;B$2&amp;"'=&gt;"""&amp;B4&amp;""",   '"&amp;D$2&amp;"'=&gt;"""&amp;CLEAN(SUBSTITUTE(D4,"""","'"))&amp;""",  '"&amp;L$2&amp;"'=&gt;"""&amp;L4&amp;""",  '"&amp;S$2&amp;"'=&gt;"""&amp;CLEAN(SUBSTITUTE(S4,"""","'"))&amp;"""];"</f>
        <v>$defMeasures['mTOsolar'] = [ 'mid'=&gt;"1",   'title'=&gt;"太陽光発電を設置する",  'figNum'=&gt;"25",  'advice'=&gt;"発電で余った電気は、FIT制度により電力会社に買い取ってもらうことができ、2025年10月以降に設置した場合は最初の4年間が1kWhあたり24円、5年目から10年目までが8.3円で買取がされます。パネルを設置するだけで発電がされ、モーターなど稼働する部分がないために寿命が長く、維持管理も比較的少なくて済みます。交流に変換をする「コンディショナー」と呼ばれる装置は10年程度ごとに交換が必要になります。&lt;br&gt;　また、太陽光発電装置を導入すると、電気を売る様子が表示される装置が設置されます。電気をどれだけ発電できたのか、家庭でどれだけ消費したのかが表示され、機種によっては時間帯別に表示されるものもあります。販売できた金額も表示され、より多く販売するために自然と電気の使用量が減る効果も出てきます。"];</v>
      </c>
      <c r="AD4" s="62" t="s">
        <v>517</v>
      </c>
    </row>
    <row r="5" customFormat="false" ht="69" hidden="false" customHeight="true" outlineLevel="0" collapsed="false">
      <c r="B5" s="62" t="n">
        <v>2</v>
      </c>
      <c r="C5" s="62" t="s">
        <v>518</v>
      </c>
      <c r="D5" s="5" t="s">
        <v>519</v>
      </c>
      <c r="E5" s="65" t="s">
        <v>519</v>
      </c>
      <c r="F5" s="62" t="s">
        <v>224</v>
      </c>
      <c r="G5" s="5" t="s">
        <v>520</v>
      </c>
      <c r="H5" s="65" t="s">
        <v>520</v>
      </c>
      <c r="I5" s="5" t="n">
        <v>1</v>
      </c>
      <c r="J5" s="65" t="n">
        <v>1</v>
      </c>
      <c r="K5" s="62"/>
      <c r="L5" s="62" t="n">
        <v>3</v>
      </c>
      <c r="M5" s="62" t="n">
        <v>20</v>
      </c>
      <c r="N5" s="62" t="n">
        <v>200000</v>
      </c>
      <c r="O5" s="62"/>
      <c r="P5" s="62"/>
      <c r="Q5" s="5"/>
      <c r="R5" s="65"/>
      <c r="S5" s="5" t="s">
        <v>521</v>
      </c>
      <c r="T5" s="65" t="s">
        <v>522</v>
      </c>
      <c r="U5" s="62"/>
      <c r="V5" s="62" t="s">
        <v>516</v>
      </c>
      <c r="Z5" s="43" t="str">
        <f aca="false">"D6.scenario.defMeasures['"&amp;C5&amp;"'] = { "&amp;B$2&amp;":"""&amp;B5&amp;""",  "&amp;C$2&amp;":"""&amp;C5&amp;""",  "&amp;D$2&amp;":"""&amp;CLEAN(SUBSTITUTE(D5,"""","'"))&amp;""",  "&amp;I$2&amp;":"""&amp;I5&amp;""",  "&amp;F$2&amp;":"""&amp;F5&amp;""",  "&amp;G$2&amp;":"""&amp;CLEAN(SUBSTITUTE(G5,"""","'"))&amp;""", "&amp;K$2&amp;":"""&amp;K5&amp;""",  "&amp;L$2&amp;":"""&amp;L5&amp;""",  "&amp;M$2&amp;":"""&amp;M5&amp;""",  "&amp;N$2&amp;":"""&amp;N5&amp;""",  "&amp;O$2&amp;":"""&amp;O5&amp;""",  "&amp;P$2&amp;":"""&amp;P5&amp;""",  "&amp;Q$2&amp;":"""&amp;Q5&amp;""",  "&amp;S$2&amp;":"""&amp;CLEAN(SUBSTITUTE(S5,"""","'"))&amp;""",   "&amp;U$2&amp;":"""&amp;U5&amp;""",   "&amp;V$2&amp;":"""&amp;V5&amp;"""};"</f>
        <v>D6.scenario.defMeasures['mTOhems'] = { mid:"2",  name:"mTOhems",  title:"HEMS装置を設置する",  easyness:"1",  refCons:"consTotal",  titleShort:"HEMS装置", level:"",  figNum:"3",  lifeTime:"20",  price:"200000",  roanShow:"",  standardType:"",  subsidy :"",  advice:"HEMS(Home Energy Management Sysytem：ヘムス)とは、家庭で使っている電気を時間ごとに細かく把握したり、エアコンなどの家電製品を、省エネのために自動制御したりできるシステムです。電気の使い方などの特徴をチェックすると、どんなことをすれば省エネにつながるか、ポイントが見えてきます。表示されるグラフをもとに、いつ電気の消費が多いのか、何が原因なのか、考えてみてください。",   lifestyle:"",   season:"wss"};</v>
      </c>
      <c r="AB5" s="20" t="str">
        <f aca="false">"$defMeasures['"&amp;C5&amp;"'] = [ '"&amp;B$2&amp;"'=&gt;"""&amp;B5&amp;""",   '"&amp;D$2&amp;"'=&gt;"""&amp;CLEAN(SUBSTITUTE(D5,"""","'"))&amp;""",  '"&amp;L$2&amp;"'=&gt;"""&amp;L5&amp;""",  '"&amp;S$2&amp;"'=&gt;"""&amp;CLEAN(SUBSTITUTE(S5,"""","'"))&amp;"""];"</f>
        <v>$defMeasures['mTOhems'] = [ 'mid'=&gt;"2",   'title'=&gt;"HEMS装置を設置する",  'figNum'=&gt;"3",  'advice'=&gt;"HEMS(Home Energy Management Sysytem：ヘムス)とは、家庭で使っている電気を時間ごとに細かく把握したり、エアコンなどの家電製品を、省エネのために自動制御したりできるシステムです。電気の使い方などの特徴をチェックすると、どんなことをすれば省エネにつながるか、ポイントが見えてきます。表示されるグラフをもとに、いつ電気の消費が多いのか、何が原因なのか、考えてみてください。"];</v>
      </c>
      <c r="AD5" s="62" t="s">
        <v>523</v>
      </c>
    </row>
    <row r="6" customFormat="false" ht="69" hidden="false" customHeight="true" outlineLevel="0" collapsed="false">
      <c r="B6" s="62" t="n">
        <v>3</v>
      </c>
      <c r="C6" s="62" t="s">
        <v>524</v>
      </c>
      <c r="D6" s="5" t="s">
        <v>525</v>
      </c>
      <c r="E6" s="65" t="s">
        <v>525</v>
      </c>
      <c r="F6" s="62" t="s">
        <v>224</v>
      </c>
      <c r="G6" s="5" t="s">
        <v>526</v>
      </c>
      <c r="H6" s="65" t="s">
        <v>526</v>
      </c>
      <c r="I6" s="5" t="n">
        <v>2</v>
      </c>
      <c r="J6" s="65" t="n">
        <v>2</v>
      </c>
      <c r="K6" s="62"/>
      <c r="L6" s="62" t="n">
        <v>25</v>
      </c>
      <c r="M6" s="62" t="n">
        <v>10</v>
      </c>
      <c r="N6" s="62" t="n">
        <v>50000</v>
      </c>
      <c r="O6" s="62"/>
      <c r="P6" s="62"/>
      <c r="Q6" s="5"/>
      <c r="R6" s="65"/>
      <c r="S6" s="5" t="s">
        <v>527</v>
      </c>
      <c r="T6" s="65" t="s">
        <v>528</v>
      </c>
      <c r="U6" s="62"/>
      <c r="V6" s="62" t="s">
        <v>516</v>
      </c>
      <c r="Z6" s="43" t="str">
        <f aca="false">"D6.scenario.defMeasures['"&amp;C6&amp;"'] = { "&amp;B$2&amp;":"""&amp;B6&amp;""",  "&amp;C$2&amp;":"""&amp;C6&amp;""",  "&amp;D$2&amp;":"""&amp;CLEAN(SUBSTITUTE(D6,"""","'"))&amp;""",  "&amp;I$2&amp;":"""&amp;I6&amp;""",  "&amp;F$2&amp;":"""&amp;F6&amp;""",  "&amp;G$2&amp;":"""&amp;CLEAN(SUBSTITUTE(G6,"""","'"))&amp;""", "&amp;K$2&amp;":"""&amp;K6&amp;""",  "&amp;L$2&amp;":"""&amp;L6&amp;""",  "&amp;M$2&amp;":"""&amp;M6&amp;""",  "&amp;N$2&amp;":"""&amp;N6&amp;""",  "&amp;O$2&amp;":"""&amp;O6&amp;""",  "&amp;P$2&amp;":"""&amp;P6&amp;""",  "&amp;Q$2&amp;":"""&amp;Q6&amp;""",  "&amp;S$2&amp;":"""&amp;CLEAN(SUBSTITUTE(S6,"""","'"))&amp;""",   "&amp;U$2&amp;":"""&amp;U6&amp;""",   "&amp;V$2&amp;":"""&amp;V6&amp;"""};"</f>
        <v>D6.scenario.defMeasures['mTOsolarSmall'] = { mid:"3",  name:"mTOsolarSmall",  title:"ベランダに太陽光パネルを置く",  easyness:"2",  refCons:"consTotal",  titleShort:"ベランダ太陽光", level:"",  figNum:"25",  lifeTime:"10",  price:"50000",  roanShow:"",  standardType:"",  subsidy :"",  advice:"太陽光発電パネルを屋根に設置するのではなく、小型のものをベランダなどに置くことで、一部の照明などの用途に使うことができます。既成品として販売されていることもありますが、自分で部品を購入して作ることもできます。太陽光パネル（20～200W）、充放電コントローラー、車用バッテリー、インバーターを組み合わせることで動作し、インターネット通販やホームセンターなどで調達できます。&lt;br&gt;　晴れた日にはふとんを干すような感覚で、日光にあててバッテリーを充電させ、充電された分で活用することができます。曇りの日などは、電気を使うことができない場合があります。",   lifestyle:"",   season:"wss"};</v>
      </c>
      <c r="AB6" s="20" t="str">
        <f aca="false">"$defMeasures['"&amp;C6&amp;"'] = [ '"&amp;B$2&amp;"'=&gt;"""&amp;B6&amp;""",   '"&amp;D$2&amp;"'=&gt;"""&amp;CLEAN(SUBSTITUTE(D6,"""","'"))&amp;""",  '"&amp;L$2&amp;"'=&gt;"""&amp;L6&amp;""",  '"&amp;S$2&amp;"'=&gt;"""&amp;CLEAN(SUBSTITUTE(S6,"""","'"))&amp;"""];"</f>
        <v>$defMeasures['mTOsolarSmall'] = [ 'mid'=&gt;"3",   'title'=&gt;"ベランダに太陽光パネルを置く",  'figNum'=&gt;"25",  'advice'=&gt;"太陽光発電パネルを屋根に設置するのではなく、小型のものをベランダなどに置くことで、一部の照明などの用途に使うことができます。既成品として販売されていることもありますが、自分で部品を購入して作ることもできます。太陽光パネル（20～200W）、充放電コントローラー、車用バッテリー、インバーターを組み合わせることで動作し、インターネット通販やホームセンターなどで調達できます。&lt;br&gt;　晴れた日にはふとんを干すような感覚で、日光にあててバッテリーを充電させ、充電された分で活用することができます。曇りの日などは、電気を使うことができない場合があります。"];</v>
      </c>
      <c r="AD6" s="62" t="s">
        <v>529</v>
      </c>
    </row>
    <row r="7" customFormat="false" ht="79.5" hidden="false" customHeight="true" outlineLevel="0" collapsed="false">
      <c r="B7" s="62" t="n">
        <v>6</v>
      </c>
      <c r="C7" s="62" t="s">
        <v>530</v>
      </c>
      <c r="D7" s="63" t="s">
        <v>531</v>
      </c>
      <c r="E7" s="64" t="s">
        <v>531</v>
      </c>
      <c r="F7" s="62" t="s">
        <v>224</v>
      </c>
      <c r="G7" s="63" t="s">
        <v>532</v>
      </c>
      <c r="H7" s="64" t="s">
        <v>532</v>
      </c>
      <c r="I7" s="5" t="n">
        <v>0.5</v>
      </c>
      <c r="J7" s="65" t="n">
        <v>0.5</v>
      </c>
      <c r="K7" s="62"/>
      <c r="L7" s="62" t="n">
        <v>25</v>
      </c>
      <c r="M7" s="62" t="n">
        <v>30</v>
      </c>
      <c r="N7" s="62" t="n">
        <v>22000000</v>
      </c>
      <c r="O7" s="62"/>
      <c r="P7" s="62" t="s">
        <v>533</v>
      </c>
      <c r="Q7" s="5"/>
      <c r="R7" s="65"/>
      <c r="S7" s="5" t="s">
        <v>534</v>
      </c>
      <c r="T7" s="65" t="s">
        <v>515</v>
      </c>
      <c r="U7" s="62"/>
      <c r="V7" s="62" t="s">
        <v>516</v>
      </c>
      <c r="Z7" s="43" t="str">
        <f aca="false">"D6.scenario.defMeasures['"&amp;C7&amp;"'] = { "&amp;B$2&amp;":"""&amp;B7&amp;""",  "&amp;C$2&amp;":"""&amp;C7&amp;""",  "&amp;D$2&amp;":"""&amp;CLEAN(SUBSTITUTE(D7,"""","'"))&amp;""",  "&amp;I$2&amp;":"""&amp;I7&amp;""",  "&amp;F$2&amp;":"""&amp;F7&amp;""",  "&amp;G$2&amp;":"""&amp;CLEAN(SUBSTITUTE(G7,"""","'"))&amp;""", "&amp;K$2&amp;":"""&amp;K7&amp;""",  "&amp;L$2&amp;":"""&amp;L7&amp;""",  "&amp;M$2&amp;":"""&amp;M7&amp;""",  "&amp;N$2&amp;":"""&amp;N7&amp;""",  "&amp;O$2&amp;":"""&amp;O7&amp;""",  "&amp;P$2&amp;":"""&amp;P7&amp;""",  "&amp;Q$2&amp;":"""&amp;Q7&amp;""",  "&amp;S$2&amp;":"""&amp;CLEAN(SUBSTITUTE(S7,"""","'"))&amp;""",   "&amp;U$2&amp;":"""&amp;U7&amp;""",   "&amp;V$2&amp;":"""&amp;V7&amp;"""};"</f>
        <v>D6.scenario.defMeasures['mTOzeh'] = { mid:"6",  name:"mTOzeh",  title:"ZEHに建て替える",  easyness:"0.5",  refCons:"consTotal",  titleShort:"ZEH", level:"",  figNum:"25",  lifeTime:"30",  price:"22000000",  roanShow:"",  standardType:"省エネ基準住宅",  subsidy :"",  advice:"断熱性能を高めて省エネ機器設備を導入した上で、太陽光発電を設置すると、家庭のエネルギー消費を実質まかなうことができます。ネット・ゼロ・エネルギー・ハウス（ZEH：ゼッチ）と呼ばれ、すでに大手ハウスメーカーでは新築の標準になっており、2030年頃にはすべての新築住宅でこのレベルを達成することが求められます。エネルギー面でメリットがあるだけでなく、冬は暖かく、夏は涼しく、快適に過ごすことができ、健康面でもメリットがあることがわかっています。",   lifestyle:"",   season:"wss"};</v>
      </c>
      <c r="AB7" s="20" t="str">
        <f aca="false">"$defMeasures['"&amp;C7&amp;"'] = [ '"&amp;B$2&amp;"'=&gt;"""&amp;B7&amp;""",   '"&amp;D$2&amp;"'=&gt;"""&amp;CLEAN(SUBSTITUTE(D7,"""","'"))&amp;""",  '"&amp;L$2&amp;"'=&gt;"""&amp;L7&amp;""",  '"&amp;S$2&amp;"'=&gt;"""&amp;CLEAN(SUBSTITUTE(S7,"""","'"))&amp;"""];"</f>
        <v>$defMeasures['mTOzeh'] = [ 'mid'=&gt;"6",   'title'=&gt;"ZEHに建て替える",  'figNum'=&gt;"25",  'advice'=&gt;"断熱性能を高めて省エネ機器設備を導入した上で、太陽光発電を設置すると、家庭のエネルギー消費を実質まかなうことができます。ネット・ゼロ・エネルギー・ハウス（ZEH：ゼッチ）と呼ばれ、すでに大手ハウスメーカーでは新築の標準になっており、2030年頃にはすべての新築住宅でこのレベルを達成することが求められます。エネルギー面でメリットがあるだけでなく、冬は暖かく、夏は涼しく、快適に過ごすことができ、健康面でもメリットがあることがわかっています。"];</v>
      </c>
      <c r="AD7" s="62" t="s">
        <v>517</v>
      </c>
    </row>
    <row r="8" customFormat="false" ht="79.5" hidden="false" customHeight="true" outlineLevel="0" collapsed="false">
      <c r="B8" s="62" t="n">
        <v>7</v>
      </c>
      <c r="C8" s="62" t="s">
        <v>535</v>
      </c>
      <c r="D8" s="5" t="s">
        <v>536</v>
      </c>
      <c r="E8" s="65"/>
      <c r="F8" s="62" t="s">
        <v>224</v>
      </c>
      <c r="G8" s="5" t="s">
        <v>537</v>
      </c>
      <c r="H8" s="65"/>
      <c r="I8" s="5" t="n">
        <v>0.5</v>
      </c>
      <c r="J8" s="65" t="n">
        <v>2</v>
      </c>
      <c r="K8" s="62"/>
      <c r="L8" s="62" t="n">
        <v>25</v>
      </c>
      <c r="M8" s="62" t="n">
        <v>10</v>
      </c>
      <c r="N8" s="62" t="n">
        <v>1000000</v>
      </c>
      <c r="O8" s="62"/>
      <c r="P8" s="62"/>
      <c r="Q8" s="5"/>
      <c r="R8" s="65"/>
      <c r="S8" s="5" t="s">
        <v>538</v>
      </c>
      <c r="T8" s="65"/>
      <c r="U8" s="62"/>
      <c r="V8" s="62" t="s">
        <v>516</v>
      </c>
      <c r="Z8" s="43" t="str">
        <f aca="false">"D6.scenario.defMeasures['"&amp;C8&amp;"'] = { "&amp;B$2&amp;":"""&amp;B8&amp;""",  "&amp;C$2&amp;":"""&amp;C8&amp;""",  "&amp;D$2&amp;":"""&amp;CLEAN(SUBSTITUTE(D8,"""","'"))&amp;""",  "&amp;I$2&amp;":"""&amp;I8&amp;""",  "&amp;F$2&amp;":"""&amp;F8&amp;""",  "&amp;G$2&amp;":"""&amp;CLEAN(SUBSTITUTE(G8,"""","'"))&amp;""", "&amp;K$2&amp;":"""&amp;K8&amp;""",  "&amp;L$2&amp;":"""&amp;L8&amp;""",  "&amp;M$2&amp;":"""&amp;M8&amp;""",  "&amp;N$2&amp;":"""&amp;N8&amp;""",  "&amp;O$2&amp;":"""&amp;O8&amp;""",  "&amp;P$2&amp;":"""&amp;P8&amp;""",  "&amp;Q$2&amp;":"""&amp;Q8&amp;""",  "&amp;S$2&amp;":"""&amp;CLEAN(SUBSTITUTE(S8,"""","'"))&amp;""",   "&amp;U$2&amp;":"""&amp;U8&amp;""",   "&amp;V$2&amp;":"""&amp;V8&amp;"""};"</f>
        <v>D6.scenario.defMeasures['mTObattery'] = { mid:"7",  name:"mTObattery",  title:"家庭用蓄電池を設置する",  easyness:"0.5",  refCons:"consTotal",  titleShort:"家庭用蓄電池", level:"",  figNum:"25",  lifeTime:"10",  price:"1000000",  roanShow:"",  standardType:"",  subsidy :"",  advice:"太陽光発電装置で発電がされた電気のうち、使い切れない分を蓄電しておくことで、家庭の電気をより多くまかなうことができます。蓄電池がなくても余った電気を売電することができますが、通常は購入する電気代のほうが高く、その分お得になります。また非常時には蓄電された電気を使って、家電製品を動かすこともにも活用できます。",   lifestyle:"",   season:"wss"};</v>
      </c>
      <c r="AB8" s="20" t="str">
        <f aca="false">"$defMeasures['"&amp;C8&amp;"'] = [ '"&amp;B$2&amp;"'=&gt;"""&amp;B8&amp;""",   '"&amp;D$2&amp;"'=&gt;"""&amp;CLEAN(SUBSTITUTE(D8,"""","'"))&amp;""",  '"&amp;L$2&amp;"'=&gt;"""&amp;L8&amp;""",  '"&amp;S$2&amp;"'=&gt;"""&amp;CLEAN(SUBSTITUTE(S8,"""","'"))&amp;"""];"</f>
        <v>$defMeasures['mTObattery'] = [ 'mid'=&gt;"7",   'title'=&gt;"家庭用蓄電池を設置する",  'figNum'=&gt;"25",  'advice'=&gt;"太陽光発電装置で発電がされた電気のうち、使い切れない分を蓄電しておくことで、家庭の電気をより多くまかなうことができます。蓄電池がなくても余った電気を売電することができますが、通常は購入する電気代のほうが高く、その分お得になります。また非常時には蓄電された電気を使って、家電製品を動かすこともにも活用できます。"];</v>
      </c>
      <c r="AD8" s="62" t="s">
        <v>517</v>
      </c>
    </row>
    <row r="9" customFormat="false" ht="79.5" hidden="false" customHeight="true" outlineLevel="0" collapsed="false">
      <c r="B9" s="62" t="n">
        <v>8</v>
      </c>
      <c r="C9" s="62" t="s">
        <v>539</v>
      </c>
      <c r="D9" s="5" t="s">
        <v>540</v>
      </c>
      <c r="E9" s="65"/>
      <c r="F9" s="62" t="s">
        <v>224</v>
      </c>
      <c r="G9" s="5" t="s">
        <v>541</v>
      </c>
      <c r="H9" s="65"/>
      <c r="I9" s="5" t="n">
        <v>0.5</v>
      </c>
      <c r="J9" s="65" t="n">
        <v>2</v>
      </c>
      <c r="K9" s="62"/>
      <c r="L9" s="62" t="n">
        <v>21</v>
      </c>
      <c r="M9" s="62" t="n">
        <v>6</v>
      </c>
      <c r="N9" s="62" t="n">
        <v>1000000</v>
      </c>
      <c r="O9" s="62"/>
      <c r="P9" s="62"/>
      <c r="Q9" s="5"/>
      <c r="R9" s="65"/>
      <c r="S9" s="5" t="s">
        <v>542</v>
      </c>
      <c r="T9" s="65"/>
      <c r="U9" s="62"/>
      <c r="V9" s="62" t="s">
        <v>516</v>
      </c>
      <c r="Z9" s="43" t="str">
        <f aca="false">"D6.scenario.defMeasures['"&amp;C9&amp;"'] = { "&amp;B$2&amp;":"""&amp;B9&amp;""",  "&amp;C$2&amp;":"""&amp;C9&amp;""",  "&amp;D$2&amp;":"""&amp;CLEAN(SUBSTITUTE(D9,"""","'"))&amp;""",  "&amp;I$2&amp;":"""&amp;I9&amp;""",  "&amp;F$2&amp;":"""&amp;F9&amp;""",  "&amp;G$2&amp;":"""&amp;CLEAN(SUBSTITUTE(G9,"""","'"))&amp;""", "&amp;K$2&amp;":"""&amp;K9&amp;""",  "&amp;L$2&amp;":"""&amp;L9&amp;""",  "&amp;M$2&amp;":"""&amp;M9&amp;""",  "&amp;N$2&amp;":"""&amp;N9&amp;""",  "&amp;O$2&amp;":"""&amp;O9&amp;""",  "&amp;P$2&amp;":"""&amp;P9&amp;""",  "&amp;Q$2&amp;":"""&amp;Q9&amp;""",  "&amp;S$2&amp;":"""&amp;CLEAN(SUBSTITUTE(S9,"""","'"))&amp;""",   "&amp;U$2&amp;":"""&amp;U9&amp;""",   "&amp;V$2&amp;":"""&amp;V9&amp;"""};"</f>
        <v>D6.scenario.defMeasures['mTOv2h'] = { mid:"8",  name:"mTOv2h",  title:"電気自動車を家庭用蓄電池として活用する",  easyness:"0.5",  refCons:"consTotal",  titleShort:"V2H", level:"",  figNum:"21",  lifeTime:"6",  price:"1000000",  roanShow:"",  standardType:"",  subsidy :"",  advice:"太陽光発電装置で発電がされた電気のうち、使い切れない分を蓄電しておくことで、家庭の電気をより多くまかなうことができます。蓄電池がなくても余った電気を売電することができますが、通常は購入する電気代のほうが高く、その分お得になります。また非常時には蓄電された電気を使って、家電製品を動かすこともにも活用できます。電気自動車の容量は大きく、連携する装置を購入することで家庭用の蓄電池としても活用することができます。",   lifestyle:"",   season:"wss"};</v>
      </c>
      <c r="AB9" s="20" t="str">
        <f aca="false">"$defMeasures['"&amp;C9&amp;"'] = [ '"&amp;B$2&amp;"'=&gt;"""&amp;B9&amp;""",   '"&amp;D$2&amp;"'=&gt;"""&amp;CLEAN(SUBSTITUTE(D9,"""","'"))&amp;""",  '"&amp;L$2&amp;"'=&gt;"""&amp;L9&amp;""",  '"&amp;S$2&amp;"'=&gt;"""&amp;CLEAN(SUBSTITUTE(S9,"""","'"))&amp;"""];"</f>
        <v>$defMeasures['mTOv2h'] = [ 'mid'=&gt;"8",   'title'=&gt;"電気自動車を家庭用蓄電池として活用する",  'figNum'=&gt;"21",  'advice'=&gt;"太陽光発電装置で発電がされた電気のうち、使い切れない分を蓄電しておくことで、家庭の電気をより多くまかなうことができます。蓄電池がなくても余った電気を売電することができますが、通常は購入する電気代のほうが高く、その分お得になります。また非常時には蓄電された電気を使って、家電製品を動かすこともにも活用できます。電気自動車の容量は大きく、連携する装置を購入することで家庭用の蓄電池としても活用することができます。"];</v>
      </c>
      <c r="AD9" s="62" t="s">
        <v>517</v>
      </c>
    </row>
    <row r="10" customFormat="false" ht="69" hidden="false" customHeight="true" outlineLevel="0" collapsed="false">
      <c r="B10" s="62" t="n">
        <v>10</v>
      </c>
      <c r="C10" s="62" t="s">
        <v>543</v>
      </c>
      <c r="D10" s="5" t="s">
        <v>544</v>
      </c>
      <c r="E10" s="65"/>
      <c r="F10" s="62" t="s">
        <v>224</v>
      </c>
      <c r="G10" s="5" t="s">
        <v>545</v>
      </c>
      <c r="H10" s="65"/>
      <c r="I10" s="5" t="n">
        <v>2</v>
      </c>
      <c r="J10" s="65"/>
      <c r="K10" s="62"/>
      <c r="L10" s="62" t="n">
        <v>25</v>
      </c>
      <c r="M10" s="62"/>
      <c r="N10" s="62"/>
      <c r="O10" s="62"/>
      <c r="P10" s="62"/>
      <c r="Q10" s="5"/>
      <c r="R10" s="65"/>
      <c r="S10" s="5" t="s">
        <v>546</v>
      </c>
      <c r="T10" s="65"/>
      <c r="U10" s="62"/>
      <c r="V10" s="62" t="s">
        <v>516</v>
      </c>
      <c r="Z10" s="43" t="str">
        <f aca="false">"D6.scenario.defMeasures['"&amp;C10&amp;"'] = { "&amp;B$2&amp;":"""&amp;B10&amp;""",  "&amp;C$2&amp;":"""&amp;C10&amp;""",  "&amp;D$2&amp;":"""&amp;CLEAN(SUBSTITUTE(D10,"""","'"))&amp;""",  "&amp;I$2&amp;":"""&amp;I10&amp;""",  "&amp;F$2&amp;":"""&amp;F10&amp;""",  "&amp;G$2&amp;":"""&amp;CLEAN(SUBSTITUTE(G10,"""","'"))&amp;""", "&amp;K$2&amp;":"""&amp;K10&amp;""",  "&amp;L$2&amp;":"""&amp;L10&amp;""",  "&amp;M$2&amp;":"""&amp;M10&amp;""",  "&amp;N$2&amp;":"""&amp;N10&amp;""",  "&amp;O$2&amp;":"""&amp;O10&amp;""",  "&amp;P$2&amp;":"""&amp;P10&amp;""",  "&amp;Q$2&amp;":"""&amp;Q10&amp;""",  "&amp;S$2&amp;":"""&amp;CLEAN(SUBSTITUTE(S10,"""","'"))&amp;""",   "&amp;U$2&amp;":"""&amp;U10&amp;""",   "&amp;V$2&amp;":"""&amp;V10&amp;"""};"</f>
        <v>D6.scenario.defMeasures['mTOzeroelectricity'] = { mid:"10",  name:"mTOzeroelectricity",  title:"CO2排出係数が0の電気を選ぶ",  easyness:"2",  refCons:"consTotal",  titleShort:"脱炭素電力を選ぶ", level:"",  figNum:"25",  lifeTime:"",  price:"",  roanShow:"",  standardType:"",  subsidy :"",  advice:"電力契約をいろいろな会社から選ぶことができます。一般的な電気ではなく、水力や太陽光発電、風力発電など、CO2排出係数がゼロとなる脱炭素電力のメニューも選べるようになっています。電力会社を変えることで、単価が安くなる場合もあります。",   lifestyle:"",   season:"wss"};</v>
      </c>
      <c r="AB10" s="20" t="str">
        <f aca="false">"$defMeasures['"&amp;C10&amp;"'] = [ '"&amp;B$2&amp;"'=&gt;"""&amp;B10&amp;""",   '"&amp;D$2&amp;"'=&gt;"""&amp;CLEAN(SUBSTITUTE(D10,"""","'"))&amp;""",  '"&amp;L$2&amp;"'=&gt;"""&amp;L10&amp;""",  '"&amp;S$2&amp;"'=&gt;"""&amp;CLEAN(SUBSTITUTE(S10,"""","'"))&amp;"""];"</f>
        <v>$defMeasures['mTOzeroelectricity'] = [ 'mid'=&gt;"10",   'title'=&gt;"CO2排出係数が0の電気を選ぶ",  'figNum'=&gt;"25",  'advice'=&gt;"電力契約をいろいろな会社から選ぶことができます。一般的な電気ではなく、水力や太陽光発電、風力発電など、CO2排出係数がゼロとなる脱炭素電力のメニューも選べるようになっています。電力会社を変えることで、単価が安くなる場合もあります。"];</v>
      </c>
      <c r="AD10" s="62" t="s">
        <v>517</v>
      </c>
    </row>
    <row r="11" customFormat="false" ht="69" hidden="false" customHeight="true" outlineLevel="0" collapsed="false">
      <c r="B11" s="62" t="n">
        <v>101</v>
      </c>
      <c r="C11" s="62" t="s">
        <v>547</v>
      </c>
      <c r="D11" s="5" t="s">
        <v>548</v>
      </c>
      <c r="E11" s="65" t="s">
        <v>548</v>
      </c>
      <c r="F11" s="62" t="s">
        <v>228</v>
      </c>
      <c r="G11" s="5" t="s">
        <v>549</v>
      </c>
      <c r="H11" s="65" t="s">
        <v>549</v>
      </c>
      <c r="I11" s="5" t="n">
        <v>2</v>
      </c>
      <c r="J11" s="65" t="n">
        <v>2</v>
      </c>
      <c r="K11" s="62"/>
      <c r="L11" s="62" t="n">
        <v>8</v>
      </c>
      <c r="M11" s="62" t="n">
        <v>10</v>
      </c>
      <c r="N11" s="62" t="n">
        <v>400000</v>
      </c>
      <c r="O11" s="62" t="n">
        <v>1</v>
      </c>
      <c r="P11" s="62" t="s">
        <v>550</v>
      </c>
      <c r="Q11" s="5" t="s">
        <v>551</v>
      </c>
      <c r="R11" s="65"/>
      <c r="S11" s="5" t="s">
        <v>552</v>
      </c>
      <c r="T11" s="65" t="s">
        <v>552</v>
      </c>
      <c r="U11" s="62"/>
      <c r="V11" s="62" t="s">
        <v>516</v>
      </c>
      <c r="Z11" s="43" t="str">
        <f aca="false">"D6.scenario.defMeasures['"&amp;C11&amp;"'] = { "&amp;B$2&amp;":"""&amp;B11&amp;""",  "&amp;C$2&amp;":"""&amp;C11&amp;""",  "&amp;D$2&amp;":"""&amp;CLEAN(SUBSTITUTE(D11,"""","'"))&amp;""",  "&amp;I$2&amp;":"""&amp;I11&amp;""",  "&amp;F$2&amp;":"""&amp;F11&amp;""",  "&amp;G$2&amp;":"""&amp;CLEAN(SUBSTITUTE(G11,"""","'"))&amp;""", "&amp;K$2&amp;":"""&amp;K11&amp;""",  "&amp;L$2&amp;":"""&amp;L11&amp;""",  "&amp;M$2&amp;":"""&amp;M11&amp;""",  "&amp;N$2&amp;":"""&amp;N11&amp;""",  "&amp;O$2&amp;":"""&amp;O11&amp;""",  "&amp;P$2&amp;":"""&amp;P11&amp;""",  "&amp;Q$2&amp;":"""&amp;Q11&amp;""",  "&amp;S$2&amp;":"""&amp;CLEAN(SUBSTITUTE(S11,"""","'"))&amp;""",   "&amp;U$2&amp;":"""&amp;U11&amp;""",   "&amp;V$2&amp;":"""&amp;V11&amp;"""};"</f>
        <v>D6.scenario.defMeasures['mHWecocute'] = { mid:"101",  name:"mHWecocute",  title:"給湯器をエコキュートに買い換える",  easyness:"2",  refCons:"consHWsum",  titleShort:"エコキュート", level:"",  figNum:"8",  lifeTime:"10",  price:"400000",  roanShow:"1",  standardType:"電気温水器",  subsidy :"子育てグリーン住宅支援事業の対象で、他の断熱工事や機器導入を行って補助額が5万円以上になると補助されます。",  advice:"エコキュート(R)（自然冷媒ヒートポンプ給湯器）は、エアコンの室外機のような装置がついており、外気の熱を利用してお湯を沸かすため、電気温水器より3倍以上効率がよくなります。貯湯槽にためたお湯を使い切るような、家族人数が多く、毎日欠かさずお風呂に入る家庭にはお勧めです。&lt;br&gt;　また、ふだんのお湯の使い方を考慮して控えめに沸かす設定をすると、さらに省エネにつながります。",   lifestyle:"",   season:"wss"};</v>
      </c>
      <c r="AB11" s="20" t="str">
        <f aca="false">"$defMeasures['"&amp;C11&amp;"'] = [ '"&amp;B$2&amp;"'=&gt;"""&amp;B11&amp;""",   '"&amp;D$2&amp;"'=&gt;"""&amp;CLEAN(SUBSTITUTE(D11,"""","'"))&amp;""",  '"&amp;L$2&amp;"'=&gt;"""&amp;L11&amp;""",  '"&amp;S$2&amp;"'=&gt;"""&amp;CLEAN(SUBSTITUTE(S11,"""","'"))&amp;"""];"</f>
        <v>$defMeasures['mHWecocute'] = [ 'mid'=&gt;"101",   'title'=&gt;"給湯器をエコキュートに買い換える",  'figNum'=&gt;"8",  'advice'=&gt;"エコキュート(R)（自然冷媒ヒートポンプ給湯器）は、エアコンの室外機のような装置がついており、外気の熱を利用してお湯を沸かすため、電気温水器より3倍以上効率がよくなります。貯湯槽にためたお湯を使い切るような、家族人数が多く、毎日欠かさずお風呂に入る家庭にはお勧めです。&lt;br&gt;　また、ふだんのお湯の使い方を考慮して控えめに沸かす設定をすると、さらに省エネにつながります。"];</v>
      </c>
      <c r="AD11" s="62" t="s">
        <v>553</v>
      </c>
    </row>
    <row r="12" customFormat="false" ht="69" hidden="false" customHeight="true" outlineLevel="0" collapsed="false">
      <c r="B12" s="62" t="n">
        <v>102</v>
      </c>
      <c r="C12" s="62" t="s">
        <v>554</v>
      </c>
      <c r="D12" s="5" t="s">
        <v>555</v>
      </c>
      <c r="E12" s="65" t="s">
        <v>556</v>
      </c>
      <c r="F12" s="62" t="s">
        <v>228</v>
      </c>
      <c r="G12" s="5" t="s">
        <v>557</v>
      </c>
      <c r="H12" s="65" t="s">
        <v>557</v>
      </c>
      <c r="I12" s="5" t="n">
        <v>2</v>
      </c>
      <c r="J12" s="65" t="n">
        <v>2</v>
      </c>
      <c r="K12" s="62"/>
      <c r="L12" s="62" t="n">
        <v>10</v>
      </c>
      <c r="M12" s="62" t="n">
        <v>10</v>
      </c>
      <c r="N12" s="62" t="n">
        <v>200000</v>
      </c>
      <c r="O12" s="62"/>
      <c r="P12" s="62" t="s">
        <v>558</v>
      </c>
      <c r="Q12" s="5" t="s">
        <v>551</v>
      </c>
      <c r="R12" s="65"/>
      <c r="S12" s="5" t="s">
        <v>559</v>
      </c>
      <c r="T12" s="65" t="s">
        <v>560</v>
      </c>
      <c r="U12" s="62"/>
      <c r="V12" s="62" t="s">
        <v>516</v>
      </c>
      <c r="Z12" s="43" t="str">
        <f aca="false">"D6.scenario.defMeasures['"&amp;C12&amp;"'] = { "&amp;B$2&amp;":"""&amp;B12&amp;""",  "&amp;C$2&amp;":"""&amp;C12&amp;""",  "&amp;D$2&amp;":"""&amp;CLEAN(SUBSTITUTE(D12,"""","'"))&amp;""",  "&amp;I$2&amp;":"""&amp;I12&amp;""",  "&amp;F$2&amp;":"""&amp;F12&amp;""",  "&amp;G$2&amp;":"""&amp;CLEAN(SUBSTITUTE(G12,"""","'"))&amp;""", "&amp;K$2&amp;":"""&amp;K12&amp;""",  "&amp;L$2&amp;":"""&amp;L12&amp;""",  "&amp;M$2&amp;":"""&amp;M12&amp;""",  "&amp;N$2&amp;":"""&amp;N12&amp;""",  "&amp;O$2&amp;":"""&amp;O12&amp;""",  "&amp;P$2&amp;":"""&amp;P12&amp;""",  "&amp;Q$2&amp;":"""&amp;Q12&amp;""",  "&amp;S$2&amp;":"""&amp;CLEAN(SUBSTITUTE(S12,"""","'"))&amp;""",   "&amp;U$2&amp;":"""&amp;U12&amp;""",   "&amp;V$2&amp;":"""&amp;V12&amp;"""};"</f>
        <v>D6.scenario.defMeasures['mHWecojoze'] = { mid:"102",  name:"mHWecojoze",  title:"給湯器をエコジョーズ（潜熱回収型ガス給湯器）に買い換える",  easyness:"2",  refCons:"consHWsum",  titleShort:"エコジョーズ", level:"",  figNum:"10",  lifeTime:"10",  price:"200000",  roanShow:"",  standardType:"既存型",  subsidy :"子育てグリーン住宅支援事業の対象で、他の断熱工事や機器導入を行って補助額が5万円以上になると補助されます。",  advice:"エコジョーズ(R)（潜熱回収型）は、水蒸気として逃げていた熱も回収する仕組みのため、既存のガス給湯器に比べて効率が1割以上向上しています。既存のガス給湯器とほぼ同じ形で置き換えが可能です。熱を回収する際に発生する水を流すドレンがついており、マンションなど排水口が近くにない場合には、工事が必要となる場合があります。ガス会社によってはエコジョーズ料金により、ガス代が割り引かれる場合もあります。",   lifestyle:"",   season:"wss"};</v>
      </c>
      <c r="AB12" s="20" t="str">
        <f aca="false">"$defMeasures['"&amp;C12&amp;"'] = [ '"&amp;B$2&amp;"'=&gt;"""&amp;B12&amp;""",   '"&amp;D$2&amp;"'=&gt;"""&amp;CLEAN(SUBSTITUTE(D12,"""","'"))&amp;""",  '"&amp;L$2&amp;"'=&gt;"""&amp;L12&amp;""",  '"&amp;S$2&amp;"'=&gt;"""&amp;CLEAN(SUBSTITUTE(S12,"""","'"))&amp;"""];"</f>
        <v>$defMeasures['mHWecojoze'] = [ 'mid'=&gt;"102",   'title'=&gt;"給湯器をエコジョーズ（潜熱回収型ガス給湯器）に買い換える",  'figNum'=&gt;"10",  'advice'=&gt;"エコジョーズ(R)（潜熱回収型）は、水蒸気として逃げていた熱も回収する仕組みのため、既存のガス給湯器に比べて効率が1割以上向上しています。既存のガス給湯器とほぼ同じ形で置き換えが可能です。熱を回収する際に発生する水を流すドレンがついており、マンションなど排水口が近くにない場合には、工事が必要となる場合があります。ガス会社によってはエコジョーズ料金により、ガス代が割り引かれる場合もあります。"];</v>
      </c>
      <c r="AD12" s="62" t="s">
        <v>561</v>
      </c>
    </row>
    <row r="13" customFormat="false" ht="69" hidden="false" customHeight="true" outlineLevel="0" collapsed="false">
      <c r="B13" s="62" t="n">
        <v>103</v>
      </c>
      <c r="C13" s="62" t="s">
        <v>562</v>
      </c>
      <c r="D13" s="5" t="s">
        <v>563</v>
      </c>
      <c r="E13" s="65" t="s">
        <v>564</v>
      </c>
      <c r="F13" s="62" t="s">
        <v>228</v>
      </c>
      <c r="G13" s="5" t="s">
        <v>565</v>
      </c>
      <c r="H13" s="65" t="s">
        <v>565</v>
      </c>
      <c r="I13" s="5" t="n">
        <v>1</v>
      </c>
      <c r="J13" s="65" t="n">
        <v>1</v>
      </c>
      <c r="K13" s="62"/>
      <c r="L13" s="62" t="n">
        <v>10</v>
      </c>
      <c r="M13" s="62" t="n">
        <v>10</v>
      </c>
      <c r="N13" s="62" t="n">
        <v>250000</v>
      </c>
      <c r="O13" s="62"/>
      <c r="P13" s="62" t="s">
        <v>558</v>
      </c>
      <c r="Q13" s="5" t="s">
        <v>551</v>
      </c>
      <c r="R13" s="65"/>
      <c r="S13" s="5" t="s">
        <v>566</v>
      </c>
      <c r="T13" s="65" t="s">
        <v>567</v>
      </c>
      <c r="U13" s="62"/>
      <c r="V13" s="62" t="s">
        <v>516</v>
      </c>
      <c r="Z13" s="43" t="str">
        <f aca="false">"D6.scenario.defMeasures['"&amp;C13&amp;"'] = { "&amp;B$2&amp;":"""&amp;B13&amp;""",  "&amp;C$2&amp;":"""&amp;C13&amp;""",  "&amp;D$2&amp;":"""&amp;CLEAN(SUBSTITUTE(D13,"""","'"))&amp;""",  "&amp;I$2&amp;":"""&amp;I13&amp;""",  "&amp;F$2&amp;":"""&amp;F13&amp;""",  "&amp;G$2&amp;":"""&amp;CLEAN(SUBSTITUTE(G13,"""","'"))&amp;""", "&amp;K$2&amp;":"""&amp;K13&amp;""",  "&amp;L$2&amp;":"""&amp;L13&amp;""",  "&amp;M$2&amp;":"""&amp;M13&amp;""",  "&amp;N$2&amp;":"""&amp;N13&amp;""",  "&amp;O$2&amp;":"""&amp;O13&amp;""",  "&amp;P$2&amp;":"""&amp;P13&amp;""",  "&amp;Q$2&amp;":"""&amp;Q13&amp;""",  "&amp;S$2&amp;":"""&amp;CLEAN(SUBSTITUTE(S13,"""","'"))&amp;""",   "&amp;U$2&amp;":"""&amp;U13&amp;""",   "&amp;V$2&amp;":"""&amp;V13&amp;"""};"</f>
        <v>D6.scenario.defMeasures['mHWecofeel'] = { mid:"103",  name:"mHWecofeel",  title:"給湯器をエコフィール（潜熱回収型灯油給湯器）に買い換える",  easyness:"1",  refCons:"consHWsum",  titleShort:"エコフィール", level:"",  figNum:"10",  lifeTime:"10",  price:"250000",  roanShow:"",  standardType:"既存型",  subsidy :"子育てグリーン住宅支援事業の対象で、他の断熱工事や機器導入を行って補助額が5万円以上になると補助されます。",  advice:"エコフィール(R)（潜熱回収型）は、水蒸気として逃げていた熱も回収する仕組みのため、効率が1割以上向上しています。既存の灯油ボイラーとほぼ同じ形で、交換ができます。灯油ではなくガスのタイプは「エコジョース」といいます。",   lifestyle:"",   season:"wss"};</v>
      </c>
      <c r="AB13" s="20" t="str">
        <f aca="false">"$defMeasures['"&amp;C13&amp;"'] = [ '"&amp;B$2&amp;"'=&gt;"""&amp;B13&amp;""",   '"&amp;D$2&amp;"'=&gt;"""&amp;CLEAN(SUBSTITUTE(D13,"""","'"))&amp;""",  '"&amp;L$2&amp;"'=&gt;"""&amp;L13&amp;""",  '"&amp;S$2&amp;"'=&gt;"""&amp;CLEAN(SUBSTITUTE(S13,"""","'"))&amp;"""];"</f>
        <v>$defMeasures['mHWecofeel'] = [ 'mid'=&gt;"103",   'title'=&gt;"給湯器をエコフィール（潜熱回収型灯油給湯器）に買い換える",  'figNum'=&gt;"10",  'advice'=&gt;"エコフィール(R)（潜熱回収型）は、水蒸気として逃げていた熱も回収する仕組みのため、効率が1割以上向上しています。既存の灯油ボイラーとほぼ同じ形で、交換ができます。灯油ではなくガスのタイプは「エコジョース」といいます。"];</v>
      </c>
      <c r="AD13" s="62" t="s">
        <v>568</v>
      </c>
    </row>
    <row r="14" customFormat="false" ht="69" hidden="false" customHeight="true" outlineLevel="0" collapsed="false">
      <c r="B14" s="62" t="n">
        <v>104</v>
      </c>
      <c r="C14" s="62" t="s">
        <v>569</v>
      </c>
      <c r="D14" s="5" t="s">
        <v>570</v>
      </c>
      <c r="E14" s="65" t="s">
        <v>571</v>
      </c>
      <c r="F14" s="62" t="s">
        <v>228</v>
      </c>
      <c r="G14" s="5" t="s">
        <v>572</v>
      </c>
      <c r="H14" s="65" t="s">
        <v>573</v>
      </c>
      <c r="I14" s="5" t="n">
        <v>0.5</v>
      </c>
      <c r="J14" s="65" t="n">
        <v>0.5</v>
      </c>
      <c r="K14" s="62" t="n">
        <v>5</v>
      </c>
      <c r="L14" s="62" t="n">
        <v>10</v>
      </c>
      <c r="M14" s="62" t="n">
        <v>10</v>
      </c>
      <c r="N14" s="62" t="n">
        <v>1100000</v>
      </c>
      <c r="O14" s="62" t="n">
        <v>1</v>
      </c>
      <c r="P14" s="62" t="s">
        <v>557</v>
      </c>
      <c r="Q14" s="5"/>
      <c r="R14" s="65"/>
      <c r="S14" s="5" t="s">
        <v>574</v>
      </c>
      <c r="T14" s="65" t="s">
        <v>574</v>
      </c>
      <c r="U14" s="62"/>
      <c r="V14" s="62" t="s">
        <v>516</v>
      </c>
      <c r="Z14" s="43" t="str">
        <f aca="false">"D6.scenario.defMeasures['"&amp;C14&amp;"'] = { "&amp;B$2&amp;":"""&amp;B14&amp;""",  "&amp;C$2&amp;":"""&amp;C14&amp;""",  "&amp;D$2&amp;":"""&amp;CLEAN(SUBSTITUTE(D14,"""","'"))&amp;""",  "&amp;I$2&amp;":"""&amp;I14&amp;""",  "&amp;F$2&amp;":"""&amp;F14&amp;""",  "&amp;G$2&amp;":"""&amp;CLEAN(SUBSTITUTE(G14,"""","'"))&amp;""", "&amp;K$2&amp;":"""&amp;K14&amp;""",  "&amp;L$2&amp;":"""&amp;L14&amp;""",  "&amp;M$2&amp;":"""&amp;M14&amp;""",  "&amp;N$2&amp;":"""&amp;N14&amp;""",  "&amp;O$2&amp;":"""&amp;O14&amp;""",  "&amp;P$2&amp;":"""&amp;P14&amp;""",  "&amp;Q$2&amp;":"""&amp;Q14&amp;""",  "&amp;S$2&amp;":"""&amp;CLEAN(SUBSTITUTE(S14,"""","'"))&amp;""",   "&amp;U$2&amp;":"""&amp;U14&amp;""",   "&amp;V$2&amp;":"""&amp;V14&amp;"""};"</f>
        <v>D6.scenario.defMeasures['mHWenefarmSOFC'] = { mid:"104",  name:"mHWenefarmSOFC",  title:"給湯器をSOFCタイプのエネファーム（燃料電池）に買い換える",  easyness:"0.5",  refCons:"consHWsum",  titleShort:"エネファームSOFC", level:"5",  figNum:"10",  lifeTime:"10",  price:"1100000",  roanShow:"1",  standardType:"エコジョーズ",  subsidy :"",  advice:"エネファーム(R)は、燃料電池で発電をしながらお湯をわかす効率がよい装置です。家庭で消費する電気の分だけ発電を行い、発生した余熱をお湯としてためて利用することができます。電気やお湯をたくさん使う家庭で、大きな省エネ効果が期待できます。SOFCタイプは、さらに発電効率が高くなってり、お湯の発生量が少ないため、比較的お湯を使わない家庭でも効果がでます。発電を行うため、停電時にも一定の電気を取り出すことが可能となっています。",   lifestyle:"",   season:"wss"};</v>
      </c>
      <c r="AB14" s="20" t="str">
        <f aca="false">"$defMeasures['"&amp;C14&amp;"'] = [ '"&amp;B$2&amp;"'=&gt;"""&amp;B14&amp;""",   '"&amp;D$2&amp;"'=&gt;"""&amp;CLEAN(SUBSTITUTE(D14,"""","'"))&amp;""",  '"&amp;L$2&amp;"'=&gt;"""&amp;L14&amp;""",  '"&amp;S$2&amp;"'=&gt;"""&amp;CLEAN(SUBSTITUTE(S14,"""","'"))&amp;"""];"</f>
        <v>$defMeasures['mHWenefarmSOFC'] = [ 'mid'=&gt;"104",   'title'=&gt;"給湯器をSOFCタイプのエネファーム（燃料電池）に買い換える",  'figNum'=&gt;"10",  'advice'=&gt;"エネファーム(R)は、燃料電池で発電をしながらお湯をわかす効率がよい装置です。家庭で消費する電気の分だけ発電を行い、発生した余熱をお湯としてためて利用することができます。電気やお湯をたくさん使う家庭で、大きな省エネ効果が期待できます。SOFCタイプは、さらに発電効率が高くなってり、お湯の発生量が少ないため、比較的お湯を使わない家庭でも効果がでます。発電を行うため、停電時にも一定の電気を取り出すことが可能となっています。"];</v>
      </c>
      <c r="AD14" s="62" t="s">
        <v>575</v>
      </c>
    </row>
    <row r="15" customFormat="false" ht="69" hidden="false" customHeight="true" outlineLevel="0" collapsed="false">
      <c r="B15" s="62" t="n">
        <v>105</v>
      </c>
      <c r="C15" s="62" t="s">
        <v>576</v>
      </c>
      <c r="D15" s="5" t="s">
        <v>571</v>
      </c>
      <c r="E15" s="65" t="s">
        <v>571</v>
      </c>
      <c r="F15" s="62" t="s">
        <v>228</v>
      </c>
      <c r="G15" s="5" t="s">
        <v>573</v>
      </c>
      <c r="H15" s="65" t="s">
        <v>573</v>
      </c>
      <c r="I15" s="5" t="n">
        <v>0.5</v>
      </c>
      <c r="J15" s="65" t="n">
        <v>0.5</v>
      </c>
      <c r="K15" s="62" t="n">
        <v>5</v>
      </c>
      <c r="L15" s="62" t="n">
        <v>10</v>
      </c>
      <c r="M15" s="62" t="n">
        <v>10</v>
      </c>
      <c r="N15" s="62" t="n">
        <v>900000</v>
      </c>
      <c r="O15" s="62" t="n">
        <v>1</v>
      </c>
      <c r="P15" s="62" t="s">
        <v>557</v>
      </c>
      <c r="Q15" s="5"/>
      <c r="R15" s="65"/>
      <c r="S15" s="5" t="s">
        <v>577</v>
      </c>
      <c r="T15" s="65" t="s">
        <v>574</v>
      </c>
      <c r="U15" s="62"/>
      <c r="V15" s="62" t="s">
        <v>516</v>
      </c>
      <c r="Z15" s="43" t="str">
        <f aca="false">"D6.scenario.defMeasures['"&amp;C15&amp;"'] = { "&amp;B$2&amp;":"""&amp;B15&amp;""",  "&amp;C$2&amp;":"""&amp;C15&amp;""",  "&amp;D$2&amp;":"""&amp;CLEAN(SUBSTITUTE(D15,"""","'"))&amp;""",  "&amp;I$2&amp;":"""&amp;I15&amp;""",  "&amp;F$2&amp;":"""&amp;F15&amp;""",  "&amp;G$2&amp;":"""&amp;CLEAN(SUBSTITUTE(G15,"""","'"))&amp;""", "&amp;K$2&amp;":"""&amp;K15&amp;""",  "&amp;L$2&amp;":"""&amp;L15&amp;""",  "&amp;M$2&amp;":"""&amp;M15&amp;""",  "&amp;N$2&amp;":"""&amp;N15&amp;""",  "&amp;O$2&amp;":"""&amp;O15&amp;""",  "&amp;P$2&amp;":"""&amp;P15&amp;""",  "&amp;Q$2&amp;":"""&amp;Q15&amp;""",  "&amp;S$2&amp;":"""&amp;CLEAN(SUBSTITUTE(S15,"""","'"))&amp;""",   "&amp;U$2&amp;":"""&amp;U15&amp;""",   "&amp;V$2&amp;":"""&amp;V15&amp;"""};"</f>
        <v>D6.scenario.defMeasures['mHWenefarm'] = { mid:"105",  name:"mHWenefarm",  title:"給湯器をエネファーム（燃料電池）に買い換える",  easyness:"0.5",  refCons:"consHWsum",  titleShort:"エネファーム", level:"5",  figNum:"10",  lifeTime:"10",  price:"900000",  roanShow:"1",  standardType:"エコジョーズ",  subsidy :"",  advice:"エネファーム(R)は、燃料電池で発電をしながらお湯をわかす効率がよい装置です。家庭で消費する電気の分だけ発電を行い、発生した余熱をお湯としてためて利用することができます。電気やお湯をたくさん使う家庭で、大きな省エネ効果が期待できます。",   lifestyle:"",   season:"wss"};</v>
      </c>
      <c r="AB15" s="20" t="str">
        <f aca="false">"$defMeasures['"&amp;C15&amp;"'] = [ '"&amp;B$2&amp;"'=&gt;"""&amp;B15&amp;""",   '"&amp;D$2&amp;"'=&gt;"""&amp;CLEAN(SUBSTITUTE(D15,"""","'"))&amp;""",  '"&amp;L$2&amp;"'=&gt;"""&amp;L15&amp;""",  '"&amp;S$2&amp;"'=&gt;"""&amp;CLEAN(SUBSTITUTE(S15,"""","'"))&amp;"""];"</f>
        <v>$defMeasures['mHWenefarm'] = [ 'mid'=&gt;"105",   'title'=&gt;"給湯器をエネファーム（燃料電池）に買い換える",  'figNum'=&gt;"10",  'advice'=&gt;"エネファーム(R)は、燃料電池で発電をしながらお湯をわかす効率がよい装置です。家庭で消費する電気の分だけ発電を行い、発生した余熱をお湯としてためて利用することができます。電気やお湯をたくさん使う家庭で、大きな省エネ効果が期待できます。"];</v>
      </c>
      <c r="AD15" s="62" t="s">
        <v>575</v>
      </c>
    </row>
    <row r="16" customFormat="false" ht="69" hidden="false" customHeight="true" outlineLevel="0" collapsed="false">
      <c r="B16" s="62" t="n">
        <v>106</v>
      </c>
      <c r="C16" s="62" t="s">
        <v>578</v>
      </c>
      <c r="D16" s="5" t="s">
        <v>579</v>
      </c>
      <c r="E16" s="65" t="s">
        <v>579</v>
      </c>
      <c r="F16" s="62" t="s">
        <v>228</v>
      </c>
      <c r="G16" s="5" t="s">
        <v>580</v>
      </c>
      <c r="H16" s="65" t="s">
        <v>580</v>
      </c>
      <c r="I16" s="5" t="n">
        <v>1</v>
      </c>
      <c r="J16" s="65" t="n">
        <v>1</v>
      </c>
      <c r="K16" s="62"/>
      <c r="L16" s="62" t="n">
        <v>9</v>
      </c>
      <c r="M16" s="62" t="n">
        <v>10</v>
      </c>
      <c r="N16" s="62" t="n">
        <v>400000</v>
      </c>
      <c r="O16" s="62"/>
      <c r="P16" s="62"/>
      <c r="Q16" s="5"/>
      <c r="R16" s="65"/>
      <c r="S16" s="5" t="s">
        <v>581</v>
      </c>
      <c r="T16" s="65" t="s">
        <v>581</v>
      </c>
      <c r="U16" s="62"/>
      <c r="V16" s="62" t="s">
        <v>516</v>
      </c>
      <c r="Z16" s="43" t="str">
        <f aca="false">"D6.scenario.defMeasures['"&amp;C16&amp;"'] = { "&amp;B$2&amp;":"""&amp;B16&amp;""",  "&amp;C$2&amp;":"""&amp;C16&amp;""",  "&amp;D$2&amp;":"""&amp;CLEAN(SUBSTITUTE(D16,"""","'"))&amp;""",  "&amp;I$2&amp;":"""&amp;I16&amp;""",  "&amp;F$2&amp;":"""&amp;F16&amp;""",  "&amp;G$2&amp;":"""&amp;CLEAN(SUBSTITUTE(G16,"""","'"))&amp;""", "&amp;K$2&amp;":"""&amp;K16&amp;""",  "&amp;L$2&amp;":"""&amp;L16&amp;""",  "&amp;M$2&amp;":"""&amp;M16&amp;""",  "&amp;N$2&amp;":"""&amp;N16&amp;""",  "&amp;O$2&amp;":"""&amp;O16&amp;""",  "&amp;P$2&amp;":"""&amp;P16&amp;""",  "&amp;Q$2&amp;":"""&amp;Q16&amp;""",  "&amp;S$2&amp;":"""&amp;CLEAN(SUBSTITUTE(S16,"""","'"))&amp;""",   "&amp;U$2&amp;":"""&amp;U16&amp;""",   "&amp;V$2&amp;":"""&amp;V16&amp;"""};"</f>
        <v>D6.scenario.defMeasures['mHWsolarHeater'] = { mid:"106",  name:"mHWsolarHeater",  title:"太陽熱温水器（自然循環式）を設置して利用する",  easyness:"1",  refCons:"consHWsum",  titleShort:"太陽熱温水器", level:"",  figNum:"9",  lifeTime:"10",  price:"400000",  roanShow:"",  standardType:"",  subsidy :"",  advice:"暖かい時期の晴れた日なら、太陽の熱で沸かしたお湯だけでお風呂に入ることができます。冬でも加温することで利用することができ、お湯のエネルギー消費を大幅に減らせます。比較的簡単なしくみでお湯をわかすことができ、有効な温暖化対策として、世界中で利用が拡大しています。",   lifestyle:"",   season:"wss"};</v>
      </c>
      <c r="AB16" s="20" t="str">
        <f aca="false">"$defMeasures['"&amp;C16&amp;"'] = [ '"&amp;B$2&amp;"'=&gt;"""&amp;B16&amp;""",   '"&amp;D$2&amp;"'=&gt;"""&amp;CLEAN(SUBSTITUTE(D16,"""","'"))&amp;""",  '"&amp;L$2&amp;"'=&gt;"""&amp;L16&amp;""",  '"&amp;S$2&amp;"'=&gt;"""&amp;CLEAN(SUBSTITUTE(S16,"""","'"))&amp;"""];"</f>
        <v>$defMeasures['mHWsolarHeater'] = [ 'mid'=&gt;"106",   'title'=&gt;"太陽熱温水器（自然循環式）を設置して利用する",  'figNum'=&gt;"9",  'advice'=&gt;"暖かい時期の晴れた日なら、太陽の熱で沸かしたお湯だけでお風呂に入ることができます。冬でも加温することで利用することができ、お湯のエネルギー消費を大幅に減らせます。比較的簡単なしくみでお湯をわかすことができ、有効な温暖化対策として、世界中で利用が拡大しています。"];</v>
      </c>
      <c r="AD16" s="62" t="s">
        <v>582</v>
      </c>
    </row>
    <row r="17" customFormat="false" ht="69" hidden="false" customHeight="true" outlineLevel="0" collapsed="false">
      <c r="B17" s="62" t="n">
        <v>107</v>
      </c>
      <c r="C17" s="62" t="s">
        <v>583</v>
      </c>
      <c r="D17" s="5" t="s">
        <v>584</v>
      </c>
      <c r="E17" s="65" t="s">
        <v>584</v>
      </c>
      <c r="F17" s="62" t="s">
        <v>228</v>
      </c>
      <c r="G17" s="5" t="s">
        <v>585</v>
      </c>
      <c r="H17" s="65" t="s">
        <v>585</v>
      </c>
      <c r="I17" s="5" t="n">
        <v>1</v>
      </c>
      <c r="J17" s="65" t="n">
        <v>1</v>
      </c>
      <c r="K17" s="62"/>
      <c r="L17" s="62" t="n">
        <v>9</v>
      </c>
      <c r="M17" s="62" t="n">
        <v>10</v>
      </c>
      <c r="N17" s="62" t="n">
        <v>600000</v>
      </c>
      <c r="O17" s="62"/>
      <c r="P17" s="62"/>
      <c r="Q17" s="5" t="s">
        <v>551</v>
      </c>
      <c r="R17" s="65"/>
      <c r="S17" s="5" t="s">
        <v>586</v>
      </c>
      <c r="T17" s="65" t="s">
        <v>586</v>
      </c>
      <c r="U17" s="62"/>
      <c r="V17" s="62" t="s">
        <v>516</v>
      </c>
      <c r="Z17" s="43" t="str">
        <f aca="false">"D6.scenario.defMeasures['"&amp;C17&amp;"'] = { "&amp;B$2&amp;":"""&amp;B17&amp;""",  "&amp;C$2&amp;":"""&amp;C17&amp;""",  "&amp;D$2&amp;":"""&amp;CLEAN(SUBSTITUTE(D17,"""","'"))&amp;""",  "&amp;I$2&amp;":"""&amp;I17&amp;""",  "&amp;F$2&amp;":"""&amp;F17&amp;""",  "&amp;G$2&amp;":"""&amp;CLEAN(SUBSTITUTE(G17,"""","'"))&amp;""", "&amp;K$2&amp;":"""&amp;K17&amp;""",  "&amp;L$2&amp;":"""&amp;L17&amp;""",  "&amp;M$2&amp;":"""&amp;M17&amp;""",  "&amp;N$2&amp;":"""&amp;N17&amp;""",  "&amp;O$2&amp;":"""&amp;O17&amp;""",  "&amp;P$2&amp;":"""&amp;P17&amp;""",  "&amp;Q$2&amp;":"""&amp;Q17&amp;""",  "&amp;S$2&amp;":"""&amp;CLEAN(SUBSTITUTE(S17,"""","'"))&amp;""",   "&amp;U$2&amp;":"""&amp;U17&amp;""",   "&amp;V$2&amp;":"""&amp;V17&amp;"""};"</f>
        <v>D6.scenario.defMeasures['mHWsolarSystem'] = { mid:"107",  name:"mHWsolarSystem",  title:"ソーラーシステム（強制循環式）を設置して利用する",  easyness:"1",  refCons:"consHWsum",  titleShort:"ソーラーシステム", level:"",  figNum:"9",  lifeTime:"10",  price:"600000",  roanShow:"",  standardType:"",  subsidy :"子育てグリーン住宅支援事業の対象で、他の断熱工事や機器導入を行って補助額が5万円以上になると補助されます。",  advice:"貯湯タンクを地上に置いて利用する太陽熱温水器です。屋根にタンクがないので、負荷がかかりません。暖かい時期の晴れた日なら、太陽の熱で沸かしたお湯だけでお風呂に入ることができます。冬でも加温することで利用することができ、お湯のエネルギー消費を大幅に減らせます。比較的簡単なしくみでお湯をわかすことができ、有効な温暖化対策として、世界中で利用が拡大しています。",   lifestyle:"",   season:"wss"};</v>
      </c>
      <c r="AB17" s="20" t="str">
        <f aca="false">"$defMeasures['"&amp;C17&amp;"'] = [ '"&amp;B$2&amp;"'=&gt;"""&amp;B17&amp;""",   '"&amp;D$2&amp;"'=&gt;"""&amp;CLEAN(SUBSTITUTE(D17,"""","'"))&amp;""",  '"&amp;L$2&amp;"'=&gt;"""&amp;L17&amp;""",  '"&amp;S$2&amp;"'=&gt;"""&amp;CLEAN(SUBSTITUTE(S17,"""","'"))&amp;"""];"</f>
        <v>$defMeasures['mHWsolarSystem'] = [ 'mid'=&gt;"107",   'title'=&gt;"ソーラーシステム（強制循環式）を設置して利用する",  'figNum'=&gt;"9",  'advice'=&gt;"貯湯タンクを地上に置いて利用する太陽熱温水器です。屋根にタンクがないので、負荷がかかりません。暖かい時期の晴れた日なら、太陽の熱で沸かしたお湯だけでお風呂に入ることができます。冬でも加温することで利用することができ、お湯のエネルギー消費を大幅に減らせます。比較的簡単なしくみでお湯をわかすことができ、有効な温暖化対策として、世界中で利用が拡大しています。"];</v>
      </c>
      <c r="AD17" s="62" t="s">
        <v>587</v>
      </c>
    </row>
    <row r="18" customFormat="false" ht="69" hidden="false" customHeight="true" outlineLevel="0" collapsed="false">
      <c r="B18" s="62" t="n">
        <v>108</v>
      </c>
      <c r="C18" s="62" t="s">
        <v>588</v>
      </c>
      <c r="D18" s="5" t="s">
        <v>589</v>
      </c>
      <c r="E18" s="65" t="s">
        <v>589</v>
      </c>
      <c r="F18" s="62" t="s">
        <v>232</v>
      </c>
      <c r="G18" s="5" t="s">
        <v>590</v>
      </c>
      <c r="H18" s="65" t="s">
        <v>590</v>
      </c>
      <c r="I18" s="5" t="n">
        <v>5</v>
      </c>
      <c r="J18" s="65" t="n">
        <v>5</v>
      </c>
      <c r="K18" s="62"/>
      <c r="L18" s="62" t="n">
        <v>11</v>
      </c>
      <c r="M18" s="62" t="n">
        <v>10</v>
      </c>
      <c r="N18" s="62" t="n">
        <v>3000</v>
      </c>
      <c r="O18" s="62"/>
      <c r="P18" s="62"/>
      <c r="Q18" s="5"/>
      <c r="R18" s="65"/>
      <c r="S18" s="5" t="s">
        <v>591</v>
      </c>
      <c r="T18" s="65" t="s">
        <v>591</v>
      </c>
      <c r="U18" s="62" t="n">
        <v>1</v>
      </c>
      <c r="V18" s="62" t="s">
        <v>516</v>
      </c>
      <c r="Z18" s="43" t="str">
        <f aca="false">"D6.scenario.defMeasures['"&amp;C18&amp;"'] = { "&amp;B$2&amp;":"""&amp;B18&amp;""",  "&amp;C$2&amp;":"""&amp;C18&amp;""",  "&amp;D$2&amp;":"""&amp;CLEAN(SUBSTITUTE(D18,"""","'"))&amp;""",  "&amp;I$2&amp;":"""&amp;I18&amp;""",  "&amp;F$2&amp;":"""&amp;F18&amp;""",  "&amp;G$2&amp;":"""&amp;CLEAN(SUBSTITUTE(G18,"""","'"))&amp;""", "&amp;K$2&amp;":"""&amp;K18&amp;""",  "&amp;L$2&amp;":"""&amp;L18&amp;""",  "&amp;M$2&amp;":"""&amp;M18&amp;""",  "&amp;N$2&amp;":"""&amp;N18&amp;""",  "&amp;O$2&amp;":"""&amp;O18&amp;""",  "&amp;P$2&amp;":"""&amp;P18&amp;""",  "&amp;Q$2&amp;":"""&amp;Q18&amp;""",  "&amp;S$2&amp;":"""&amp;CLEAN(SUBSTITUTE(S18,"""","'"))&amp;""",   "&amp;U$2&amp;":"""&amp;U18&amp;""",   "&amp;V$2&amp;":"""&amp;V18&amp;"""};"</f>
        <v>D6.scenario.defMeasures['mHWshowerHead'] = { mid:"108",  name:"mHWshowerHead",  title:"節水シャワーヘッドを取り付けて利用する",  easyness:"5",  refCons:"consHWshower",  titleShort:"節水シャワーヘッド", level:"",  figNum:"11",  lifeTime:"10",  price:"3000",  roanShow:"",  standardType:"",  subsidy :"",  advice:"シャワーの持ち手（ヘッド）の部分を取り替えることができるようになっています。お湯が出る穴を小さくしてあり、勢いよくお湯が出てくるほか、手元で止水できるものもあり、3割程度お湯の利用を減らすことができます。ホームセンターや家電量販店などで購入できます。",   lifestyle:"1",   season:"wss"};</v>
      </c>
      <c r="AB18" s="20" t="str">
        <f aca="false">"$defMeasures['"&amp;C18&amp;"'] = [ '"&amp;B$2&amp;"'=&gt;"""&amp;B18&amp;""",   '"&amp;D$2&amp;"'=&gt;"""&amp;CLEAN(SUBSTITUTE(D18,"""","'"))&amp;""",  '"&amp;L$2&amp;"'=&gt;"""&amp;L18&amp;""",  '"&amp;S$2&amp;"'=&gt;"""&amp;CLEAN(SUBSTITUTE(S18,"""","'"))&amp;"""];"</f>
        <v>$defMeasures['mHWshowerHead'] = [ 'mid'=&gt;"108",   'title'=&gt;"節水シャワーヘッドを取り付けて利用する",  'figNum'=&gt;"11",  'advice'=&gt;"シャワーの持ち手（ヘッド）の部分を取り替えることができるようになっています。お湯が出る穴を小さくしてあり、勢いよくお湯が出てくるほか、手元で止水できるものもあり、3割程度お湯の利用を減らすことができます。ホームセンターや家電量販店などで購入できます。"];</v>
      </c>
      <c r="AD18" s="62" t="s">
        <v>592</v>
      </c>
    </row>
    <row r="19" customFormat="false" ht="69" hidden="false" customHeight="true" outlineLevel="0" collapsed="false">
      <c r="B19" s="62" t="n">
        <v>109</v>
      </c>
      <c r="C19" s="62" t="s">
        <v>593</v>
      </c>
      <c r="D19" s="5" t="s">
        <v>594</v>
      </c>
      <c r="E19" s="65" t="s">
        <v>594</v>
      </c>
      <c r="F19" s="62" t="s">
        <v>232</v>
      </c>
      <c r="G19" s="5" t="s">
        <v>595</v>
      </c>
      <c r="H19" s="65" t="s">
        <v>595</v>
      </c>
      <c r="I19" s="5" t="n">
        <v>4</v>
      </c>
      <c r="J19" s="65" t="n">
        <v>4</v>
      </c>
      <c r="K19" s="62"/>
      <c r="L19" s="62" t="n">
        <v>11</v>
      </c>
      <c r="M19" s="62"/>
      <c r="N19" s="62"/>
      <c r="O19" s="62"/>
      <c r="P19" s="62"/>
      <c r="Q19" s="5"/>
      <c r="R19" s="65"/>
      <c r="S19" s="5" t="s">
        <v>596</v>
      </c>
      <c r="T19" s="65" t="s">
        <v>596</v>
      </c>
      <c r="U19" s="62" t="n">
        <v>1</v>
      </c>
      <c r="V19" s="62" t="s">
        <v>516</v>
      </c>
      <c r="Z19" s="43" t="str">
        <f aca="false">"D6.scenario.defMeasures['"&amp;C19&amp;"'] = { "&amp;B$2&amp;":"""&amp;B19&amp;""",  "&amp;C$2&amp;":"""&amp;C19&amp;""",  "&amp;D$2&amp;":"""&amp;CLEAN(SUBSTITUTE(D19,"""","'"))&amp;""",  "&amp;I$2&amp;":"""&amp;I19&amp;""",  "&amp;F$2&amp;":"""&amp;F19&amp;""",  "&amp;G$2&amp;":"""&amp;CLEAN(SUBSTITUTE(G19,"""","'"))&amp;""", "&amp;K$2&amp;":"""&amp;K19&amp;""",  "&amp;L$2&amp;":"""&amp;L19&amp;""",  "&amp;M$2&amp;":"""&amp;M19&amp;""",  "&amp;N$2&amp;":"""&amp;N19&amp;""",  "&amp;O$2&amp;":"""&amp;O19&amp;""",  "&amp;P$2&amp;":"""&amp;P19&amp;""",  "&amp;Q$2&amp;":"""&amp;Q19&amp;""",  "&amp;S$2&amp;":"""&amp;CLEAN(SUBSTITUTE(S19,"""","'"))&amp;""",   "&amp;U$2&amp;":"""&amp;U19&amp;""",   "&amp;V$2&amp;":"""&amp;V19&amp;"""};"</f>
        <v>D6.scenario.defMeasures['mHWshowerTime'] = { mid:"109",  name:"mHWshowerTime",  title:"シャワーの利用を1人1日1分短くする",  easyness:"4",  refCons:"consHWshower",  titleShort:"シャワー1人1分短縮", level:"",  figNum:"11",  lifeTime:"",  price:"",  roanShow:"",  standardType:"",  subsidy :"",  advice:"シャワーのエネルギー消費はとても大きく、お湯を出している状態で、テレビ300台分のエネルギーが消費されます。少し止めるだけでも大きな削減になります。身体を洗っているときには止めるなど、利用時間を減らすよう気を付けましょう。",   lifestyle:"1",   season:"wss"};</v>
      </c>
      <c r="AB19" s="20" t="str">
        <f aca="false">"$defMeasures['"&amp;C19&amp;"'] = [ '"&amp;B$2&amp;"'=&gt;"""&amp;B19&amp;""",   '"&amp;D$2&amp;"'=&gt;"""&amp;CLEAN(SUBSTITUTE(D19,"""","'"))&amp;""",  '"&amp;L$2&amp;"'=&gt;"""&amp;L19&amp;""",  '"&amp;S$2&amp;"'=&gt;"""&amp;CLEAN(SUBSTITUTE(S19,"""","'"))&amp;"""];"</f>
        <v>$defMeasures['mHWshowerTime'] = [ 'mid'=&gt;"109",   'title'=&gt;"シャワーの利用を1人1日1分短くする",  'figNum'=&gt;"11",  'advice'=&gt;"シャワーのエネルギー消費はとても大きく、お湯を出している状態で、テレビ300台分のエネルギーが消費されます。少し止めるだけでも大きな削減になります。身体を洗っているときには止めるなど、利用時間を減らすよう気を付けましょう。"];</v>
      </c>
      <c r="AD19" s="62" t="s">
        <v>597</v>
      </c>
    </row>
    <row r="20" customFormat="false" ht="69" hidden="false" customHeight="true" outlineLevel="0" collapsed="false">
      <c r="B20" s="62" t="n">
        <v>110</v>
      </c>
      <c r="C20" s="62" t="s">
        <v>598</v>
      </c>
      <c r="D20" s="5" t="s">
        <v>599</v>
      </c>
      <c r="E20" s="65" t="s">
        <v>599</v>
      </c>
      <c r="F20" s="62" t="s">
        <v>232</v>
      </c>
      <c r="G20" s="5" t="s">
        <v>600</v>
      </c>
      <c r="H20" s="65" t="s">
        <v>600</v>
      </c>
      <c r="I20" s="5" t="n">
        <v>3</v>
      </c>
      <c r="J20" s="65" t="n">
        <v>3</v>
      </c>
      <c r="K20" s="62"/>
      <c r="L20" s="62" t="n">
        <v>11</v>
      </c>
      <c r="M20" s="62"/>
      <c r="N20" s="62"/>
      <c r="O20" s="62"/>
      <c r="P20" s="62"/>
      <c r="Q20" s="5"/>
      <c r="R20" s="65"/>
      <c r="S20" s="5" t="s">
        <v>596</v>
      </c>
      <c r="T20" s="65" t="s">
        <v>596</v>
      </c>
      <c r="U20" s="62" t="n">
        <v>1</v>
      </c>
      <c r="V20" s="62" t="s">
        <v>516</v>
      </c>
      <c r="Z20" s="43" t="str">
        <f aca="false">"D6.scenario.defMeasures['"&amp;C20&amp;"'] = { "&amp;B$2&amp;":"""&amp;B20&amp;""",  "&amp;C$2&amp;":"""&amp;C20&amp;""",  "&amp;D$2&amp;":"""&amp;CLEAN(SUBSTITUTE(D20,"""","'"))&amp;""",  "&amp;I$2&amp;":"""&amp;I20&amp;""",  "&amp;F$2&amp;":"""&amp;F20&amp;""",  "&amp;G$2&amp;":"""&amp;CLEAN(SUBSTITUTE(G20,"""","'"))&amp;""", "&amp;K$2&amp;":"""&amp;K20&amp;""",  "&amp;L$2&amp;":"""&amp;L20&amp;""",  "&amp;M$2&amp;":"""&amp;M20&amp;""",  "&amp;N$2&amp;":"""&amp;N20&amp;""",  "&amp;O$2&amp;":"""&amp;O20&amp;""",  "&amp;P$2&amp;":"""&amp;P20&amp;""",  "&amp;Q$2&amp;":"""&amp;Q20&amp;""",  "&amp;S$2&amp;":"""&amp;CLEAN(SUBSTITUTE(S20,"""","'"))&amp;""",   "&amp;U$2&amp;":"""&amp;U20&amp;""",   "&amp;V$2&amp;":"""&amp;V20&amp;"""};"</f>
        <v>D6.scenario.defMeasures['mHWshowerTime30'] = { mid:"110",  name:"mHWshowerTime30",  title:"シャワーの利用時間を3割短くする",  easyness:"3",  refCons:"consHWshower",  titleShort:"シャワー3割短縮", level:"",  figNum:"11",  lifeTime:"",  price:"",  roanShow:"",  standardType:"",  subsidy :"",  advice:"シャワーのエネルギー消費はとても大きく、お湯を出している状態で、テレビ300台分のエネルギーが消費されます。少し止めるだけでも大きな削減になります。身体を洗っているときには止めるなど、利用時間を減らすよう気を付けましょう。",   lifestyle:"1",   season:"wss"};</v>
      </c>
      <c r="AB20" s="20" t="str">
        <f aca="false">"$defMeasures['"&amp;C20&amp;"'] = [ '"&amp;B$2&amp;"'=&gt;"""&amp;B20&amp;""",   '"&amp;D$2&amp;"'=&gt;"""&amp;CLEAN(SUBSTITUTE(D20,"""","'"))&amp;""",  '"&amp;L$2&amp;"'=&gt;"""&amp;L20&amp;""",  '"&amp;S$2&amp;"'=&gt;"""&amp;CLEAN(SUBSTITUTE(S20,"""","'"))&amp;"""];"</f>
        <v>$defMeasures['mHWshowerTime30'] = [ 'mid'=&gt;"110",   'title'=&gt;"シャワーの利用時間を3割短くする",  'figNum'=&gt;"11",  'advice'=&gt;"シャワーのエネルギー消費はとても大きく、お湯を出している状態で、テレビ300台分のエネルギーが消費されます。少し止めるだけでも大きな削減になります。身体を洗っているときには止めるなど、利用時間を減らすよう気を付けましょう。"];</v>
      </c>
      <c r="AD20" s="62" t="s">
        <v>597</v>
      </c>
    </row>
    <row r="21" customFormat="false" ht="69" hidden="false" customHeight="true" outlineLevel="0" collapsed="false">
      <c r="B21" s="62" t="n">
        <v>111</v>
      </c>
      <c r="C21" s="62" t="s">
        <v>601</v>
      </c>
      <c r="D21" s="5" t="s">
        <v>602</v>
      </c>
      <c r="E21" s="65" t="s">
        <v>602</v>
      </c>
      <c r="F21" s="62" t="s">
        <v>230</v>
      </c>
      <c r="G21" s="5" t="s">
        <v>603</v>
      </c>
      <c r="H21" s="65" t="s">
        <v>603</v>
      </c>
      <c r="I21" s="5" t="n">
        <v>3</v>
      </c>
      <c r="J21" s="65" t="n">
        <v>3</v>
      </c>
      <c r="K21" s="62"/>
      <c r="L21" s="62" t="n">
        <v>12</v>
      </c>
      <c r="M21" s="62"/>
      <c r="N21" s="62"/>
      <c r="O21" s="62"/>
      <c r="P21" s="62"/>
      <c r="Q21" s="5"/>
      <c r="R21" s="65"/>
      <c r="S21" s="5" t="s">
        <v>604</v>
      </c>
      <c r="T21" s="65" t="s">
        <v>604</v>
      </c>
      <c r="U21" s="62" t="n">
        <v>1</v>
      </c>
      <c r="V21" s="62" t="s">
        <v>516</v>
      </c>
      <c r="Z21" s="43" t="str">
        <f aca="false">"D6.scenario.defMeasures['"&amp;C21&amp;"'] = { "&amp;B$2&amp;":"""&amp;B21&amp;""",  "&amp;C$2&amp;":"""&amp;C21&amp;""",  "&amp;D$2&amp;":"""&amp;CLEAN(SUBSTITUTE(D21,"""","'"))&amp;""",  "&amp;I$2&amp;":"""&amp;I21&amp;""",  "&amp;F$2&amp;":"""&amp;F21&amp;""",  "&amp;G$2&amp;":"""&amp;CLEAN(SUBSTITUTE(G21,"""","'"))&amp;""", "&amp;K$2&amp;":"""&amp;K21&amp;""",  "&amp;L$2&amp;":"""&amp;L21&amp;""",  "&amp;M$2&amp;":"""&amp;M21&amp;""",  "&amp;N$2&amp;":"""&amp;N21&amp;""",  "&amp;O$2&amp;":"""&amp;O21&amp;""",  "&amp;P$2&amp;":"""&amp;P21&amp;""",  "&amp;Q$2&amp;":"""&amp;Q21&amp;""",  "&amp;S$2&amp;":"""&amp;CLEAN(SUBSTITUTE(S21,"""","'"))&amp;""",   "&amp;U$2&amp;":"""&amp;U21&amp;""",   "&amp;V$2&amp;":"""&amp;V21&amp;"""};"</f>
        <v>D6.scenario.defMeasures['mHWkeep'] = { mid:"111",  name:"mHWkeep",  title:"風呂に家族が続けて入り追い焚きをしない",  easyness:"3",  refCons:"consHWtub",  titleShort:"風呂の保温をしない", level:"",  figNum:"12",  lifeTime:"",  price:"",  roanShow:"",  standardType:"",  subsidy :"",  advice:"追い焚きでは、風呂のお湯をいちど外に出し、給湯器まで送る必要があります。この間に冷えてしまい、余分なエネルギーがかかります。追い焚き機能を使わずに、続けてはいることが大きな削減になります。また浴槽に蓋をすることでも、冷めにくくすることもできます。",   lifestyle:"1",   season:"wss"};</v>
      </c>
      <c r="AB21" s="20" t="str">
        <f aca="false">"$defMeasures['"&amp;C21&amp;"'] = [ '"&amp;B$2&amp;"'=&gt;"""&amp;B21&amp;""",   '"&amp;D$2&amp;"'=&gt;"""&amp;CLEAN(SUBSTITUTE(D21,"""","'"))&amp;""",  '"&amp;L$2&amp;"'=&gt;"""&amp;L21&amp;""",  '"&amp;S$2&amp;"'=&gt;"""&amp;CLEAN(SUBSTITUTE(S21,"""","'"))&amp;"""];"</f>
        <v>$defMeasures['mHWkeep'] = [ 'mid'=&gt;"111",   'title'=&gt;"風呂に家族が続けて入り追い焚きをしない",  'figNum'=&gt;"12",  'advice'=&gt;"追い焚きでは、風呂のお湯をいちど外に出し、給湯器まで送る必要があります。この間に冷えてしまい、余分なエネルギーがかかります。追い焚き機能を使わずに、続けてはいることが大きな削減になります。また浴槽に蓋をすることでも、冷めにくくすることもできます。"];</v>
      </c>
      <c r="AD21" s="62" t="s">
        <v>605</v>
      </c>
    </row>
    <row r="22" customFormat="false" ht="69" hidden="false" customHeight="true" outlineLevel="0" collapsed="false">
      <c r="B22" s="62" t="n">
        <v>112</v>
      </c>
      <c r="C22" s="62" t="s">
        <v>606</v>
      </c>
      <c r="D22" s="5" t="s">
        <v>607</v>
      </c>
      <c r="E22" s="65" t="s">
        <v>607</v>
      </c>
      <c r="F22" s="62" t="s">
        <v>228</v>
      </c>
      <c r="G22" s="5" t="s">
        <v>608</v>
      </c>
      <c r="H22" s="65" t="s">
        <v>608</v>
      </c>
      <c r="I22" s="5" t="n">
        <v>3</v>
      </c>
      <c r="J22" s="65" t="n">
        <v>3</v>
      </c>
      <c r="K22" s="62"/>
      <c r="L22" s="62" t="n">
        <v>8</v>
      </c>
      <c r="M22" s="62"/>
      <c r="N22" s="62"/>
      <c r="O22" s="62"/>
      <c r="P22" s="62"/>
      <c r="Q22" s="5"/>
      <c r="R22" s="65"/>
      <c r="S22" s="5" t="s">
        <v>609</v>
      </c>
      <c r="T22" s="65" t="s">
        <v>609</v>
      </c>
      <c r="U22" s="62" t="n">
        <v>1</v>
      </c>
      <c r="V22" s="62" t="s">
        <v>516</v>
      </c>
      <c r="Z22" s="43" t="str">
        <f aca="false">"D6.scenario.defMeasures['"&amp;C22&amp;"'] = { "&amp;B$2&amp;":"""&amp;B22&amp;""",  "&amp;C$2&amp;":"""&amp;C22&amp;""",  "&amp;D$2&amp;":"""&amp;CLEAN(SUBSTITUTE(D22,"""","'"))&amp;""",  "&amp;I$2&amp;":"""&amp;I22&amp;""",  "&amp;F$2&amp;":"""&amp;F22&amp;""",  "&amp;G$2&amp;":"""&amp;CLEAN(SUBSTITUTE(G22,"""","'"))&amp;""", "&amp;K$2&amp;":"""&amp;K22&amp;""",  "&amp;L$2&amp;":"""&amp;L22&amp;""",  "&amp;M$2&amp;":"""&amp;M22&amp;""",  "&amp;N$2&amp;":"""&amp;N22&amp;""",  "&amp;O$2&amp;":"""&amp;O22&amp;""",  "&amp;P$2&amp;":"""&amp;P22&amp;""",  "&amp;Q$2&amp;":"""&amp;Q22&amp;""",  "&amp;S$2&amp;":"""&amp;CLEAN(SUBSTITUTE(S22,"""","'"))&amp;""",   "&amp;U$2&amp;":"""&amp;U22&amp;""",   "&amp;V$2&amp;":"""&amp;V22&amp;"""};"</f>
        <v>D6.scenario.defMeasures['mHWsaveMode'] = { mid:"112",  name:"mHWsaveMode",  title:"エコキュートを「節約モード」に設定する",  easyness:"3",  refCons:"consHWsum",  titleShort:"給湯節約モード", level:"",  figNum:"8",  lifeTime:"",  price:"",  roanShow:"",  standardType:"",  subsidy :"",  advice:"エコキュートは夜間に沸かす湯量の設定ができるようになっています。お湯切れがないように余裕に沸かすと、保温時のロスが大きくなります。通常の使い方をする日で、特に湯切れなどない場合には、節約モードに設定することで、省エネになります。",   lifestyle:"1",   season:"wss"};</v>
      </c>
      <c r="AB22" s="20" t="str">
        <f aca="false">"$defMeasures['"&amp;C22&amp;"'] = [ '"&amp;B$2&amp;"'=&gt;"""&amp;B22&amp;""",   '"&amp;D$2&amp;"'=&gt;"""&amp;CLEAN(SUBSTITUTE(D22,"""","'"))&amp;""",  '"&amp;L$2&amp;"'=&gt;"""&amp;L22&amp;""",  '"&amp;S$2&amp;"'=&gt;"""&amp;CLEAN(SUBSTITUTE(S22,"""","'"))&amp;"""];"</f>
        <v>$defMeasures['mHWsaveMode'] = [ 'mid'=&gt;"112",   'title'=&gt;"エコキュートを「節約モード」に設定する",  'figNum'=&gt;"8",  'advice'=&gt;"エコキュートは夜間に沸かす湯量の設定ができるようになっています。お湯切れがないように余裕に沸かすと、保温時のロスが大きくなります。通常の使い方をする日で、特に湯切れなどない場合には、節約モードに設定することで、省エネになります。"];</v>
      </c>
      <c r="AD22" s="62" t="s">
        <v>610</v>
      </c>
    </row>
    <row r="23" customFormat="false" ht="69" hidden="false" customHeight="true" outlineLevel="0" collapsed="false">
      <c r="B23" s="62" t="n">
        <v>113</v>
      </c>
      <c r="C23" s="62" t="s">
        <v>611</v>
      </c>
      <c r="D23" s="5" t="s">
        <v>612</v>
      </c>
      <c r="E23" s="65" t="s">
        <v>612</v>
      </c>
      <c r="F23" s="62" t="s">
        <v>230</v>
      </c>
      <c r="G23" s="5" t="s">
        <v>613</v>
      </c>
      <c r="H23" s="65" t="s">
        <v>613</v>
      </c>
      <c r="I23" s="5" t="n">
        <v>3</v>
      </c>
      <c r="J23" s="65" t="n">
        <v>3</v>
      </c>
      <c r="K23" s="62"/>
      <c r="L23" s="62" t="n">
        <v>12</v>
      </c>
      <c r="M23" s="62"/>
      <c r="N23" s="62"/>
      <c r="O23" s="62"/>
      <c r="P23" s="62"/>
      <c r="Q23" s="5"/>
      <c r="R23" s="65"/>
      <c r="S23" s="5" t="s">
        <v>614</v>
      </c>
      <c r="T23" s="65" t="s">
        <v>614</v>
      </c>
      <c r="U23" s="62" t="n">
        <v>1</v>
      </c>
      <c r="V23" s="62" t="s">
        <v>516</v>
      </c>
      <c r="Z23" s="43" t="str">
        <f aca="false">"D6.scenario.defMeasures['"&amp;C23&amp;"'] = { "&amp;B$2&amp;":"""&amp;B23&amp;""",  "&amp;C$2&amp;":"""&amp;C23&amp;""",  "&amp;D$2&amp;":"""&amp;CLEAN(SUBSTITUTE(D23,"""","'"))&amp;""",  "&amp;I$2&amp;":"""&amp;I23&amp;""",  "&amp;F$2&amp;":"""&amp;F23&amp;""",  "&amp;G$2&amp;":"""&amp;CLEAN(SUBSTITUTE(G23,"""","'"))&amp;""", "&amp;K$2&amp;":"""&amp;K23&amp;""",  "&amp;L$2&amp;":"""&amp;L23&amp;""",  "&amp;M$2&amp;":"""&amp;M23&amp;""",  "&amp;N$2&amp;":"""&amp;N23&amp;""",  "&amp;O$2&amp;":"""&amp;O23&amp;""",  "&amp;P$2&amp;":"""&amp;P23&amp;""",  "&amp;Q$2&amp;":"""&amp;Q23&amp;""",  "&amp;S$2&amp;":"""&amp;CLEAN(SUBSTITUTE(S23,"""","'"))&amp;""",   "&amp;U$2&amp;":"""&amp;U23&amp;""",   "&amp;V$2&amp;":"""&amp;V23&amp;"""};"</f>
        <v>D6.scenario.defMeasures['mHWstopAutoKeep'] = { mid:"113",  name:"mHWstopAutoKeep",  title:"自動保温を続けるのでなく、次の人が入る直前に沸かし直す",  easyness:"3",  refCons:"consHWtub",  titleShort:"自動保温をしない", level:"",  figNum:"12",  lifeTime:"",  price:"",  roanShow:"",  standardType:"",  subsidy :"",  advice:"自動保温では、頻繁に風呂のお湯を屋外の給湯器まで送り出して温めるため、配管部分の熱の無駄が大きくなります。続けて入ることで保温しなくてもすみますが、時間があいて冷めてしまう場合には自動保温をせず、後から入る直前に温め直すことで省エネになります。",   lifestyle:"1",   season:"wss"};</v>
      </c>
      <c r="AB23" s="20" t="str">
        <f aca="false">"$defMeasures['"&amp;C23&amp;"'] = [ '"&amp;B$2&amp;"'=&gt;"""&amp;B23&amp;""",   '"&amp;D$2&amp;"'=&gt;"""&amp;CLEAN(SUBSTITUTE(D23,"""","'"))&amp;""",  '"&amp;L$2&amp;"'=&gt;"""&amp;L23&amp;""",  '"&amp;S$2&amp;"'=&gt;"""&amp;CLEAN(SUBSTITUTE(S23,"""","'"))&amp;"""];"</f>
        <v>$defMeasures['mHWstopAutoKeep'] = [ 'mid'=&gt;"113",   'title'=&gt;"自動保温を続けるのでなく、次の人が入る直前に沸かし直す",  'figNum'=&gt;"12",  'advice'=&gt;"自動保温では、頻繁に風呂のお湯を屋外の給湯器まで送り出して温めるため、配管部分の熱の無駄が大きくなります。続けて入ることで保温しなくてもすみますが、時間があいて冷めてしまう場合には自動保温をせず、後から入る直前に温め直すことで省エネになります。"];</v>
      </c>
      <c r="AD23" s="62" t="s">
        <v>615</v>
      </c>
    </row>
    <row r="24" customFormat="false" ht="69" hidden="false" customHeight="true" outlineLevel="0" collapsed="false">
      <c r="B24" s="62" t="n">
        <v>114</v>
      </c>
      <c r="C24" s="62" t="s">
        <v>616</v>
      </c>
      <c r="D24" s="5" t="s">
        <v>617</v>
      </c>
      <c r="E24" s="65" t="s">
        <v>617</v>
      </c>
      <c r="F24" s="62" t="s">
        <v>230</v>
      </c>
      <c r="G24" s="5" t="s">
        <v>618</v>
      </c>
      <c r="H24" s="65" t="s">
        <v>618</v>
      </c>
      <c r="I24" s="5" t="n">
        <v>1</v>
      </c>
      <c r="J24" s="65" t="n">
        <v>1</v>
      </c>
      <c r="K24" s="62"/>
      <c r="L24" s="62" t="n">
        <v>12</v>
      </c>
      <c r="M24" s="62" t="n">
        <v>10</v>
      </c>
      <c r="N24" s="62" t="n">
        <v>600000</v>
      </c>
      <c r="O24" s="62"/>
      <c r="P24" s="62" t="s">
        <v>619</v>
      </c>
      <c r="Q24" s="5" t="s">
        <v>551</v>
      </c>
      <c r="R24" s="65"/>
      <c r="S24" s="5" t="s">
        <v>620</v>
      </c>
      <c r="T24" s="65" t="s">
        <v>620</v>
      </c>
      <c r="U24" s="62"/>
      <c r="V24" s="62" t="s">
        <v>516</v>
      </c>
      <c r="Z24" s="43" t="str">
        <f aca="false">"D6.scenario.defMeasures['"&amp;C24&amp;"'] = { "&amp;B$2&amp;":"""&amp;B24&amp;""",  "&amp;C$2&amp;":"""&amp;C24&amp;""",  "&amp;D$2&amp;":"""&amp;CLEAN(SUBSTITUTE(D24,"""","'"))&amp;""",  "&amp;I$2&amp;":"""&amp;I24&amp;""",  "&amp;F$2&amp;":"""&amp;F24&amp;""",  "&amp;G$2&amp;":"""&amp;CLEAN(SUBSTITUTE(G24,"""","'"))&amp;""", "&amp;K$2&amp;":"""&amp;K24&amp;""",  "&amp;L$2&amp;":"""&amp;L24&amp;""",  "&amp;M$2&amp;":"""&amp;M24&amp;""",  "&amp;N$2&amp;":"""&amp;N24&amp;""",  "&amp;O$2&amp;":"""&amp;O24&amp;""",  "&amp;P$2&amp;":"""&amp;P24&amp;""",  "&amp;Q$2&amp;":"""&amp;Q24&amp;""",  "&amp;S$2&amp;":"""&amp;CLEAN(SUBSTITUTE(S24,"""","'"))&amp;""",   "&amp;U$2&amp;":"""&amp;U24&amp;""",   "&amp;V$2&amp;":"""&amp;V24&amp;"""};"</f>
        <v>D6.scenario.defMeasures['mHWinsulation'] = { mid:"114",  name:"mHWinsulation",  title:"断熱型の浴槽にリフォームする",  easyness:"1",  refCons:"consHWtub",  titleShort:"断熱浴槽", level:"",  figNum:"12",  lifeTime:"10",  price:"600000",  roanShow:"",  standardType:"普及型",  subsidy :"子育てグリーン住宅支援事業の対象で、他の断熱工事や機器導入を行って補助額が5万円以上になると補助されます。",  advice:"浴槽が発泡スチロールなどの断熱材で覆われており、お湯が冷めにくくなっているタイプが増えています。浴槽のリフォーム工事が必要になりますが、冷めにくい分、追い焚きをしなくてすみます。あわせて、浴室もユニットバスにすると、浴室全体からの熱も逃げにくくなります。",   lifestyle:"",   season:"wss"};</v>
      </c>
      <c r="AB24" s="20" t="str">
        <f aca="false">"$defMeasures['"&amp;C24&amp;"'] = [ '"&amp;B$2&amp;"'=&gt;"""&amp;B24&amp;""",   '"&amp;D$2&amp;"'=&gt;"""&amp;CLEAN(SUBSTITUTE(D24,"""","'"))&amp;""",  '"&amp;L$2&amp;"'=&gt;"""&amp;L24&amp;""",  '"&amp;S$2&amp;"'=&gt;"""&amp;CLEAN(SUBSTITUTE(S24,"""","'"))&amp;"""];"</f>
        <v>$defMeasures['mHWinsulation'] = [ 'mid'=&gt;"114",   'title'=&gt;"断熱型の浴槽にリフォームする",  'figNum'=&gt;"12",  'advice'=&gt;"浴槽が発泡スチロールなどの断熱材で覆われており、お湯が冷めにくくなっているタイプが増えています。浴槽のリフォーム工事が必要になりますが、冷めにくい分、追い焚きをしなくてすみます。あわせて、浴室もユニットバスにすると、浴室全体からの熱も逃げにくくなります。"];</v>
      </c>
      <c r="AD24" s="62" t="s">
        <v>621</v>
      </c>
    </row>
    <row r="25" customFormat="false" ht="69" hidden="false" customHeight="true" outlineLevel="0" collapsed="false">
      <c r="B25" s="62" t="n">
        <v>115</v>
      </c>
      <c r="C25" s="62" t="s">
        <v>622</v>
      </c>
      <c r="D25" s="5" t="s">
        <v>623</v>
      </c>
      <c r="E25" s="65" t="s">
        <v>623</v>
      </c>
      <c r="F25" s="62" t="s">
        <v>230</v>
      </c>
      <c r="G25" s="5" t="s">
        <v>624</v>
      </c>
      <c r="H25" s="65" t="s">
        <v>624</v>
      </c>
      <c r="I25" s="5" t="n">
        <v>3</v>
      </c>
      <c r="J25" s="65" t="n">
        <v>3</v>
      </c>
      <c r="K25" s="62"/>
      <c r="L25" s="62" t="n">
        <v>11</v>
      </c>
      <c r="M25" s="62"/>
      <c r="N25" s="62"/>
      <c r="O25" s="62"/>
      <c r="P25" s="62"/>
      <c r="Q25" s="5"/>
      <c r="R25" s="65"/>
      <c r="S25" s="5" t="s">
        <v>625</v>
      </c>
      <c r="T25" s="65" t="s">
        <v>625</v>
      </c>
      <c r="U25" s="62" t="n">
        <v>1</v>
      </c>
      <c r="V25" s="62" t="s">
        <v>516</v>
      </c>
      <c r="Z25" s="43" t="str">
        <f aca="false">"D6.scenario.defMeasures['"&amp;C25&amp;"'] = { "&amp;B$2&amp;":"""&amp;B25&amp;""",  "&amp;C$2&amp;":"""&amp;C25&amp;""",  "&amp;D$2&amp;":"""&amp;CLEAN(SUBSTITUTE(D25,"""","'"))&amp;""",  "&amp;I$2&amp;":"""&amp;I25&amp;""",  "&amp;F$2&amp;":"""&amp;F25&amp;""",  "&amp;G$2&amp;":"""&amp;CLEAN(SUBSTITUTE(G25,"""","'"))&amp;""", "&amp;K$2&amp;":"""&amp;K25&amp;""",  "&amp;L$2&amp;":"""&amp;L25&amp;""",  "&amp;M$2&amp;":"""&amp;M25&amp;""",  "&amp;N$2&amp;":"""&amp;N25&amp;""",  "&amp;O$2&amp;":"""&amp;O25&amp;""",  "&amp;P$2&amp;":"""&amp;P25&amp;""",  "&amp;Q$2&amp;":"""&amp;Q25&amp;""",  "&amp;S$2&amp;":"""&amp;CLEAN(SUBSTITUTE(S25,"""","'"))&amp;""",   "&amp;U$2&amp;":"""&amp;U25&amp;""",   "&amp;V$2&amp;":"""&amp;V25&amp;"""};"</f>
        <v>D6.scenario.defMeasures['mHWonlyShower'] = { mid:"115",  name:"mHWonlyShower",  title:"夏場はシャワーだけですませて浴槽にお湯を張らない",  easyness:"3",  refCons:"consHWtub",  titleShort:"夏に浴槽のお湯をためない", level:"",  figNum:"11",  lifeTime:"",  price:"",  roanShow:"",  standardType:"",  subsidy :"",  advice:"浴槽のお湯の量は、シャワーを使っている時間に換算すると10～20分に相当します。自動湯張りをせずに、浴槽のお湯だけを使って体を洗う使い方ではかえってエネルギー消費が増える場合もありますが、シャワーを併用している場合には浴槽の分が削減になります。",   lifestyle:"1",   season:"wss"};</v>
      </c>
      <c r="AB25" s="20" t="str">
        <f aca="false">"$defMeasures['"&amp;C25&amp;"'] = [ '"&amp;B$2&amp;"'=&gt;"""&amp;B25&amp;""",   '"&amp;D$2&amp;"'=&gt;"""&amp;CLEAN(SUBSTITUTE(D25,"""","'"))&amp;""",  '"&amp;L$2&amp;"'=&gt;"""&amp;L25&amp;""",  '"&amp;S$2&amp;"'=&gt;"""&amp;CLEAN(SUBSTITUTE(S25,"""","'"))&amp;"""];"</f>
        <v>$defMeasures['mHWonlyShower'] = [ 'mid'=&gt;"115",   'title'=&gt;"夏場はシャワーだけですませて浴槽にお湯を張らない",  'figNum'=&gt;"11",  'advice'=&gt;"浴槽のお湯の量は、シャワーを使っている時間に換算すると10～20分に相当します。自動湯張りをせずに、浴槽のお湯だけを使って体を洗う使い方ではかえってエネルギー消費が増える場合もありますが、シャワーを併用している場合には浴槽の分が削減になります。"];</v>
      </c>
      <c r="AD25" s="62" t="s">
        <v>626</v>
      </c>
    </row>
    <row r="26" customFormat="false" ht="69" hidden="false" customHeight="true" outlineLevel="0" collapsed="false">
      <c r="B26" s="62" t="n">
        <v>116</v>
      </c>
      <c r="C26" s="62" t="s">
        <v>627</v>
      </c>
      <c r="D26" s="5" t="s">
        <v>628</v>
      </c>
      <c r="E26" s="65" t="s">
        <v>628</v>
      </c>
      <c r="F26" s="62" t="s">
        <v>234</v>
      </c>
      <c r="G26" s="5" t="s">
        <v>629</v>
      </c>
      <c r="H26" s="65" t="s">
        <v>629</v>
      </c>
      <c r="I26" s="5" t="n">
        <v>2</v>
      </c>
      <c r="J26" s="65" t="n">
        <v>2</v>
      </c>
      <c r="K26" s="62"/>
      <c r="L26" s="62" t="n">
        <v>13</v>
      </c>
      <c r="M26" s="62"/>
      <c r="N26" s="62"/>
      <c r="O26" s="62"/>
      <c r="P26" s="62"/>
      <c r="Q26" s="5"/>
      <c r="R26" s="65"/>
      <c r="S26" s="5" t="s">
        <v>630</v>
      </c>
      <c r="T26" s="65" t="s">
        <v>630</v>
      </c>
      <c r="U26" s="62" t="n">
        <v>1</v>
      </c>
      <c r="V26" s="62" t="s">
        <v>516</v>
      </c>
      <c r="Z26" s="43" t="str">
        <f aca="false">"D6.scenario.defMeasures['"&amp;C26&amp;"'] = { "&amp;B$2&amp;":"""&amp;B26&amp;""",  "&amp;C$2&amp;":"""&amp;C26&amp;""",  "&amp;D$2&amp;":"""&amp;CLEAN(SUBSTITUTE(D26,"""","'"))&amp;""",  "&amp;I$2&amp;":"""&amp;I26&amp;""",  "&amp;F$2&amp;":"""&amp;F26&amp;""",  "&amp;G$2&amp;":"""&amp;CLEAN(SUBSTITUTE(G26,"""","'"))&amp;""", "&amp;K$2&amp;":"""&amp;K26&amp;""",  "&amp;L$2&amp;":"""&amp;L26&amp;""",  "&amp;M$2&amp;":"""&amp;M26&amp;""",  "&amp;N$2&amp;":"""&amp;N26&amp;""",  "&amp;O$2&amp;":"""&amp;O26&amp;""",  "&amp;P$2&amp;":"""&amp;P26&amp;""",  "&amp;Q$2&amp;":"""&amp;Q26&amp;""",  "&amp;S$2&amp;":"""&amp;CLEAN(SUBSTITUTE(S26,"""","'"))&amp;""",   "&amp;U$2&amp;":"""&amp;U26&amp;""",   "&amp;V$2&amp;":"""&amp;V26&amp;"""};"</f>
        <v>D6.scenario.defMeasures['mHWdishTank'] = { mid:"116",  name:"mHWdishTank",  title:"食器洗いでお湯を流しっぱなしにしない",  easyness:"2",  refCons:"consHWdishwash",  titleShort:"食器流し洗い", level:"",  figNum:"13",  lifeTime:"",  price:"",  roanShow:"",  standardType:"",  subsidy :"",  advice:"洗剤で洗っているときにはお湯を止めるなど、なるべくお湯を出す時間を短く工夫してください。油汚れは古布等で先にふき取っておくと、すすぎも早く済みます。",   lifestyle:"1",   season:"wss"};</v>
      </c>
      <c r="AB26" s="20" t="str">
        <f aca="false">"$defMeasures['"&amp;C26&amp;"'] = [ '"&amp;B$2&amp;"'=&gt;"""&amp;B26&amp;""",   '"&amp;D$2&amp;"'=&gt;"""&amp;CLEAN(SUBSTITUTE(D26,"""","'"))&amp;""",  '"&amp;L$2&amp;"'=&gt;"""&amp;L26&amp;""",  '"&amp;S$2&amp;"'=&gt;"""&amp;CLEAN(SUBSTITUTE(S26,"""","'"))&amp;"""];"</f>
        <v>$defMeasures['mHWdishTank'] = [ 'mid'=&gt;"116",   'title'=&gt;"食器洗いでお湯を流しっぱなしにしない",  'figNum'=&gt;"13",  'advice'=&gt;"洗剤で洗っているときにはお湯を止めるなど、なるべくお湯を出す時間を短く工夫してください。油汚れは古布等で先にふき取っておくと、すすぎも早く済みます。"];</v>
      </c>
      <c r="AD26" s="62" t="s">
        <v>631</v>
      </c>
    </row>
    <row r="27" customFormat="false" ht="69" hidden="false" customHeight="true" outlineLevel="0" collapsed="false">
      <c r="B27" s="62" t="n">
        <v>117</v>
      </c>
      <c r="C27" s="62" t="s">
        <v>632</v>
      </c>
      <c r="D27" s="5" t="s">
        <v>633</v>
      </c>
      <c r="E27" s="65" t="s">
        <v>633</v>
      </c>
      <c r="F27" s="62" t="s">
        <v>234</v>
      </c>
      <c r="G27" s="5" t="s">
        <v>634</v>
      </c>
      <c r="H27" s="65" t="s">
        <v>634</v>
      </c>
      <c r="I27" s="5" t="n">
        <v>2</v>
      </c>
      <c r="J27" s="65" t="n">
        <v>2</v>
      </c>
      <c r="K27" s="62"/>
      <c r="L27" s="62" t="n">
        <v>13</v>
      </c>
      <c r="M27" s="62"/>
      <c r="N27" s="62"/>
      <c r="O27" s="62"/>
      <c r="P27" s="62"/>
      <c r="Q27" s="5"/>
      <c r="R27" s="65"/>
      <c r="S27" s="5" t="s">
        <v>635</v>
      </c>
      <c r="T27" s="65" t="s">
        <v>635</v>
      </c>
      <c r="U27" s="62" t="n">
        <v>1</v>
      </c>
      <c r="V27" s="62" t="s">
        <v>516</v>
      </c>
      <c r="Z27" s="43" t="str">
        <f aca="false">"D6.scenario.defMeasures['"&amp;C27&amp;"'] = { "&amp;B$2&amp;":"""&amp;B27&amp;""",  "&amp;C$2&amp;":"""&amp;C27&amp;""",  "&amp;D$2&amp;":"""&amp;CLEAN(SUBSTITUTE(D27,"""","'"))&amp;""",  "&amp;I$2&amp;":"""&amp;I27&amp;""",  "&amp;F$2&amp;":"""&amp;F27&amp;""",  "&amp;G$2&amp;":"""&amp;CLEAN(SUBSTITUTE(G27,"""","'"))&amp;""", "&amp;K$2&amp;":"""&amp;K27&amp;""",  "&amp;L$2&amp;":"""&amp;L27&amp;""",  "&amp;M$2&amp;":"""&amp;M27&amp;""",  "&amp;N$2&amp;":"""&amp;N27&amp;""",  "&amp;O$2&amp;":"""&amp;O27&amp;""",  "&amp;P$2&amp;":"""&amp;P27&amp;""",  "&amp;Q$2&amp;":"""&amp;Q27&amp;""",  "&amp;S$2&amp;":"""&amp;CLEAN(SUBSTITUTE(S27,"""","'"))&amp;""",   "&amp;U$2&amp;":"""&amp;U27&amp;""",   "&amp;V$2&amp;":"""&amp;V27&amp;"""};"</f>
        <v>D6.scenario.defMeasures['mHWdishWater'] = { mid:"117",  name:"mHWdishWater",  title:"水が冷たくない時期には水で食器を洗う",  easyness:"2",  refCons:"consHWdishwash",  titleShort:"食器水洗い", level:"",  figNum:"13",  lifeTime:"",  price:"",  roanShow:"",  standardType:"",  subsidy :"",  advice:"暖かい季節には、お湯を使わなくても十分すすぐことができます。たとえば食器を洗うのにお湯を10分使う場合、約50リットルのお湯が消費されます。油汚れは古布等でふき取っておくなど工夫することで、すすぎも速くすみます。",   lifestyle:"1",   season:"wss"};</v>
      </c>
      <c r="AB27" s="20" t="str">
        <f aca="false">"$defMeasures['"&amp;C27&amp;"'] = [ '"&amp;B$2&amp;"'=&gt;"""&amp;B27&amp;""",   '"&amp;D$2&amp;"'=&gt;"""&amp;CLEAN(SUBSTITUTE(D27,"""","'"))&amp;""",  '"&amp;L$2&amp;"'=&gt;"""&amp;L27&amp;""",  '"&amp;S$2&amp;"'=&gt;"""&amp;CLEAN(SUBSTITUTE(S27,"""","'"))&amp;"""];"</f>
        <v>$defMeasures['mHWdishWater'] = [ 'mid'=&gt;"117",   'title'=&gt;"水が冷たくない時期には水で食器を洗う",  'figNum'=&gt;"13",  'advice'=&gt;"暖かい季節には、お湯を使わなくても十分すすぐことができます。たとえば食器を洗うのにお湯を10分使う場合、約50リットルのお湯が消費されます。油汚れは古布等でふき取っておくなど工夫することで、すすぎも速くすみます。"];</v>
      </c>
      <c r="AD27" s="62" t="s">
        <v>636</v>
      </c>
    </row>
    <row r="28" customFormat="false" ht="69" hidden="false" customHeight="true" outlineLevel="0" collapsed="false">
      <c r="B28" s="62" t="n">
        <v>118</v>
      </c>
      <c r="C28" s="62" t="s">
        <v>637</v>
      </c>
      <c r="D28" s="5" t="s">
        <v>638</v>
      </c>
      <c r="E28" s="65" t="s">
        <v>638</v>
      </c>
      <c r="F28" s="62" t="s">
        <v>234</v>
      </c>
      <c r="G28" s="5" t="s">
        <v>639</v>
      </c>
      <c r="H28" s="65" t="s">
        <v>639</v>
      </c>
      <c r="I28" s="5" t="n">
        <v>2</v>
      </c>
      <c r="J28" s="65" t="n">
        <v>2</v>
      </c>
      <c r="K28" s="62"/>
      <c r="L28" s="62" t="n">
        <v>15</v>
      </c>
      <c r="M28" s="62" t="n">
        <v>10</v>
      </c>
      <c r="N28" s="62" t="n">
        <v>80000</v>
      </c>
      <c r="O28" s="62"/>
      <c r="P28" s="62"/>
      <c r="Q28" s="5"/>
      <c r="R28" s="65"/>
      <c r="S28" s="5" t="s">
        <v>640</v>
      </c>
      <c r="T28" s="65" t="s">
        <v>640</v>
      </c>
      <c r="U28" s="62"/>
      <c r="V28" s="62" t="s">
        <v>516</v>
      </c>
      <c r="Z28" s="43" t="str">
        <f aca="false">"D6.scenario.defMeasures['"&amp;C28&amp;"'] = { "&amp;B$2&amp;":"""&amp;B28&amp;""",  "&amp;C$2&amp;":"""&amp;C28&amp;""",  "&amp;D$2&amp;":"""&amp;CLEAN(SUBSTITUTE(D28,"""","'"))&amp;""",  "&amp;I$2&amp;":"""&amp;I28&amp;""",  "&amp;F$2&amp;":"""&amp;F28&amp;""",  "&amp;G$2&amp;":"""&amp;CLEAN(SUBSTITUTE(G28,"""","'"))&amp;""", "&amp;K$2&amp;":"""&amp;K28&amp;""",  "&amp;L$2&amp;":"""&amp;L28&amp;""",  "&amp;M$2&amp;":"""&amp;M28&amp;""",  "&amp;N$2&amp;":"""&amp;N28&amp;""",  "&amp;O$2&amp;":"""&amp;O28&amp;""",  "&amp;P$2&amp;":"""&amp;P28&amp;""",  "&amp;Q$2&amp;":"""&amp;Q28&amp;""",  "&amp;S$2&amp;":"""&amp;CLEAN(SUBSTITUTE(S28,"""","'"))&amp;""",   "&amp;U$2&amp;":"""&amp;U28&amp;""",   "&amp;V$2&amp;":"""&amp;V28&amp;"""};"</f>
        <v>D6.scenario.defMeasures['mCKdishWasher'] = { mid:"118",  name:"mCKdishWasher",  title:"食器洗い乾燥機を使う",  easyness:"2",  refCons:"consHWdishwash",  titleShort:"食器洗浄機", level:"",  figNum:"15",  lifeTime:"10",  price:"80000",  roanShow:"",  standardType:"",  subsidy :"",  advice:"食器をお湯で流し洗いするのに比べると、お湯をためて洗浄しているため、食器洗浄乾燥機のほうが省エネとなります。なおお湯ではなく水で洗う場合には、食器洗浄機よりも省エネとなります。手洗いで工夫するのも有効な方法です。",   lifestyle:"",   season:"wss"};</v>
      </c>
      <c r="AB28" s="20" t="str">
        <f aca="false">"$defMeasures['"&amp;C28&amp;"'] = [ '"&amp;B$2&amp;"'=&gt;"""&amp;B28&amp;""",   '"&amp;D$2&amp;"'=&gt;"""&amp;CLEAN(SUBSTITUTE(D28,"""","'"))&amp;""",  '"&amp;L$2&amp;"'=&gt;"""&amp;L28&amp;""",  '"&amp;S$2&amp;"'=&gt;"""&amp;CLEAN(SUBSTITUTE(S28,"""","'"))&amp;"""];"</f>
        <v>$defMeasures['mCKdishWasher'] = [ 'mid'=&gt;"118",   'title'=&gt;"食器洗い乾燥機を使う",  'figNum'=&gt;"15",  'advice'=&gt;"食器をお湯で流し洗いするのに比べると、お湯をためて洗浄しているため、食器洗浄乾燥機のほうが省エネとなります。なおお湯ではなく水で洗う場合には、食器洗浄機よりも省エネとなります。手洗いで工夫するのも有効な方法です。"];</v>
      </c>
      <c r="AD28" s="62" t="s">
        <v>641</v>
      </c>
    </row>
    <row r="29" customFormat="false" ht="69" hidden="false" customHeight="true" outlineLevel="0" collapsed="false">
      <c r="B29" s="62" t="n">
        <v>119</v>
      </c>
      <c r="C29" s="62" t="s">
        <v>642</v>
      </c>
      <c r="D29" s="5" t="s">
        <v>643</v>
      </c>
      <c r="E29" s="65" t="s">
        <v>643</v>
      </c>
      <c r="F29" s="62" t="s">
        <v>228</v>
      </c>
      <c r="G29" s="5" t="s">
        <v>644</v>
      </c>
      <c r="H29" s="65" t="s">
        <v>644</v>
      </c>
      <c r="I29" s="5" t="n">
        <v>2</v>
      </c>
      <c r="J29" s="65" t="n">
        <v>2</v>
      </c>
      <c r="K29" s="62"/>
      <c r="L29" s="62" t="n">
        <v>13</v>
      </c>
      <c r="M29" s="62" t="n">
        <v>20</v>
      </c>
      <c r="N29" s="62"/>
      <c r="O29" s="62"/>
      <c r="P29" s="62"/>
      <c r="Q29" s="5"/>
      <c r="R29" s="65"/>
      <c r="S29" s="5" t="s">
        <v>645</v>
      </c>
      <c r="T29" s="65" t="s">
        <v>645</v>
      </c>
      <c r="U29" s="62"/>
      <c r="V29" s="62" t="s">
        <v>516</v>
      </c>
      <c r="Z29" s="43" t="str">
        <f aca="false">"D6.scenario.defMeasures['"&amp;C29&amp;"'] = { "&amp;B$2&amp;":"""&amp;B29&amp;""",  "&amp;C$2&amp;":"""&amp;C29&amp;""",  "&amp;D$2&amp;":"""&amp;CLEAN(SUBSTITUTE(D29,"""","'"))&amp;""",  "&amp;I$2&amp;":"""&amp;I29&amp;""",  "&amp;F$2&amp;":"""&amp;F29&amp;""",  "&amp;G$2&amp;":"""&amp;CLEAN(SUBSTITUTE(G29,"""","'"))&amp;""", "&amp;K$2&amp;":"""&amp;K29&amp;""",  "&amp;L$2&amp;":"""&amp;L29&amp;""",  "&amp;M$2&amp;":"""&amp;M29&amp;""",  "&amp;N$2&amp;":"""&amp;N29&amp;""",  "&amp;O$2&amp;":"""&amp;O29&amp;""",  "&amp;P$2&amp;":"""&amp;P29&amp;""",  "&amp;Q$2&amp;":"""&amp;Q29&amp;""",  "&amp;S$2&amp;":"""&amp;CLEAN(SUBSTITUTE(S29,"""","'"))&amp;""",   "&amp;U$2&amp;":"""&amp;U29&amp;""",   "&amp;V$2&amp;":"""&amp;V29&amp;"""};"</f>
        <v>D6.scenario.defMeasures['mHWtap'] = { mid:"119",  name:"mHWtap",  title:"台所・洗面所に節湯水栓を設置する",  easyness:"2",  refCons:"consHWsum",  titleShort:"節湯水栓", level:"",  figNum:"13",  lifeTime:"20",  price:"",  roanShow:"",  standardType:"",  subsidy :"",  advice:"手元ですぐ止められるようにしたり、シングルレバーを左に向けないとお湯がでないしくみにするなど、使い勝手は同じでも、お湯の消費量を2割以上減らせる機器があります。",   lifestyle:"",   season:"wss"};</v>
      </c>
      <c r="AB29" s="20" t="str">
        <f aca="false">"$defMeasures['"&amp;C29&amp;"'] = [ '"&amp;B$2&amp;"'=&gt;"""&amp;B29&amp;""",   '"&amp;D$2&amp;"'=&gt;"""&amp;CLEAN(SUBSTITUTE(D29,"""","'"))&amp;""",  '"&amp;L$2&amp;"'=&gt;"""&amp;L29&amp;""",  '"&amp;S$2&amp;"'=&gt;"""&amp;CLEAN(SUBSTITUTE(S29,"""","'"))&amp;"""];"</f>
        <v>$defMeasures['mHWtap'] = [ 'mid'=&gt;"119",   'title'=&gt;"台所・洗面所に節湯水栓を設置する",  'figNum'=&gt;"13",  'advice'=&gt;"手元ですぐ止められるようにしたり、シングルレバーを左に向けないとお湯がでないしくみにするなど、使い勝手は同じでも、お湯の消費量を2割以上減らせる機器があります。"];</v>
      </c>
      <c r="AD29" s="62" t="s">
        <v>646</v>
      </c>
    </row>
    <row r="30" customFormat="false" ht="69" hidden="false" customHeight="true" outlineLevel="0" collapsed="false">
      <c r="B30" s="62" t="n">
        <v>120</v>
      </c>
      <c r="C30" s="62" t="s">
        <v>647</v>
      </c>
      <c r="D30" s="5" t="s">
        <v>648</v>
      </c>
      <c r="E30" s="65" t="s">
        <v>648</v>
      </c>
      <c r="F30" s="62" t="s">
        <v>238</v>
      </c>
      <c r="G30" s="5" t="s">
        <v>649</v>
      </c>
      <c r="H30" s="65" t="s">
        <v>649</v>
      </c>
      <c r="I30" s="5" t="n">
        <v>1</v>
      </c>
      <c r="J30" s="65" t="n">
        <v>1</v>
      </c>
      <c r="K30" s="62"/>
      <c r="L30" s="62" t="n">
        <v>19</v>
      </c>
      <c r="M30" s="62" t="n">
        <v>10</v>
      </c>
      <c r="N30" s="62" t="n">
        <v>200000</v>
      </c>
      <c r="O30" s="62"/>
      <c r="P30" s="62" t="s">
        <v>558</v>
      </c>
      <c r="Q30" s="5" t="s">
        <v>551</v>
      </c>
      <c r="R30" s="65"/>
      <c r="S30" s="5" t="s">
        <v>650</v>
      </c>
      <c r="T30" s="65" t="s">
        <v>650</v>
      </c>
      <c r="U30" s="62"/>
      <c r="V30" s="62" t="s">
        <v>516</v>
      </c>
      <c r="Z30" s="43" t="str">
        <f aca="false">"D6.scenario.defMeasures['"&amp;C30&amp;"'] = { "&amp;B$2&amp;":"""&amp;B30&amp;""",  "&amp;C$2&amp;":"""&amp;C30&amp;""",  "&amp;D$2&amp;":"""&amp;CLEAN(SUBSTITUTE(D30,"""","'"))&amp;""",  "&amp;I$2&amp;":"""&amp;I30&amp;""",  "&amp;F$2&amp;":"""&amp;F30&amp;""",  "&amp;G$2&amp;":"""&amp;CLEAN(SUBSTITUTE(G30,"""","'"))&amp;""", "&amp;K$2&amp;":"""&amp;K30&amp;""",  "&amp;L$2&amp;":"""&amp;L30&amp;""",  "&amp;M$2&amp;":"""&amp;M30&amp;""",  "&amp;N$2&amp;":"""&amp;N30&amp;""",  "&amp;O$2&amp;":"""&amp;O30&amp;""",  "&amp;P$2&amp;":"""&amp;P30&amp;""",  "&amp;Q$2&amp;":"""&amp;Q30&amp;""",  "&amp;S$2&amp;":"""&amp;CLEAN(SUBSTITUTE(S30,"""","'"))&amp;""",   "&amp;U$2&amp;":"""&amp;U30&amp;""",   "&amp;V$2&amp;":"""&amp;V30&amp;"""};"</f>
        <v>D6.scenario.defMeasures['mHWreplaceToilet5'] = { mid:"120",  name:"mHWreplaceToilet5",  title:"節水トイレを設置する",  easyness:"1",  refCons:"consHWtoilet",  titleShort:"節水トイレ", level:"",  figNum:"19",  lifeTime:"10",  price:"200000",  roanShow:"",  standardType:"既存型",  subsidy :"子育てグリーン住宅支援事業の対象で、他の断熱工事や機器導入を行って補助額が5万円以上になると補助されます。",  advice:"トイレ本体を工事して交換する必要がありますが、水の量を以前よりも半分以下に抑えることができます。以前は13リットル程度必要だったものが、4-6リットル程度で使えるようになっており、水道代を大きく削減できます。",   lifestyle:"",   season:"wss"};</v>
      </c>
      <c r="AB30" s="20" t="str">
        <f aca="false">"$defMeasures['"&amp;C30&amp;"'] = [ '"&amp;B$2&amp;"'=&gt;"""&amp;B30&amp;""",   '"&amp;D$2&amp;"'=&gt;"""&amp;CLEAN(SUBSTITUTE(D30,"""","'"))&amp;""",  '"&amp;L$2&amp;"'=&gt;"""&amp;L30&amp;""",  '"&amp;S$2&amp;"'=&gt;"""&amp;CLEAN(SUBSTITUTE(S30,"""","'"))&amp;"""];"</f>
        <v>$defMeasures['mHWreplaceToilet5'] = [ 'mid'=&gt;"120",   'title'=&gt;"節水トイレを設置する",  'figNum'=&gt;"19",  'advice'=&gt;"トイレ本体を工事して交換する必要がありますが、水の量を以前よりも半分以下に抑えることができます。以前は13リットル程度必要だったものが、4-6リットル程度で使えるようになっており、水道代を大きく削減できます。"];</v>
      </c>
      <c r="AD30" s="62" t="s">
        <v>651</v>
      </c>
    </row>
    <row r="31" customFormat="false" ht="69" hidden="false" customHeight="true" outlineLevel="0" collapsed="false">
      <c r="B31" s="62" t="n">
        <v>121</v>
      </c>
      <c r="C31" s="62" t="s">
        <v>652</v>
      </c>
      <c r="D31" s="5" t="s">
        <v>653</v>
      </c>
      <c r="E31" s="65" t="s">
        <v>653</v>
      </c>
      <c r="F31" s="62" t="s">
        <v>238</v>
      </c>
      <c r="G31" s="5" t="s">
        <v>654</v>
      </c>
      <c r="H31" s="65" t="s">
        <v>654</v>
      </c>
      <c r="I31" s="5" t="n">
        <v>1</v>
      </c>
      <c r="J31" s="65" t="n">
        <v>1</v>
      </c>
      <c r="K31" s="62"/>
      <c r="L31" s="62" t="n">
        <v>19</v>
      </c>
      <c r="M31" s="62" t="n">
        <v>10</v>
      </c>
      <c r="N31" s="62" t="n">
        <v>30000</v>
      </c>
      <c r="O31" s="62"/>
      <c r="P31" s="62" t="s">
        <v>558</v>
      </c>
      <c r="Q31" s="5"/>
      <c r="R31" s="65"/>
      <c r="S31" s="5" t="s">
        <v>655</v>
      </c>
      <c r="T31" s="65" t="s">
        <v>655</v>
      </c>
      <c r="U31" s="62"/>
      <c r="V31" s="62" t="s">
        <v>516</v>
      </c>
      <c r="Z31" s="43" t="str">
        <f aca="false">"D6.scenario.defMeasures['"&amp;C31&amp;"'] = { "&amp;B$2&amp;":"""&amp;B31&amp;""",  "&amp;C$2&amp;":"""&amp;C31&amp;""",  "&amp;D$2&amp;":"""&amp;CLEAN(SUBSTITUTE(D31,"""","'"))&amp;""",  "&amp;I$2&amp;":"""&amp;I31&amp;""",  "&amp;F$2&amp;":"""&amp;F31&amp;""",  "&amp;G$2&amp;":"""&amp;CLEAN(SUBSTITUTE(G31,"""","'"))&amp;""", "&amp;K$2&amp;":"""&amp;K31&amp;""",  "&amp;L$2&amp;":"""&amp;L31&amp;""",  "&amp;M$2&amp;":"""&amp;M31&amp;""",  "&amp;N$2&amp;":"""&amp;N31&amp;""",  "&amp;O$2&amp;":"""&amp;O31&amp;""",  "&amp;P$2&amp;":"""&amp;P31&amp;""",  "&amp;Q$2&amp;":"""&amp;Q31&amp;""",  "&amp;S$2&amp;":"""&amp;CLEAN(SUBSTITUTE(S31,"""","'"))&amp;""",   "&amp;U$2&amp;":"""&amp;U31&amp;""",   "&amp;V$2&amp;":"""&amp;V31&amp;"""};"</f>
        <v>D6.scenario.defMeasures['mHWreplaceToilet'] = { mid:"121",  name:"mHWreplaceToilet",  title:"瞬間式の温水洗浄便座に買い替える",  easyness:"1",  refCons:"consHWtoilet",  titleShort:"瞬間式便座", level:"",  figNum:"19",  lifeTime:"10",  price:"30000",  roanShow:"",  standardType:"既存型",  subsidy :"",  advice:"新製品では省エネ機能があり、ふたを開けた瞬間に温めるタイプなど、消費電力が少なくてすみます。カタログに表示されている年間消費電力量を参考に省エネ型を選んでください。",   lifestyle:"",   season:"wss"};</v>
      </c>
      <c r="AB31" s="20" t="str">
        <f aca="false">"$defMeasures['"&amp;C31&amp;"'] = [ '"&amp;B$2&amp;"'=&gt;"""&amp;B31&amp;""",   '"&amp;D$2&amp;"'=&gt;"""&amp;CLEAN(SUBSTITUTE(D31,"""","'"))&amp;""",  '"&amp;L$2&amp;"'=&gt;"""&amp;L31&amp;""",  '"&amp;S$2&amp;"'=&gt;"""&amp;CLEAN(SUBSTITUTE(S31,"""","'"))&amp;"""];"</f>
        <v>$defMeasures['mHWreplaceToilet'] = [ 'mid'=&gt;"121",   'title'=&gt;"瞬間式の温水洗浄便座に買い替える",  'figNum'=&gt;"19",  'advice'=&gt;"新製品では省エネ機能があり、ふたを開けた瞬間に温めるタイプなど、消費電力が少なくてすみます。カタログに表示されている年間消費電力量を参考に省エネ型を選んでください。"];</v>
      </c>
      <c r="AD31" s="62" t="s">
        <v>656</v>
      </c>
    </row>
    <row r="32" customFormat="false" ht="69" hidden="false" customHeight="true" outlineLevel="0" collapsed="false">
      <c r="B32" s="62" t="n">
        <v>122</v>
      </c>
      <c r="C32" s="62" t="s">
        <v>657</v>
      </c>
      <c r="D32" s="5" t="s">
        <v>658</v>
      </c>
      <c r="E32" s="65" t="s">
        <v>658</v>
      </c>
      <c r="F32" s="62" t="s">
        <v>238</v>
      </c>
      <c r="G32" s="5" t="s">
        <v>659</v>
      </c>
      <c r="H32" s="65" t="s">
        <v>659</v>
      </c>
      <c r="I32" s="5" t="n">
        <v>3</v>
      </c>
      <c r="J32" s="65" t="n">
        <v>3</v>
      </c>
      <c r="K32" s="62"/>
      <c r="L32" s="62" t="n">
        <v>19</v>
      </c>
      <c r="M32" s="62"/>
      <c r="N32" s="62"/>
      <c r="O32" s="62"/>
      <c r="P32" s="62"/>
      <c r="Q32" s="5"/>
      <c r="R32" s="65"/>
      <c r="S32" s="5" t="s">
        <v>660</v>
      </c>
      <c r="T32" s="65" t="s">
        <v>660</v>
      </c>
      <c r="U32" s="62" t="n">
        <v>1</v>
      </c>
      <c r="V32" s="62" t="s">
        <v>516</v>
      </c>
      <c r="Z32" s="43" t="str">
        <f aca="false">"D6.scenario.defMeasures['"&amp;C32&amp;"'] = { "&amp;B$2&amp;":"""&amp;B32&amp;""",  "&amp;C$2&amp;":"""&amp;C32&amp;""",  "&amp;D$2&amp;":"""&amp;CLEAN(SUBSTITUTE(D32,"""","'"))&amp;""",  "&amp;I$2&amp;":"""&amp;I32&amp;""",  "&amp;F$2&amp;":"""&amp;F32&amp;""",  "&amp;G$2&amp;":"""&amp;CLEAN(SUBSTITUTE(G32,"""","'"))&amp;""", "&amp;K$2&amp;":"""&amp;K32&amp;""",  "&amp;L$2&amp;":"""&amp;L32&amp;""",  "&amp;M$2&amp;":"""&amp;M32&amp;""",  "&amp;N$2&amp;":"""&amp;N32&amp;""",  "&amp;O$2&amp;":"""&amp;O32&amp;""",  "&amp;P$2&amp;":"""&amp;P32&amp;""",  "&amp;Q$2&amp;":"""&amp;Q32&amp;""",  "&amp;S$2&amp;":"""&amp;CLEAN(SUBSTITUTE(S32,"""","'"))&amp;""",   "&amp;U$2&amp;":"""&amp;U32&amp;""",   "&amp;V$2&amp;":"""&amp;V32&amp;"""};"</f>
        <v>D6.scenario.defMeasures['mHWtemplatureToilet'] = { mid:"122",  name:"mHWtemplatureToilet",  title:"保温便座の温度設定を下げる",  easyness:"3",  refCons:"consHWtoilet",  titleShort:"便座温度調節", level:"",  figNum:"19",  lifeTime:"",  price:"",  roanShow:"",  standardType:"",  subsidy :"",  advice:"寒くない時期は保温を切ったり、温度設定を低めに設定することで省エネができます。便座にカバーをかけると、冷たさを感じにくくなります。",   lifestyle:"1",   season:"wss"};</v>
      </c>
      <c r="AB32" s="20" t="str">
        <f aca="false">"$defMeasures['"&amp;C32&amp;"'] = [ '"&amp;B$2&amp;"'=&gt;"""&amp;B32&amp;""",   '"&amp;D$2&amp;"'=&gt;"""&amp;CLEAN(SUBSTITUTE(D32,"""","'"))&amp;""",  '"&amp;L$2&amp;"'=&gt;"""&amp;L32&amp;""",  '"&amp;S$2&amp;"'=&gt;"""&amp;CLEAN(SUBSTITUTE(S32,"""","'"))&amp;"""];"</f>
        <v>$defMeasures['mHWtemplatureToilet'] = [ 'mid'=&gt;"122",   'title'=&gt;"保温便座の温度設定を下げる",  'figNum'=&gt;"19",  'advice'=&gt;"寒くない時期は保温を切ったり、温度設定を低めに設定することで省エネができます。便座にカバーをかけると、冷たさを感じにくくなります。"];</v>
      </c>
      <c r="AD32" s="62" t="s">
        <v>661</v>
      </c>
    </row>
    <row r="33" customFormat="false" ht="69" hidden="false" customHeight="true" outlineLevel="0" collapsed="false">
      <c r="B33" s="62" t="n">
        <v>123</v>
      </c>
      <c r="C33" s="62" t="s">
        <v>662</v>
      </c>
      <c r="D33" s="5" t="s">
        <v>663</v>
      </c>
      <c r="E33" s="65" t="s">
        <v>663</v>
      </c>
      <c r="F33" s="62" t="s">
        <v>238</v>
      </c>
      <c r="G33" s="5" t="s">
        <v>664</v>
      </c>
      <c r="H33" s="65" t="s">
        <v>664</v>
      </c>
      <c r="I33" s="5" t="n">
        <v>3</v>
      </c>
      <c r="J33" s="65" t="n">
        <v>3</v>
      </c>
      <c r="K33" s="62"/>
      <c r="L33" s="62" t="n">
        <v>19</v>
      </c>
      <c r="M33" s="62"/>
      <c r="N33" s="62"/>
      <c r="O33" s="62"/>
      <c r="P33" s="62"/>
      <c r="Q33" s="5"/>
      <c r="R33" s="65"/>
      <c r="S33" s="5" t="s">
        <v>665</v>
      </c>
      <c r="T33" s="65" t="s">
        <v>665</v>
      </c>
      <c r="U33" s="62" t="n">
        <v>1</v>
      </c>
      <c r="V33" s="62" t="s">
        <v>516</v>
      </c>
      <c r="Z33" s="43" t="str">
        <f aca="false">"D6.scenario.defMeasures['"&amp;C33&amp;"'] = { "&amp;B$2&amp;":"""&amp;B33&amp;""",  "&amp;C$2&amp;":"""&amp;C33&amp;""",  "&amp;D$2&amp;":"""&amp;CLEAN(SUBSTITUTE(D33,"""","'"))&amp;""",  "&amp;I$2&amp;":"""&amp;I33&amp;""",  "&amp;F$2&amp;":"""&amp;F33&amp;""",  "&amp;G$2&amp;":"""&amp;CLEAN(SUBSTITUTE(G33,"""","'"))&amp;""", "&amp;K$2&amp;":"""&amp;K33&amp;""",  "&amp;L$2&amp;":"""&amp;L33&amp;""",  "&amp;M$2&amp;":"""&amp;M33&amp;""",  "&amp;N$2&amp;":"""&amp;N33&amp;""",  "&amp;O$2&amp;":"""&amp;O33&amp;""",  "&amp;P$2&amp;":"""&amp;P33&amp;""",  "&amp;Q$2&amp;":"""&amp;Q33&amp;""",  "&amp;S$2&amp;":"""&amp;CLEAN(SUBSTITUTE(S33,"""","'"))&amp;""",   "&amp;U$2&amp;":"""&amp;U33&amp;""",   "&amp;V$2&amp;":"""&amp;V33&amp;"""};"</f>
        <v>D6.scenario.defMeasures['mHWcoverTilet'] = { mid:"123",  name:"mHWcoverTilet",  title:"保温洗浄便座のふたをしめる",  easyness:"3",  refCons:"consHWtoilet",  titleShort:"便座のふたを閉める", level:"",  figNum:"19",  lifeTime:"",  price:"",  roanShow:"",  standardType:"",  subsidy :"",  advice:"便座のふたを上げた状態にしておくと、保温の熱が逃げやすく、消費電力が増えます。用を終えたら、ふたを閉めることで省エネになります。寒くなければ、保温をしないようにすることも省エネにつながります。",   lifestyle:"1",   season:"wss"};</v>
      </c>
      <c r="AB33" s="20" t="str">
        <f aca="false">"$defMeasures['"&amp;C33&amp;"'] = [ '"&amp;B$2&amp;"'=&gt;"""&amp;B33&amp;""",   '"&amp;D$2&amp;"'=&gt;"""&amp;CLEAN(SUBSTITUTE(D33,"""","'"))&amp;""",  '"&amp;L$2&amp;"'=&gt;"""&amp;L33&amp;""",  '"&amp;S$2&amp;"'=&gt;"""&amp;CLEAN(SUBSTITUTE(S33,"""","'"))&amp;"""];"</f>
        <v>$defMeasures['mHWcoverTilet'] = [ 'mid'=&gt;"123",   'title'=&gt;"保温洗浄便座のふたをしめる",  'figNum'=&gt;"19",  'advice'=&gt;"便座のふたを上げた状態にしておくと、保温の熱が逃げやすく、消費電力が増えます。用を終えたら、ふたを閉めることで省エネになります。寒くなければ、保温をしないようにすることも省エネにつながります。"];</v>
      </c>
      <c r="AD33" s="62" t="s">
        <v>666</v>
      </c>
    </row>
    <row r="34" customFormat="false" ht="69" hidden="false" customHeight="true" outlineLevel="0" collapsed="false">
      <c r="B34" s="62" t="n">
        <v>201</v>
      </c>
      <c r="C34" s="62" t="s">
        <v>667</v>
      </c>
      <c r="D34" s="5" t="s">
        <v>668</v>
      </c>
      <c r="E34" s="65" t="s">
        <v>668</v>
      </c>
      <c r="F34" s="62" t="s">
        <v>247</v>
      </c>
      <c r="G34" s="5" t="s">
        <v>669</v>
      </c>
      <c r="H34" s="65" t="s">
        <v>669</v>
      </c>
      <c r="I34" s="5" t="n">
        <v>1</v>
      </c>
      <c r="J34" s="65" t="n">
        <v>1</v>
      </c>
      <c r="K34" s="62"/>
      <c r="L34" s="62" t="n">
        <v>1</v>
      </c>
      <c r="M34" s="62" t="n">
        <v>10</v>
      </c>
      <c r="N34" s="62" t="n">
        <v>160000</v>
      </c>
      <c r="O34" s="62"/>
      <c r="P34" s="62"/>
      <c r="Q34" s="5"/>
      <c r="R34" s="65"/>
      <c r="S34" s="5" t="s">
        <v>670</v>
      </c>
      <c r="T34" s="65" t="s">
        <v>671</v>
      </c>
      <c r="U34" s="62"/>
      <c r="V34" s="62" t="s">
        <v>516</v>
      </c>
      <c r="Z34" s="43" t="str">
        <f aca="false">"D6.scenario.defMeasures['"&amp;C34&amp;"'] = { "&amp;B$2&amp;":"""&amp;B34&amp;""",  "&amp;C$2&amp;":"""&amp;C34&amp;""",  "&amp;D$2&amp;":"""&amp;CLEAN(SUBSTITUTE(D34,"""","'"))&amp;""",  "&amp;I$2&amp;":"""&amp;I34&amp;""",  "&amp;F$2&amp;":"""&amp;F34&amp;""",  "&amp;G$2&amp;":"""&amp;CLEAN(SUBSTITUTE(G34,"""","'"))&amp;""", "&amp;K$2&amp;":"""&amp;K34&amp;""",  "&amp;L$2&amp;":"""&amp;L34&amp;""",  "&amp;M$2&amp;":"""&amp;M34&amp;""",  "&amp;N$2&amp;":"""&amp;N34&amp;""",  "&amp;O$2&amp;":"""&amp;O34&amp;""",  "&amp;P$2&amp;":"""&amp;P34&amp;""",  "&amp;Q$2&amp;":"""&amp;Q34&amp;""",  "&amp;S$2&amp;":"""&amp;CLEAN(SUBSTITUTE(S34,"""","'"))&amp;""",   "&amp;U$2&amp;":"""&amp;U34&amp;""",   "&amp;V$2&amp;":"""&amp;V34&amp;"""};"</f>
        <v>D6.scenario.defMeasures['mACreplace'] = { mid:"201",  name:"mACreplace",  title:"エアコンを省エネ型に買い替える",  easyness:"1",  refCons:"consAC",  titleShort:"省エネエアコン", level:"",  figNum:"1",  lifeTime:"10",  price:"160000",  roanShow:"",  standardType:"",  subsidy :"",  advice:"同じだけ冷暖房をしても、省エネ性能の高いエアコンなら光熱費が安くなります。選ぶ時には、統一省エネラベルの★マークの数が多いものや、年間電気代の表示を参考に省エネ型を選んでください。暖房の性能もあがっており、ガスや灯油の暖房に比べてもCO2を削減することができます。",   lifestyle:"",   season:"wss"};</v>
      </c>
      <c r="AB34" s="20" t="str">
        <f aca="false">"$defMeasures['"&amp;C34&amp;"'] = [ '"&amp;B$2&amp;"'=&gt;"""&amp;B34&amp;""",   '"&amp;D$2&amp;"'=&gt;"""&amp;CLEAN(SUBSTITUTE(D34,"""","'"))&amp;""",  '"&amp;L$2&amp;"'=&gt;"""&amp;L34&amp;""",  '"&amp;S$2&amp;"'=&gt;"""&amp;CLEAN(SUBSTITUTE(S34,"""","'"))&amp;"""];"</f>
        <v>$defMeasures['mACreplace'] = [ 'mid'=&gt;"201",   'title'=&gt;"エアコンを省エネ型に買い替える",  'figNum'=&gt;"1",  'advice'=&gt;"同じだけ冷暖房をしても、省エネ性能の高いエアコンなら光熱費が安くなります。選ぶ時には、統一省エネラベルの★マークの数が多いものや、年間電気代の表示を参考に省エネ型を選んでください。暖房の性能もあがっており、ガスや灯油の暖房に比べてもCO2を削減することができます。"];</v>
      </c>
      <c r="AD34" s="62" t="s">
        <v>672</v>
      </c>
    </row>
    <row r="35" customFormat="false" ht="69" hidden="false" customHeight="true" outlineLevel="0" collapsed="false">
      <c r="B35" s="62" t="n">
        <v>202</v>
      </c>
      <c r="C35" s="62" t="s">
        <v>673</v>
      </c>
      <c r="D35" s="5" t="s">
        <v>674</v>
      </c>
      <c r="E35" s="65" t="s">
        <v>674</v>
      </c>
      <c r="F35" s="62" t="s">
        <v>247</v>
      </c>
      <c r="G35" s="5" t="s">
        <v>675</v>
      </c>
      <c r="H35" s="65" t="s">
        <v>675</v>
      </c>
      <c r="I35" s="5" t="n">
        <v>2</v>
      </c>
      <c r="J35" s="65" t="n">
        <v>2</v>
      </c>
      <c r="K35" s="62"/>
      <c r="L35" s="62" t="n">
        <v>1</v>
      </c>
      <c r="M35" s="62" t="n">
        <v>10</v>
      </c>
      <c r="N35" s="62" t="n">
        <v>160000</v>
      </c>
      <c r="O35" s="62"/>
      <c r="P35" s="62"/>
      <c r="Q35" s="5"/>
      <c r="R35" s="65"/>
      <c r="S35" s="5" t="s">
        <v>676</v>
      </c>
      <c r="T35" s="65" t="s">
        <v>677</v>
      </c>
      <c r="U35" s="62"/>
      <c r="V35" s="62" t="s">
        <v>516</v>
      </c>
      <c r="Z35" s="43" t="str">
        <f aca="false">"D6.scenario.defMeasures['"&amp;C35&amp;"'] = { "&amp;B$2&amp;":"""&amp;B35&amp;""",  "&amp;C$2&amp;":"""&amp;C35&amp;""",  "&amp;D$2&amp;":"""&amp;CLEAN(SUBSTITUTE(D35,"""","'"))&amp;""",  "&amp;I$2&amp;":"""&amp;I35&amp;""",  "&amp;F$2&amp;":"""&amp;F35&amp;""",  "&amp;G$2&amp;":"""&amp;CLEAN(SUBSTITUTE(G35,"""","'"))&amp;""", "&amp;K$2&amp;":"""&amp;K35&amp;""",  "&amp;L$2&amp;":"""&amp;L35&amp;""",  "&amp;M$2&amp;":"""&amp;M35&amp;""",  "&amp;N$2&amp;":"""&amp;N35&amp;""",  "&amp;O$2&amp;":"""&amp;O35&amp;""",  "&amp;P$2&amp;":"""&amp;P35&amp;""",  "&amp;Q$2&amp;":"""&amp;Q35&amp;""",  "&amp;S$2&amp;":"""&amp;CLEAN(SUBSTITUTE(S35,"""","'"))&amp;""",   "&amp;U$2&amp;":"""&amp;U35&amp;""",   "&amp;V$2&amp;":"""&amp;V35&amp;"""};"</f>
        <v>D6.scenario.defMeasures['mACreplaceHeat'] = { mid:"202",  name:"mACreplaceHeat",  title:"エアコンを省エネ型に買い替え、エアコンで暖房する",  easyness:"2",  refCons:"consAC",  titleShort:"省エネエアコン＋暖房", level:"",  figNum:"1",  lifeTime:"10",  price:"160000",  roanShow:"",  standardType:"",  subsidy :"",  advice:"同じだけ冷暖房をしても、省エネ性能の高いエアコンなら光熱費が安くなります。エアコンは室外の熱を利用するために、ガスや灯油などの暖房とくらべても、CO2排出量が少なくなります。選ぶ時には、統一省エネラベルの★マークの数が多いものや、年間電気代の表示を参考に省エネ型を選んでください。また、エアコンで暖房をすると、外気の熱を利用するため、ガスや灯油の暖房に比べて大幅にCO2を削減でき、光熱費の削減にもつながります。",   lifestyle:"",   season:"wss"};</v>
      </c>
      <c r="AB35" s="20" t="str">
        <f aca="false">"$defMeasures['"&amp;C35&amp;"'] = [ '"&amp;B$2&amp;"'=&gt;"""&amp;B35&amp;""",   '"&amp;D$2&amp;"'=&gt;"""&amp;CLEAN(SUBSTITUTE(D35,"""","'"))&amp;""",  '"&amp;L$2&amp;"'=&gt;"""&amp;L35&amp;""",  '"&amp;S$2&amp;"'=&gt;"""&amp;CLEAN(SUBSTITUTE(S35,"""","'"))&amp;"""];"</f>
        <v>$defMeasures['mACreplaceHeat'] = [ 'mid'=&gt;"202",   'title'=&gt;"エアコンを省エネ型に買い替え、エアコンで暖房する",  'figNum'=&gt;"1",  'advice'=&gt;"同じだけ冷暖房をしても、省エネ性能の高いエアコンなら光熱費が安くなります。エアコンは室外の熱を利用するために、ガスや灯油などの暖房とくらべても、CO2排出量が少なくなります。選ぶ時には、統一省エネラベルの★マークの数が多いものや、年間電気代の表示を参考に省エネ型を選んでください。また、エアコンで暖房をすると、外気の熱を利用するため、ガスや灯油の暖房に比べて大幅にCO2を削減でき、光熱費の削減にもつながります。"];</v>
      </c>
      <c r="AD35" s="62" t="s">
        <v>678</v>
      </c>
    </row>
    <row r="36" customFormat="false" ht="69" hidden="false" customHeight="true" outlineLevel="0" collapsed="false">
      <c r="B36" s="62" t="n">
        <v>203</v>
      </c>
      <c r="C36" s="62" t="s">
        <v>679</v>
      </c>
      <c r="D36" s="5" t="s">
        <v>680</v>
      </c>
      <c r="E36" s="65" t="s">
        <v>680</v>
      </c>
      <c r="F36" s="62" t="s">
        <v>249</v>
      </c>
      <c r="G36" s="5" t="s">
        <v>681</v>
      </c>
      <c r="H36" s="65" t="s">
        <v>681</v>
      </c>
      <c r="I36" s="5" t="n">
        <v>2</v>
      </c>
      <c r="J36" s="65" t="n">
        <v>2</v>
      </c>
      <c r="K36" s="62"/>
      <c r="L36" s="62" t="n">
        <v>1</v>
      </c>
      <c r="M36" s="62"/>
      <c r="N36" s="62"/>
      <c r="O36" s="62"/>
      <c r="P36" s="62"/>
      <c r="Q36" s="5"/>
      <c r="R36" s="65"/>
      <c r="S36" s="5" t="s">
        <v>682</v>
      </c>
      <c r="T36" s="65" t="s">
        <v>682</v>
      </c>
      <c r="U36" s="62" t="n">
        <v>1</v>
      </c>
      <c r="V36" s="62" t="s">
        <v>516</v>
      </c>
      <c r="Z36" s="43" t="str">
        <f aca="false">"D6.scenario.defMeasures['"&amp;C36&amp;"'] = { "&amp;B$2&amp;":"""&amp;B36&amp;""",  "&amp;C$2&amp;":"""&amp;C36&amp;""",  "&amp;D$2&amp;":"""&amp;CLEAN(SUBSTITUTE(D36,"""","'"))&amp;""",  "&amp;I$2&amp;":"""&amp;I36&amp;""",  "&amp;F$2&amp;":"""&amp;F36&amp;""",  "&amp;G$2&amp;":"""&amp;CLEAN(SUBSTITUTE(G36,"""","'"))&amp;""", "&amp;K$2&amp;":"""&amp;K36&amp;""",  "&amp;L$2&amp;":"""&amp;L36&amp;""",  "&amp;M$2&amp;":"""&amp;M36&amp;""",  "&amp;N$2&amp;":"""&amp;N36&amp;""",  "&amp;O$2&amp;":"""&amp;O36&amp;""",  "&amp;P$2&amp;":"""&amp;P36&amp;""",  "&amp;Q$2&amp;":"""&amp;Q36&amp;""",  "&amp;S$2&amp;":"""&amp;CLEAN(SUBSTITUTE(S36,"""","'"))&amp;""",   "&amp;U$2&amp;":"""&amp;U36&amp;""",   "&amp;V$2&amp;":"""&amp;V36&amp;"""};"</f>
        <v>D6.scenario.defMeasures['mACchangeHeat'] = { mid:"203",  name:"mACchangeHeat",  title:"暖房をエアコンでする",  easyness:"2",  refCons:"consACheat",  titleShort:"エアコン暖房", level:"",  figNum:"1",  lifeTime:"",  price:"",  roanShow:"",  standardType:"",  subsidy :"",  advice:"エアコンで暖房をすると、外気の熱を利用するため、ガスや灯油の暖房に比べて大幅にCO2を削減でき、光熱費の削減にもつながります。なお、暖かい空気は軽いために天井に集まりやすく、床までしっかり届くよう、強風の設定で運転したり、うちわなどを活用したりしてください。また、最近のエアコンは床まで暖める機能が充実しています。",   lifestyle:"1",   season:"wss"};</v>
      </c>
      <c r="AB36" s="20" t="str">
        <f aca="false">"$defMeasures['"&amp;C36&amp;"'] = [ '"&amp;B$2&amp;"'=&gt;"""&amp;B36&amp;""",   '"&amp;D$2&amp;"'=&gt;"""&amp;CLEAN(SUBSTITUTE(D36,"""","'"))&amp;""",  '"&amp;L$2&amp;"'=&gt;"""&amp;L36&amp;""",  '"&amp;S$2&amp;"'=&gt;"""&amp;CLEAN(SUBSTITUTE(S36,"""","'"))&amp;"""];"</f>
        <v>$defMeasures['mACchangeHeat'] = [ 'mid'=&gt;"203",   'title'=&gt;"暖房をエアコンでする",  'figNum'=&gt;"1",  'advice'=&gt;"エアコンで暖房をすると、外気の熱を利用するため、ガスや灯油の暖房に比べて大幅にCO2を削減でき、光熱費の削減にもつながります。なお、暖かい空気は軽いために天井に集まりやすく、床までしっかり届くよう、強風の設定で運転したり、うちわなどを活用したりしてください。また、最近のエアコンは床まで暖める機能が充実しています。"];</v>
      </c>
      <c r="AD36" s="62" t="s">
        <v>678</v>
      </c>
    </row>
    <row r="37" customFormat="false" ht="69" hidden="false" customHeight="true" outlineLevel="0" collapsed="false">
      <c r="B37" s="62" t="n">
        <v>204</v>
      </c>
      <c r="C37" s="62" t="s">
        <v>683</v>
      </c>
      <c r="D37" s="5" t="s">
        <v>684</v>
      </c>
      <c r="E37" s="65" t="s">
        <v>684</v>
      </c>
      <c r="F37" s="62" t="s">
        <v>240</v>
      </c>
      <c r="G37" s="5" t="s">
        <v>681</v>
      </c>
      <c r="H37" s="65" t="s">
        <v>681</v>
      </c>
      <c r="I37" s="5" t="n">
        <v>1</v>
      </c>
      <c r="J37" s="65" t="n">
        <v>1</v>
      </c>
      <c r="K37" s="62"/>
      <c r="L37" s="62" t="n">
        <v>1</v>
      </c>
      <c r="M37" s="62"/>
      <c r="N37" s="62"/>
      <c r="O37" s="62"/>
      <c r="P37" s="62"/>
      <c r="Q37" s="5"/>
      <c r="R37" s="65"/>
      <c r="S37" s="5" t="s">
        <v>682</v>
      </c>
      <c r="T37" s="65" t="s">
        <v>682</v>
      </c>
      <c r="U37" s="62" t="n">
        <v>1</v>
      </c>
      <c r="V37" s="62" t="s">
        <v>516</v>
      </c>
      <c r="Z37" s="43" t="str">
        <f aca="false">"D6.scenario.defMeasures['"&amp;C37&amp;"'] = { "&amp;B$2&amp;":"""&amp;B37&amp;""",  "&amp;C$2&amp;":"""&amp;C37&amp;""",  "&amp;D$2&amp;":"""&amp;CLEAN(SUBSTITUTE(D37,"""","'"))&amp;""",  "&amp;I$2&amp;":"""&amp;I37&amp;""",  "&amp;F$2&amp;":"""&amp;F37&amp;""",  "&amp;G$2&amp;":"""&amp;CLEAN(SUBSTITUTE(G37,"""","'"))&amp;""", "&amp;K$2&amp;":"""&amp;K37&amp;""",  "&amp;L$2&amp;":"""&amp;L37&amp;""",  "&amp;M$2&amp;":"""&amp;M37&amp;""",  "&amp;N$2&amp;":"""&amp;N37&amp;""",  "&amp;O$2&amp;":"""&amp;O37&amp;""",  "&amp;P$2&amp;":"""&amp;P37&amp;""",  "&amp;Q$2&amp;":"""&amp;Q37&amp;""",  "&amp;S$2&amp;":"""&amp;CLEAN(SUBSTITUTE(S37,"""","'"))&amp;""",   "&amp;U$2&amp;":"""&amp;U37&amp;""",   "&amp;V$2&amp;":"""&amp;V37&amp;"""};"</f>
        <v>D6.scenario.defMeasures['mHTchangeHeat'] = { mid:"204",  name:"mHTchangeHeat",  title:"家の暖房をエアコンでする",  easyness:"1",  refCons:"consHTsum",  titleShort:"エアコン暖房", level:"",  figNum:"1",  lifeTime:"",  price:"",  roanShow:"",  standardType:"",  subsidy :"",  advice:"エアコンで暖房をすると、外気の熱を利用するため、ガスや灯油の暖房に比べて大幅にCO2を削減でき、光熱費の削減にもつながります。なお、暖かい空気は軽いために天井に集まりやすく、床までしっかり届くよう、強風の設定で運転したり、うちわなどを活用したりしてください。また、最近のエアコンは床まで暖める機能が充実しています。",   lifestyle:"1",   season:"wss"};</v>
      </c>
      <c r="AB37" s="20" t="str">
        <f aca="false">"$defMeasures['"&amp;C37&amp;"'] = [ '"&amp;B$2&amp;"'=&gt;"""&amp;B37&amp;""",   '"&amp;D$2&amp;"'=&gt;"""&amp;CLEAN(SUBSTITUTE(D37,"""","'"))&amp;""",  '"&amp;L$2&amp;"'=&gt;"""&amp;L37&amp;""",  '"&amp;S$2&amp;"'=&gt;"""&amp;CLEAN(SUBSTITUTE(S37,"""","'"))&amp;"""];"</f>
        <v>$defMeasures['mHTchangeHeat'] = [ 'mid'=&gt;"204",   'title'=&gt;"家の暖房をエアコンでする",  'figNum'=&gt;"1",  'advice'=&gt;"エアコンで暖房をすると、外気の熱を利用するため、ガスや灯油の暖房に比べて大幅にCO2を削減でき、光熱費の削減にもつながります。なお、暖かい空気は軽いために天井に集まりやすく、床までしっかり届くよう、強風の設定で運転したり、うちわなどを活用したりしてください。また、最近のエアコンは床まで暖める機能が充実しています。"];</v>
      </c>
      <c r="AD37" s="62" t="s">
        <v>685</v>
      </c>
    </row>
    <row r="38" customFormat="false" ht="69" hidden="false" customHeight="true" outlineLevel="0" collapsed="false">
      <c r="B38" s="62" t="n">
        <v>205</v>
      </c>
      <c r="C38" s="62" t="s">
        <v>686</v>
      </c>
      <c r="D38" s="5" t="s">
        <v>687</v>
      </c>
      <c r="E38" s="65" t="s">
        <v>687</v>
      </c>
      <c r="F38" s="62" t="s">
        <v>244</v>
      </c>
      <c r="G38" s="5" t="s">
        <v>688</v>
      </c>
      <c r="H38" s="65" t="s">
        <v>688</v>
      </c>
      <c r="I38" s="5" t="n">
        <v>4</v>
      </c>
      <c r="J38" s="65" t="n">
        <v>4</v>
      </c>
      <c r="K38" s="62"/>
      <c r="L38" s="62" t="n">
        <v>1</v>
      </c>
      <c r="M38" s="62" t="n">
        <v>5</v>
      </c>
      <c r="N38" s="62"/>
      <c r="O38" s="62"/>
      <c r="P38" s="62"/>
      <c r="Q38" s="5"/>
      <c r="R38" s="65"/>
      <c r="S38" s="5" t="s">
        <v>689</v>
      </c>
      <c r="T38" s="65" t="s">
        <v>689</v>
      </c>
      <c r="U38" s="62" t="n">
        <v>1</v>
      </c>
      <c r="V38" s="62" t="s">
        <v>516</v>
      </c>
      <c r="Z38" s="43" t="str">
        <f aca="false">"D6.scenario.defMeasures['"&amp;C38&amp;"'] = { "&amp;B$2&amp;":"""&amp;B38&amp;""",  "&amp;C$2&amp;":"""&amp;C38&amp;""",  "&amp;D$2&amp;":"""&amp;CLEAN(SUBSTITUTE(D38,"""","'"))&amp;""",  "&amp;I$2&amp;":"""&amp;I38&amp;""",  "&amp;F$2&amp;":"""&amp;F38&amp;""",  "&amp;G$2&amp;":"""&amp;CLEAN(SUBSTITUTE(G38,"""","'"))&amp;""", "&amp;K$2&amp;":"""&amp;K38&amp;""",  "&amp;L$2&amp;":"""&amp;L38&amp;""",  "&amp;M$2&amp;":"""&amp;M38&amp;""",  "&amp;N$2&amp;":"""&amp;N38&amp;""",  "&amp;O$2&amp;":"""&amp;O38&amp;""",  "&amp;P$2&amp;":"""&amp;P38&amp;""",  "&amp;Q$2&amp;":"""&amp;Q38&amp;""",  "&amp;S$2&amp;":"""&amp;CLEAN(SUBSTITUTE(S38,"""","'"))&amp;""",   "&amp;U$2&amp;":"""&amp;U38&amp;""",   "&amp;V$2&amp;":"""&amp;V38&amp;"""};"</f>
        <v>D6.scenario.defMeasures['mCOsunCut'] = { mid:"205",  name:"mCOsunCut",  title:"冷房で、すだれ等を使い日射をカットする",  easyness:"4",  refCons:"consCOsum",  titleShort:"冷房日射カット", level:"",  figNum:"1",  lifeTime:"5",  price:"",  roanShow:"",  standardType:"",  subsidy :"",  advice:"冷房時に日射が入るのは、窓にストーブを置いているようなものです。日射を遮ると、省エネになり、部屋が涼しくなります。カーテンでも日射を防ぐことができますが、部屋の内側にあるカーテンが暖まり、部屋が暑くなってしまいます。このため、窓の外にすだれ・よしずをするほうが涼しくなります。また、5月頃から、ゴーヤ・朝顔・ヘチマなどを植えて育てると、夏にはりっぱな「緑のカーテン」ができあがり、日射を防いでくれます。",   lifestyle:"1",   season:"wss"};</v>
      </c>
      <c r="AB38" s="20" t="str">
        <f aca="false">"$defMeasures['"&amp;C38&amp;"'] = [ '"&amp;B$2&amp;"'=&gt;"""&amp;B38&amp;""",   '"&amp;D$2&amp;"'=&gt;"""&amp;CLEAN(SUBSTITUTE(D38,"""","'"))&amp;""",  '"&amp;L$2&amp;"'=&gt;"""&amp;L38&amp;""",  '"&amp;S$2&amp;"'=&gt;"""&amp;CLEAN(SUBSTITUTE(S38,"""","'"))&amp;"""];"</f>
        <v>$defMeasures['mCOsunCut'] = [ 'mid'=&gt;"205",   'title'=&gt;"冷房で、すだれ等を使い日射をカットする",  'figNum'=&gt;"1",  'advice'=&gt;"冷房時に日射が入るのは、窓にストーブを置いているようなものです。日射を遮ると、省エネになり、部屋が涼しくなります。カーテンでも日射を防ぐことができますが、部屋の内側にあるカーテンが暖まり、部屋が暑くなってしまいます。このため、窓の外にすだれ・よしずをするほうが涼しくなります。また、5月頃から、ゴーヤ・朝顔・ヘチマなどを植えて育てると、夏にはりっぱな「緑のカーテン」ができあがり、日射を防いでくれます。"];</v>
      </c>
      <c r="AD38" s="62" t="s">
        <v>690</v>
      </c>
    </row>
    <row r="39" customFormat="false" ht="69" hidden="false" customHeight="true" outlineLevel="0" collapsed="false">
      <c r="B39" s="62" t="n">
        <v>206</v>
      </c>
      <c r="C39" s="62" t="s">
        <v>691</v>
      </c>
      <c r="D39" s="5" t="s">
        <v>692</v>
      </c>
      <c r="E39" s="65" t="s">
        <v>692</v>
      </c>
      <c r="F39" s="62" t="s">
        <v>251</v>
      </c>
      <c r="G39" s="5" t="s">
        <v>693</v>
      </c>
      <c r="H39" s="65" t="s">
        <v>693</v>
      </c>
      <c r="I39" s="5" t="n">
        <v>3</v>
      </c>
      <c r="J39" s="65" t="n">
        <v>3</v>
      </c>
      <c r="K39" s="62"/>
      <c r="L39" s="62" t="n">
        <v>1</v>
      </c>
      <c r="M39" s="62"/>
      <c r="N39" s="62"/>
      <c r="O39" s="62"/>
      <c r="P39" s="62"/>
      <c r="Q39" s="5"/>
      <c r="R39" s="65"/>
      <c r="S39" s="5" t="s">
        <v>694</v>
      </c>
      <c r="T39" s="65" t="s">
        <v>694</v>
      </c>
      <c r="U39" s="62" t="n">
        <v>1</v>
      </c>
      <c r="V39" s="62" t="s">
        <v>516</v>
      </c>
      <c r="Z39" s="43" t="str">
        <f aca="false">"D6.scenario.defMeasures['"&amp;C39&amp;"'] = { "&amp;B$2&amp;":"""&amp;B39&amp;""",  "&amp;C$2&amp;":"""&amp;C39&amp;""",  "&amp;D$2&amp;":"""&amp;CLEAN(SUBSTITUTE(D39,"""","'"))&amp;""",  "&amp;I$2&amp;":"""&amp;I39&amp;""",  "&amp;F$2&amp;":"""&amp;F39&amp;""",  "&amp;G$2&amp;":"""&amp;CLEAN(SUBSTITUTE(G39,"""","'"))&amp;""", "&amp;K$2&amp;":"""&amp;K39&amp;""",  "&amp;L$2&amp;":"""&amp;L39&amp;""",  "&amp;M$2&amp;":"""&amp;M39&amp;""",  "&amp;N$2&amp;":"""&amp;N39&amp;""",  "&amp;O$2&amp;":"""&amp;O39&amp;""",  "&amp;P$2&amp;":"""&amp;P39&amp;""",  "&amp;Q$2&amp;":"""&amp;Q39&amp;""",  "&amp;S$2&amp;":"""&amp;CLEAN(SUBSTITUTE(S39,"""","'"))&amp;""",   "&amp;U$2&amp;":"""&amp;U39&amp;""",   "&amp;V$2&amp;":"""&amp;V39&amp;"""};"</f>
        <v>D6.scenario.defMeasures['mCOtemplature'] = { mid:"206",  name:"mCOtemplature",  title:"冷房の温度設定を控えめ（28℃）にする",  easyness:"3",  refCons:"consACcool",  titleShort:"冷房設定温度", level:"",  figNum:"1",  lifeTime:"",  price:"",  roanShow:"",  standardType:"",  subsidy :"",  advice:"省エネを考えた冷房設定温度の目安は28℃以上です。「涼しく感じるようにする」のではなく、「暑すぎないようにする」程度に考えてみてください。暑さの感じ方には個人差があるので無理をする必要はありませんが、扇風機を活用したり、薄着をするなどして工夫をしてみてください。窓をあけて風が入ると涼しく感じますし、風鈴の音なども、涼しく感じさせてくれます。設定温度を1℃控えめにすることで、CO2排出量や光熱費をおよそ1割削減することができます。また季節の終わりには、早めに冷房器具を使わないようにすることも効果的です。",   lifestyle:"1",   season:"wss"};</v>
      </c>
      <c r="AB39" s="20" t="str">
        <f aca="false">"$defMeasures['"&amp;C39&amp;"'] = [ '"&amp;B$2&amp;"'=&gt;"""&amp;B39&amp;""",   '"&amp;D$2&amp;"'=&gt;"""&amp;CLEAN(SUBSTITUTE(D39,"""","'"))&amp;""",  '"&amp;L$2&amp;"'=&gt;"""&amp;L39&amp;""",  '"&amp;S$2&amp;"'=&gt;"""&amp;CLEAN(SUBSTITUTE(S39,"""","'"))&amp;"""];"</f>
        <v>$defMeasures['mCOtemplature'] = [ 'mid'=&gt;"206",   'title'=&gt;"冷房の温度設定を控えめ（28℃）にする",  'figNum'=&gt;"1",  'advice'=&gt;"省エネを考えた冷房設定温度の目安は28℃以上です。「涼しく感じるようにする」のではなく、「暑すぎないようにする」程度に考えてみてください。暑さの感じ方には個人差があるので無理をする必要はありませんが、扇風機を活用したり、薄着をするなどして工夫をしてみてください。窓をあけて風が入ると涼しく感じますし、風鈴の音なども、涼しく感じさせてくれます。設定温度を1℃控えめにすることで、CO2排出量や光熱費をおよそ1割削減することができます。また季節の終わりには、早めに冷房器具を使わないようにすることも効果的です。"];</v>
      </c>
      <c r="AD39" s="62" t="s">
        <v>695</v>
      </c>
    </row>
    <row r="40" customFormat="false" ht="69" hidden="false" customHeight="true" outlineLevel="0" collapsed="false">
      <c r="B40" s="62" t="n">
        <v>207</v>
      </c>
      <c r="C40" s="62" t="s">
        <v>696</v>
      </c>
      <c r="D40" s="5" t="s">
        <v>697</v>
      </c>
      <c r="E40" s="65" t="s">
        <v>697</v>
      </c>
      <c r="F40" s="62" t="s">
        <v>249</v>
      </c>
      <c r="G40" s="5" t="s">
        <v>698</v>
      </c>
      <c r="H40" s="65" t="s">
        <v>698</v>
      </c>
      <c r="I40" s="5" t="n">
        <v>3</v>
      </c>
      <c r="J40" s="65" t="n">
        <v>3</v>
      </c>
      <c r="K40" s="62"/>
      <c r="L40" s="62" t="n">
        <v>3</v>
      </c>
      <c r="M40" s="62"/>
      <c r="N40" s="62"/>
      <c r="O40" s="62"/>
      <c r="P40" s="62"/>
      <c r="Q40" s="5"/>
      <c r="R40" s="65"/>
      <c r="S40" s="5" t="s">
        <v>699</v>
      </c>
      <c r="T40" s="65" t="s">
        <v>699</v>
      </c>
      <c r="U40" s="62" t="n">
        <v>1</v>
      </c>
      <c r="V40" s="62" t="s">
        <v>516</v>
      </c>
      <c r="Z40" s="43" t="str">
        <f aca="false">"D6.scenario.defMeasures['"&amp;C40&amp;"'] = { "&amp;B$2&amp;":"""&amp;B40&amp;""",  "&amp;C$2&amp;":"""&amp;C40&amp;""",  "&amp;D$2&amp;":"""&amp;CLEAN(SUBSTITUTE(D40,"""","'"))&amp;""",  "&amp;I$2&amp;":"""&amp;I40&amp;""",  "&amp;F$2&amp;":"""&amp;F40&amp;""",  "&amp;G$2&amp;":"""&amp;CLEAN(SUBSTITUTE(G40,"""","'"))&amp;""", "&amp;K$2&amp;":"""&amp;K40&amp;""",  "&amp;L$2&amp;":"""&amp;L40&amp;""",  "&amp;M$2&amp;":"""&amp;M40&amp;""",  "&amp;N$2&amp;":"""&amp;N40&amp;""",  "&amp;O$2&amp;":"""&amp;O40&amp;""",  "&amp;P$2&amp;":"""&amp;P40&amp;""",  "&amp;Q$2&amp;":"""&amp;Q40&amp;""",  "&amp;S$2&amp;":"""&amp;CLEAN(SUBSTITUTE(S40,"""","'"))&amp;""",   "&amp;U$2&amp;":"""&amp;U40&amp;""",   "&amp;V$2&amp;":"""&amp;V40&amp;"""};"</f>
        <v>D6.scenario.defMeasures['mHTtemplature'] = { mid:"207",  name:"mHTtemplature",  title:"厚着をして暖房の温度設定を控えめ（20℃）にする",  easyness:"3",  refCons:"consACheat",  titleShort:"暖房設定温度", level:"",  figNum:"3",  lifeTime:"",  price:"",  roanShow:"",  standardType:"",  subsidy :"",  advice:"省エネを考えた暖房設定温度の目安は20℃以下です。「暖かく感じるようにする」のではなく「寒くないようにする」程度に考えてみてください。寒さの感じ方には個人差があるので無理をする必要はありませんが、厚着をしたり、暖まる食事をとるなどして、工夫をしてみてください。設定温度を1℃控えめにすることで、CO2排出量や光熱費をおよそ1割削減することができます。また季節の終わりには、早めに冷暖房器具を使うのを止めることも効果的です。",   lifestyle:"1",   season:"wss"};</v>
      </c>
      <c r="AB40" s="20" t="str">
        <f aca="false">"$defMeasures['"&amp;C40&amp;"'] = [ '"&amp;B$2&amp;"'=&gt;"""&amp;B40&amp;""",   '"&amp;D$2&amp;"'=&gt;"""&amp;CLEAN(SUBSTITUTE(D40,"""","'"))&amp;""",  '"&amp;L$2&amp;"'=&gt;"""&amp;L40&amp;""",  '"&amp;S$2&amp;"'=&gt;"""&amp;CLEAN(SUBSTITUTE(S40,"""","'"))&amp;"""];"</f>
        <v>$defMeasures['mHTtemplature'] = [ 'mid'=&gt;"207",   'title'=&gt;"厚着をして暖房の温度設定を控えめ（20℃）にする",  'figNum'=&gt;"3",  'advice'=&gt;"省エネを考えた暖房設定温度の目安は20℃以下です。「暖かく感じるようにする」のではなく「寒くないようにする」程度に考えてみてください。寒さの感じ方には個人差があるので無理をする必要はありませんが、厚着をしたり、暖まる食事をとるなどして、工夫をしてみてください。設定温度を1℃控えめにすることで、CO2排出量や光熱費をおよそ1割削減することができます。また季節の終わりには、早めに冷暖房器具を使うのを止めることも効果的です。"];</v>
      </c>
      <c r="AD40" s="62" t="s">
        <v>700</v>
      </c>
    </row>
    <row r="41" customFormat="false" ht="69" hidden="false" customHeight="true" outlineLevel="0" collapsed="false">
      <c r="B41" s="62" t="n">
        <v>208</v>
      </c>
      <c r="C41" s="62" t="s">
        <v>701</v>
      </c>
      <c r="D41" s="5" t="s">
        <v>702</v>
      </c>
      <c r="E41" s="65" t="s">
        <v>702</v>
      </c>
      <c r="F41" s="62" t="s">
        <v>249</v>
      </c>
      <c r="G41" s="5" t="s">
        <v>703</v>
      </c>
      <c r="H41" s="65" t="s">
        <v>703</v>
      </c>
      <c r="I41" s="5" t="n">
        <v>3</v>
      </c>
      <c r="J41" s="65" t="n">
        <v>3</v>
      </c>
      <c r="K41" s="62"/>
      <c r="L41" s="62" t="n">
        <v>4</v>
      </c>
      <c r="M41" s="62" t="n">
        <v>3</v>
      </c>
      <c r="N41" s="62" t="n">
        <v>3000</v>
      </c>
      <c r="O41" s="62"/>
      <c r="P41" s="62"/>
      <c r="Q41" s="5"/>
      <c r="R41" s="65"/>
      <c r="S41" s="5" t="s">
        <v>704</v>
      </c>
      <c r="T41" s="65" t="s">
        <v>704</v>
      </c>
      <c r="U41" s="62"/>
      <c r="V41" s="62" t="s">
        <v>516</v>
      </c>
      <c r="Z41" s="43" t="str">
        <f aca="false">"D6.scenario.defMeasures['"&amp;C41&amp;"'] = { "&amp;B$2&amp;":"""&amp;B41&amp;""",  "&amp;C$2&amp;":"""&amp;C41&amp;""",  "&amp;D$2&amp;":"""&amp;CLEAN(SUBSTITUTE(D41,"""","'"))&amp;""",  "&amp;I$2&amp;":"""&amp;I41&amp;""",  "&amp;F$2&amp;":"""&amp;F41&amp;""",  "&amp;G$2&amp;":"""&amp;CLEAN(SUBSTITUTE(G41,"""","'"))&amp;""", "&amp;K$2&amp;":"""&amp;K41&amp;""",  "&amp;L$2&amp;":"""&amp;L41&amp;""",  "&amp;M$2&amp;":"""&amp;M41&amp;""",  "&amp;N$2&amp;":"""&amp;N41&amp;""",  "&amp;O$2&amp;":"""&amp;O41&amp;""",  "&amp;P$2&amp;":"""&amp;P41&amp;""",  "&amp;Q$2&amp;":"""&amp;Q41&amp;""",  "&amp;S$2&amp;":"""&amp;CLEAN(SUBSTITUTE(S41,"""","'"))&amp;""",   "&amp;U$2&amp;":"""&amp;U41&amp;""",   "&amp;V$2&amp;":"""&amp;V41&amp;"""};"</f>
        <v>D6.scenario.defMeasures['mHTwindowSheet'] = { mid:"208",  name:"mHTwindowSheet",  title:"暖房時に、窓用の断熱シートを貼る",  easyness:"3",  refCons:"consACheat",  titleShort:"窓断熱シート", level:"",  figNum:"4",  lifeTime:"3",  price:"3000",  roanShow:"",  standardType:"",  subsidy :"",  advice:"窓用の断熱シート（いわゆるプチプチシートのようなエアクションタイプのもの）は、ホームセンター等で売られています。窓をきれいに拭いてから、霧吹きをかけ、その水だけで窓に貼り付けることができます。断熱効果があるだけでなく、結露も抑えることができます。窓から吹き下ろしてくる冷たい風も和らぎ、快適性も向上します。",   lifestyle:"",   season:"wss"};</v>
      </c>
      <c r="AB41" s="20" t="str">
        <f aca="false">"$defMeasures['"&amp;C41&amp;"'] = [ '"&amp;B$2&amp;"'=&gt;"""&amp;B41&amp;""",   '"&amp;D$2&amp;"'=&gt;"""&amp;CLEAN(SUBSTITUTE(D41,"""","'"))&amp;""",  '"&amp;L$2&amp;"'=&gt;"""&amp;L41&amp;""",  '"&amp;S$2&amp;"'=&gt;"""&amp;CLEAN(SUBSTITUTE(S41,"""","'"))&amp;"""];"</f>
        <v>$defMeasures['mHTwindowSheet'] = [ 'mid'=&gt;"208",   'title'=&gt;"暖房時に、窓用の断熱シートを貼る",  'figNum'=&gt;"4",  'advice'=&gt;"窓用の断熱シート（いわゆるプチプチシートのようなエアクションタイプのもの）は、ホームセンター等で売られています。窓をきれいに拭いてから、霧吹きをかけ、その水だけで窓に貼り付けることができます。断熱効果があるだけでなく、結露も抑えることができます。窓から吹き下ろしてくる冷たい風も和らぎ、快適性も向上します。"];</v>
      </c>
      <c r="AD41" s="62" t="s">
        <v>705</v>
      </c>
    </row>
    <row r="42" customFormat="false" ht="69" hidden="false" customHeight="true" outlineLevel="0" collapsed="false">
      <c r="B42" s="62" t="n">
        <v>209</v>
      </c>
      <c r="C42" s="62" t="s">
        <v>706</v>
      </c>
      <c r="D42" s="5" t="s">
        <v>707</v>
      </c>
      <c r="E42" s="65" t="s">
        <v>707</v>
      </c>
      <c r="F42" s="62" t="s">
        <v>249</v>
      </c>
      <c r="G42" s="5" t="s">
        <v>708</v>
      </c>
      <c r="H42" s="65" t="s">
        <v>708</v>
      </c>
      <c r="I42" s="5" t="n">
        <v>1</v>
      </c>
      <c r="J42" s="65" t="n">
        <v>1</v>
      </c>
      <c r="K42" s="62" t="n">
        <v>5</v>
      </c>
      <c r="L42" s="62" t="n">
        <v>4</v>
      </c>
      <c r="M42" s="62" t="n">
        <v>30</v>
      </c>
      <c r="N42" s="62" t="n">
        <v>150000</v>
      </c>
      <c r="O42" s="62"/>
      <c r="P42" s="62"/>
      <c r="Q42" s="5" t="s">
        <v>709</v>
      </c>
      <c r="R42" s="65" t="s">
        <v>710</v>
      </c>
      <c r="S42" s="5" t="s">
        <v>711</v>
      </c>
      <c r="T42" s="65" t="s">
        <v>711</v>
      </c>
      <c r="U42" s="62"/>
      <c r="V42" s="62" t="s">
        <v>516</v>
      </c>
      <c r="Z42" s="43" t="str">
        <f aca="false">"D6.scenario.defMeasures['"&amp;C42&amp;"'] = { "&amp;B$2&amp;":"""&amp;B42&amp;""",  "&amp;C$2&amp;":"""&amp;C42&amp;""",  "&amp;D$2&amp;":"""&amp;CLEAN(SUBSTITUTE(D42,"""","'"))&amp;""",  "&amp;I$2&amp;":"""&amp;I42&amp;""",  "&amp;F$2&amp;":"""&amp;F42&amp;""",  "&amp;G$2&amp;":"""&amp;CLEAN(SUBSTITUTE(G42,"""","'"))&amp;""", "&amp;K$2&amp;":"""&amp;K42&amp;""",  "&amp;L$2&amp;":"""&amp;L42&amp;""",  "&amp;M$2&amp;":"""&amp;M42&amp;""",  "&amp;N$2&amp;":"""&amp;N42&amp;""",  "&amp;O$2&amp;":"""&amp;O42&amp;""",  "&amp;P$2&amp;":"""&amp;P42&amp;""",  "&amp;Q$2&amp;":"""&amp;Q42&amp;""",  "&amp;S$2&amp;":"""&amp;CLEAN(SUBSTITUTE(S42,"""","'"))&amp;""",   "&amp;U$2&amp;":"""&amp;U42&amp;""",   "&amp;V$2&amp;":"""&amp;V42&amp;"""};"</f>
        <v>D6.scenario.defMeasures['mHTdouble'] = { mid:"209",  name:"mHTdouble",  title:"窓・サッシを複合素材枠二重ガラスにする",  easyness:"1",  refCons:"consACheat",  titleShort:"二重ガラス", level:"5",  figNum:"4",  lifeTime:"30",  price:"150000",  roanShow:"",  standardType:"",  subsidy :"子育てグリーン住宅支援事業の対象で、他の断熱工事や機器導入を行って補助額が5万円以上になると補助されます。家の窓全体の断熱工事をする場合、工事にかかった費用に応じて、固定資産税の控除の制度があります。",  advice:"暖房時は窓やサッシから逃げる熱の割合が多く、通常のシングルガラスを複層ガラスに取り替えることで熱の逃げ方を半分程度に抑えることができます。省エネだけでなく、結露がつきにくくなるというメリットもあります。窓から吹き下ろしてくる冷たい風も和らぎ、快適性も向上します。家屋に応じた手法がありますので、工務店などに相談してください。",   lifestyle:"",   season:"wss"};</v>
      </c>
      <c r="AB42" s="20" t="str">
        <f aca="false">"$defMeasures['"&amp;C42&amp;"'] = [ '"&amp;B$2&amp;"'=&gt;"""&amp;B42&amp;""",   '"&amp;D$2&amp;"'=&gt;"""&amp;CLEAN(SUBSTITUTE(D42,"""","'"))&amp;""",  '"&amp;L$2&amp;"'=&gt;"""&amp;L42&amp;""",  '"&amp;S$2&amp;"'=&gt;"""&amp;CLEAN(SUBSTITUTE(S42,"""","'"))&amp;"""];"</f>
        <v>$defMeasures['mHTdouble'] = [ 'mid'=&gt;"209",   'title'=&gt;"窓・サッシを複合素材枠二重ガラスにする",  'figNum'=&gt;"4",  'advice'=&gt;"暖房時は窓やサッシから逃げる熱の割合が多く、通常のシングルガラスを複層ガラスに取り替えることで熱の逃げ方を半分程度に抑えることができます。省エネだけでなく、結露がつきにくくなるというメリットもあります。窓から吹き下ろしてくる冷たい風も和らぎ、快適性も向上します。家屋に応じた手法がありますので、工務店などに相談してください。"];</v>
      </c>
      <c r="AD42" s="62" t="s">
        <v>712</v>
      </c>
    </row>
    <row r="43" customFormat="false" ht="69" hidden="false" customHeight="true" outlineLevel="0" collapsed="false">
      <c r="B43" s="62" t="n">
        <v>210</v>
      </c>
      <c r="C43" s="62" t="s">
        <v>713</v>
      </c>
      <c r="D43" s="5" t="s">
        <v>714</v>
      </c>
      <c r="E43" s="65" t="s">
        <v>714</v>
      </c>
      <c r="F43" s="62" t="s">
        <v>249</v>
      </c>
      <c r="G43" s="5" t="s">
        <v>715</v>
      </c>
      <c r="H43" s="65" t="s">
        <v>715</v>
      </c>
      <c r="I43" s="5" t="n">
        <v>1</v>
      </c>
      <c r="J43" s="65" t="n">
        <v>1</v>
      </c>
      <c r="K43" s="62"/>
      <c r="L43" s="62" t="n">
        <v>4</v>
      </c>
      <c r="M43" s="62" t="n">
        <v>30</v>
      </c>
      <c r="N43" s="62" t="n">
        <v>170000</v>
      </c>
      <c r="O43" s="62"/>
      <c r="P43" s="62"/>
      <c r="Q43" s="5" t="s">
        <v>709</v>
      </c>
      <c r="R43" s="65" t="s">
        <v>710</v>
      </c>
      <c r="S43" s="5" t="s">
        <v>711</v>
      </c>
      <c r="T43" s="65" t="s">
        <v>711</v>
      </c>
      <c r="U43" s="62"/>
      <c r="V43" s="62" t="s">
        <v>516</v>
      </c>
      <c r="Z43" s="43" t="str">
        <f aca="false">"D6.scenario.defMeasures['"&amp;C43&amp;"'] = { "&amp;B$2&amp;":"""&amp;B43&amp;""",  "&amp;C$2&amp;":"""&amp;C43&amp;""",  "&amp;D$2&amp;":"""&amp;CLEAN(SUBSTITUTE(D43,"""","'"))&amp;""",  "&amp;I$2&amp;":"""&amp;I43&amp;""",  "&amp;F$2&amp;":"""&amp;F43&amp;""",  "&amp;G$2&amp;":"""&amp;CLEAN(SUBSTITUTE(G43,"""","'"))&amp;""", "&amp;K$2&amp;":"""&amp;K43&amp;""",  "&amp;L$2&amp;":"""&amp;L43&amp;""",  "&amp;M$2&amp;":"""&amp;M43&amp;""",  "&amp;N$2&amp;":"""&amp;N43&amp;""",  "&amp;O$2&amp;":"""&amp;O43&amp;""",  "&amp;P$2&amp;":"""&amp;P43&amp;""",  "&amp;Q$2&amp;":"""&amp;Q43&amp;""",  "&amp;S$2&amp;":"""&amp;CLEAN(SUBSTITUTE(S43,"""","'"))&amp;""",   "&amp;U$2&amp;":"""&amp;U43&amp;""",   "&amp;V$2&amp;":"""&amp;V43&amp;"""};"</f>
        <v>D6.scenario.defMeasures['mHTlowe'] = { mid:"210",  name:"mHTlowe",  title:"窓・サッシを樹脂枠low-Eガラスにする",  easyness:"1",  refCons:"consACheat",  titleShort:"樹脂枠low-Eガラス", level:"",  figNum:"4",  lifeTime:"30",  price:"170000",  roanShow:"",  standardType:"",  subsidy :"子育てグリーン住宅支援事業の対象で、他の断熱工事や機器導入を行って補助額が5万円以上になると補助されます。家の窓全体の断熱工事をする場合、工事にかかった費用に応じて、固定資産税の控除の制度があります。",  advice:"暖房時は窓やサッシから逃げる熱の割合が多く、通常のシングルガラスを複層ガラスに取り替えることで熱の逃げ方を半分程度に抑えることができます。省エネだけでなく、結露がつきにくくなるというメリットもあります。窓から吹き下ろしてくる冷たい風も和らぎ、快適性も向上します。家屋に応じた手法がありますので、工務店などに相談してください。",   lifestyle:"",   season:"wss"};</v>
      </c>
      <c r="AB43" s="20" t="str">
        <f aca="false">"$defMeasures['"&amp;C43&amp;"'] = [ '"&amp;B$2&amp;"'=&gt;"""&amp;B43&amp;""",   '"&amp;D$2&amp;"'=&gt;"""&amp;CLEAN(SUBSTITUTE(D43,"""","'"))&amp;""",  '"&amp;L$2&amp;"'=&gt;"""&amp;L43&amp;""",  '"&amp;S$2&amp;"'=&gt;"""&amp;CLEAN(SUBSTITUTE(S43,"""","'"))&amp;"""];"</f>
        <v>$defMeasures['mHTlowe'] = [ 'mid'=&gt;"210",   'title'=&gt;"窓・サッシを樹脂枠low-Eガラスにする",  'figNum'=&gt;"4",  'advice'=&gt;"暖房時は窓やサッシから逃げる熱の割合が多く、通常のシングルガラスを複層ガラスに取り替えることで熱の逃げ方を半分程度に抑えることができます。省エネだけでなく、結露がつきにくくなるというメリットもあります。窓から吹き下ろしてくる冷たい風も和らぎ、快適性も向上します。家屋に応じた手法がありますので、工務店などに相談してください。"];</v>
      </c>
      <c r="AD43" s="62" t="s">
        <v>716</v>
      </c>
    </row>
    <row r="44" customFormat="false" ht="69" hidden="false" customHeight="true" outlineLevel="0" collapsed="false">
      <c r="B44" s="62" t="n">
        <v>211</v>
      </c>
      <c r="C44" s="62" t="s">
        <v>717</v>
      </c>
      <c r="D44" s="5" t="s">
        <v>718</v>
      </c>
      <c r="E44" s="65" t="s">
        <v>718</v>
      </c>
      <c r="F44" s="62" t="s">
        <v>249</v>
      </c>
      <c r="G44" s="5" t="s">
        <v>719</v>
      </c>
      <c r="H44" s="65" t="s">
        <v>719</v>
      </c>
      <c r="I44" s="5" t="n">
        <v>2</v>
      </c>
      <c r="J44" s="65" t="n">
        <v>2</v>
      </c>
      <c r="K44" s="62" t="n">
        <v>5</v>
      </c>
      <c r="L44" s="62" t="n">
        <v>4</v>
      </c>
      <c r="M44" s="62" t="n">
        <v>30</v>
      </c>
      <c r="N44" s="62" t="n">
        <v>100000</v>
      </c>
      <c r="O44" s="62"/>
      <c r="P44" s="62"/>
      <c r="Q44" s="5" t="s">
        <v>709</v>
      </c>
      <c r="R44" s="65" t="s">
        <v>710</v>
      </c>
      <c r="S44" s="5" t="s">
        <v>720</v>
      </c>
      <c r="T44" s="65" t="s">
        <v>720</v>
      </c>
      <c r="U44" s="62"/>
      <c r="V44" s="62" t="s">
        <v>516</v>
      </c>
      <c r="Z44" s="43" t="str">
        <f aca="false">"D6.scenario.defMeasures['"&amp;C44&amp;"'] = { "&amp;B$2&amp;":"""&amp;B44&amp;""",  "&amp;C$2&amp;":"""&amp;C44&amp;""",  "&amp;D$2&amp;":"""&amp;CLEAN(SUBSTITUTE(D44,"""","'"))&amp;""",  "&amp;I$2&amp;":"""&amp;I44&amp;""",  "&amp;F$2&amp;":"""&amp;F44&amp;""",  "&amp;G$2&amp;":"""&amp;CLEAN(SUBSTITUTE(G44,"""","'"))&amp;""", "&amp;K$2&amp;":"""&amp;K44&amp;""",  "&amp;L$2&amp;":"""&amp;L44&amp;""",  "&amp;M$2&amp;":"""&amp;M44&amp;""",  "&amp;N$2&amp;":"""&amp;N44&amp;""",  "&amp;O$2&amp;":"""&amp;O44&amp;""",  "&amp;P$2&amp;":"""&amp;P44&amp;""",  "&amp;Q$2&amp;":"""&amp;Q44&amp;""",  "&amp;S$2&amp;":"""&amp;CLEAN(SUBSTITUTE(S44,"""","'"))&amp;""",   "&amp;U$2&amp;":"""&amp;U44&amp;""",   "&amp;V$2&amp;":"""&amp;V44&amp;"""};"</f>
        <v>D6.scenario.defMeasures['mHTuchimado'] = { mid:"211",  name:"mHTuchimado",  title:"内窓をとりつける",  easyness:"2",  refCons:"consACheat",  titleShort:"内窓", level:"5",  figNum:"4",  lifeTime:"30",  price:"100000",  roanShow:"",  standardType:"",  subsidy :"子育てグリーン住宅支援事業の対象で、他の断熱工事や機器導入を行って補助額が5万円以上になると補助されます。家の窓全体の断熱工事をする場合、工事にかかった費用に応じて、固定資産税の控除の制度があります。",  advice:"暖房時は窓やサッシから逃げる熱の割合が多く、現在の窓やサッシの内側に追加して「内窓」をつけることでより熱が逃げにくくなります。内窓は比較的工事費が安く、約1時間で工事も完了し、結露防止や防犯にも効果があります。詳しくは工務店などに相談してください。",   lifestyle:"",   season:"wss"};</v>
      </c>
      <c r="AB44" s="20" t="str">
        <f aca="false">"$defMeasures['"&amp;C44&amp;"'] = [ '"&amp;B$2&amp;"'=&gt;"""&amp;B44&amp;""",   '"&amp;D$2&amp;"'=&gt;"""&amp;CLEAN(SUBSTITUTE(D44,"""","'"))&amp;""",  '"&amp;L$2&amp;"'=&gt;"""&amp;L44&amp;""",  '"&amp;S$2&amp;"'=&gt;"""&amp;CLEAN(SUBSTITUTE(S44,"""","'"))&amp;"""];"</f>
        <v>$defMeasures['mHTuchimado'] = [ 'mid'=&gt;"211",   'title'=&gt;"内窓をとりつける",  'figNum'=&gt;"4",  'advice'=&gt;"暖房時は窓やサッシから逃げる熱の割合が多く、現在の窓やサッシの内側に追加して「内窓」をつけることでより熱が逃げにくくなります。内窓は比較的工事費が安く、約1時間で工事も完了し、結露防止や防犯にも効果があります。詳しくは工務店などに相談してください。"];</v>
      </c>
      <c r="AD44" s="62" t="s">
        <v>721</v>
      </c>
    </row>
    <row r="45" customFormat="false" ht="69" hidden="false" customHeight="true" outlineLevel="0" collapsed="false">
      <c r="B45" s="62" t="n">
        <v>212</v>
      </c>
      <c r="C45" s="62" t="s">
        <v>722</v>
      </c>
      <c r="D45" s="5" t="s">
        <v>723</v>
      </c>
      <c r="E45" s="65" t="s">
        <v>723</v>
      </c>
      <c r="F45" s="62" t="s">
        <v>240</v>
      </c>
      <c r="G45" s="5" t="s">
        <v>724</v>
      </c>
      <c r="H45" s="65" t="s">
        <v>724</v>
      </c>
      <c r="I45" s="5" t="n">
        <v>1</v>
      </c>
      <c r="J45" s="65" t="n">
        <v>1</v>
      </c>
      <c r="K45" s="62"/>
      <c r="L45" s="62" t="n">
        <v>4</v>
      </c>
      <c r="M45" s="62" t="n">
        <v>30</v>
      </c>
      <c r="N45" s="62" t="n">
        <f aca="false">N42*5</f>
        <v>750000</v>
      </c>
      <c r="O45" s="62"/>
      <c r="P45" s="62"/>
      <c r="Q45" s="5" t="s">
        <v>709</v>
      </c>
      <c r="R45" s="65" t="s">
        <v>710</v>
      </c>
      <c r="S45" s="5" t="s">
        <v>725</v>
      </c>
      <c r="T45" s="65" t="s">
        <v>725</v>
      </c>
      <c r="U45" s="62"/>
      <c r="V45" s="62" t="s">
        <v>516</v>
      </c>
      <c r="Z45" s="43" t="str">
        <f aca="false">"D6.scenario.defMeasures['"&amp;C45&amp;"'] = { "&amp;B$2&amp;":"""&amp;B45&amp;""",  "&amp;C$2&amp;":"""&amp;C45&amp;""",  "&amp;D$2&amp;":"""&amp;CLEAN(SUBSTITUTE(D45,"""","'"))&amp;""",  "&amp;I$2&amp;":"""&amp;I45&amp;""",  "&amp;F$2&amp;":"""&amp;F45&amp;""",  "&amp;G$2&amp;":"""&amp;CLEAN(SUBSTITUTE(G45,"""","'"))&amp;""", "&amp;K$2&amp;":"""&amp;K45&amp;""",  "&amp;L$2&amp;":"""&amp;L45&amp;""",  "&amp;M$2&amp;":"""&amp;M45&amp;""",  "&amp;N$2&amp;":"""&amp;N45&amp;""",  "&amp;O$2&amp;":"""&amp;O45&amp;""",  "&amp;P$2&amp;":"""&amp;P45&amp;""",  "&amp;Q$2&amp;":"""&amp;Q45&amp;""",  "&amp;S$2&amp;":"""&amp;CLEAN(SUBSTITUTE(S45,"""","'"))&amp;""",   "&amp;U$2&amp;":"""&amp;U45&amp;""",   "&amp;V$2&amp;":"""&amp;V45&amp;"""};"</f>
        <v>D6.scenario.defMeasures['mHTdoubleGlassAll'] = { mid:"212",  name:"mHTdoubleGlassAll",  title:"全ての部屋の窓ガラスを複層ガラスに置き換える",  easyness:"1",  refCons:"consHTsum",  titleShort:"全居室を複層ガラスに", level:"",  figNum:"4",  lifeTime:"30",  price:"750000",  roanShow:"",  standardType:"",  subsidy :"子育てグリーン住宅支援事業の対象で、他の断熱工事や機器導入を行って補助額が5万円以上になると補助されます。家の窓全体の断熱工事をする場合、工事にかかった費用に応じて、固定資産税の控除の制度があります。",  advice:"暖房時は窓やサッシから逃げる熱の割合が多く、通常のシングルガラスを複層ガラスに取り替えることで熱の逃げ方を半分程度に抑えることができます。省エネだけでなく、結露がつきにくくなるというメリットもあります。窓から吹き下ろしてくる冷たい風も和らいだり、冬の朝方の寒さが改善されたりなど、快適性も向上します。家屋に応じた手法がありますので、工務店などに相談してください。",   lifestyle:"",   season:"wss"};</v>
      </c>
      <c r="AB45" s="20" t="str">
        <f aca="false">"$defMeasures['"&amp;C45&amp;"'] = [ '"&amp;B$2&amp;"'=&gt;"""&amp;B45&amp;""",   '"&amp;D$2&amp;"'=&gt;"""&amp;CLEAN(SUBSTITUTE(D45,"""","'"))&amp;""",  '"&amp;L$2&amp;"'=&gt;"""&amp;L45&amp;""",  '"&amp;S$2&amp;"'=&gt;"""&amp;CLEAN(SUBSTITUTE(S45,"""","'"))&amp;"""];"</f>
        <v>$defMeasures['mHTdoubleGlassAll'] = [ 'mid'=&gt;"212",   'title'=&gt;"全ての部屋の窓ガラスを複層ガラスに置き換える",  'figNum'=&gt;"4",  'advice'=&gt;"暖房時は窓やサッシから逃げる熱の割合が多く、通常のシングルガラスを複層ガラスに取り替えることで熱の逃げ方を半分程度に抑えることができます。省エネだけでなく、結露がつきにくくなるというメリットもあります。窓から吹き下ろしてくる冷たい風も和らいだり、冬の朝方の寒さが改善されたりなど、快適性も向上します。家屋に応じた手法がありますので、工務店などに相談してください。"];</v>
      </c>
      <c r="AD45" s="62" t="s">
        <v>712</v>
      </c>
    </row>
    <row r="46" customFormat="false" ht="69" hidden="false" customHeight="true" outlineLevel="0" collapsed="false">
      <c r="B46" s="62" t="n">
        <v>213</v>
      </c>
      <c r="C46" s="62" t="s">
        <v>726</v>
      </c>
      <c r="D46" s="5" t="s">
        <v>727</v>
      </c>
      <c r="E46" s="65" t="s">
        <v>727</v>
      </c>
      <c r="F46" s="62" t="s">
        <v>240</v>
      </c>
      <c r="G46" s="5" t="s">
        <v>728</v>
      </c>
      <c r="H46" s="65" t="s">
        <v>728</v>
      </c>
      <c r="I46" s="5" t="n">
        <v>1</v>
      </c>
      <c r="J46" s="65" t="n">
        <v>1</v>
      </c>
      <c r="K46" s="62"/>
      <c r="L46" s="62" t="n">
        <v>4</v>
      </c>
      <c r="M46" s="62" t="n">
        <v>30</v>
      </c>
      <c r="N46" s="62" t="n">
        <f aca="false">N44*5</f>
        <v>500000</v>
      </c>
      <c r="O46" s="62"/>
      <c r="P46" s="62"/>
      <c r="Q46" s="5" t="s">
        <v>709</v>
      </c>
      <c r="R46" s="65" t="s">
        <v>710</v>
      </c>
      <c r="S46" s="5" t="s">
        <v>729</v>
      </c>
      <c r="T46" s="65" t="s">
        <v>730</v>
      </c>
      <c r="U46" s="62"/>
      <c r="V46" s="62" t="s">
        <v>516</v>
      </c>
      <c r="Z46" s="43" t="str">
        <f aca="false">"D6.scenario.defMeasures['"&amp;C46&amp;"'] = { "&amp;B$2&amp;":"""&amp;B46&amp;""",  "&amp;C$2&amp;":"""&amp;C46&amp;""",  "&amp;D$2&amp;":"""&amp;CLEAN(SUBSTITUTE(D46,"""","'"))&amp;""",  "&amp;I$2&amp;":"""&amp;I46&amp;""",  "&amp;F$2&amp;":"""&amp;F46&amp;""",  "&amp;G$2&amp;":"""&amp;CLEAN(SUBSTITUTE(G46,"""","'"))&amp;""", "&amp;K$2&amp;":"""&amp;K46&amp;""",  "&amp;L$2&amp;":"""&amp;L46&amp;""",  "&amp;M$2&amp;":"""&amp;M46&amp;""",  "&amp;N$2&amp;":"""&amp;N46&amp;""",  "&amp;O$2&amp;":"""&amp;O46&amp;""",  "&amp;P$2&amp;":"""&amp;P46&amp;""",  "&amp;Q$2&amp;":"""&amp;Q46&amp;""",  "&amp;S$2&amp;":"""&amp;CLEAN(SUBSTITUTE(S46,"""","'"))&amp;""",   "&amp;U$2&amp;":"""&amp;U46&amp;""",   "&amp;V$2&amp;":"""&amp;V46&amp;"""};"</f>
        <v>D6.scenario.defMeasures['mHTuchimadoAll'] = { mid:"213",  name:"mHTuchimadoAll",  title:"全ての部屋に内窓をとりつける",  easyness:"1",  refCons:"consHTsum",  titleShort:"全居室を内窓に", level:"",  figNum:"4",  lifeTime:"30",  price:"500000",  roanShow:"",  standardType:"",  subsidy :"子育てグリーン住宅支援事業の対象で、他の断熱工事や機器導入を行って補助額が5万円以上になると補助されます。家の窓全体の断熱工事をする場合、工事にかかった費用に応じて、固定資産税の控除の制度があります。",  advice:"暖房時は窓やサッシから逃げる熱の割合が多く、現在の窓やサッシの内側に追加して「内窓」をつけることでより熱が逃げにくくなります。内窓は比較的工事費が安く、約1時間で工事も完了し、結露防止や防犯にも効果があります。窓から吹き下ろしてくる冷たい風も和らいだり、冬の朝方の寒さが改善されたりなど、快適性も向上します。詳しくは工務店などに相談してください。",   lifestyle:"",   season:"wss"};</v>
      </c>
      <c r="AB46" s="20" t="str">
        <f aca="false">"$defMeasures['"&amp;C46&amp;"'] = [ '"&amp;B$2&amp;"'=&gt;"""&amp;B46&amp;""",   '"&amp;D$2&amp;"'=&gt;"""&amp;CLEAN(SUBSTITUTE(D46,"""","'"))&amp;""",  '"&amp;L$2&amp;"'=&gt;"""&amp;L46&amp;""",  '"&amp;S$2&amp;"'=&gt;"""&amp;CLEAN(SUBSTITUTE(S46,"""","'"))&amp;"""];"</f>
        <v>$defMeasures['mHTuchimadoAll'] = [ 'mid'=&gt;"213",   'title'=&gt;"全ての部屋に内窓をとりつける",  'figNum'=&gt;"4",  'advice'=&gt;"暖房時は窓やサッシから逃げる熱の割合が多く、現在の窓やサッシの内側に追加して「内窓」をつけることでより熱が逃げにくくなります。内窓は比較的工事費が安く、約1時間で工事も完了し、結露防止や防犯にも効果があります。窓から吹き下ろしてくる冷たい風も和らいだり、冬の朝方の寒さが改善されたりなど、快適性も向上します。詳しくは工務店などに相談してください。"];</v>
      </c>
      <c r="AD46" s="62" t="s">
        <v>716</v>
      </c>
    </row>
    <row r="47" customFormat="false" ht="69" hidden="false" customHeight="true" outlineLevel="0" collapsed="false">
      <c r="B47" s="62" t="n">
        <v>214</v>
      </c>
      <c r="C47" s="62" t="s">
        <v>731</v>
      </c>
      <c r="D47" s="5" t="s">
        <v>732</v>
      </c>
      <c r="E47" s="65" t="s">
        <v>732</v>
      </c>
      <c r="F47" s="62" t="s">
        <v>240</v>
      </c>
      <c r="G47" s="5" t="s">
        <v>733</v>
      </c>
      <c r="H47" s="65" t="s">
        <v>733</v>
      </c>
      <c r="I47" s="5" t="n">
        <v>1</v>
      </c>
      <c r="J47" s="65" t="n">
        <v>1</v>
      </c>
      <c r="K47" s="62"/>
      <c r="L47" s="62" t="n">
        <v>4</v>
      </c>
      <c r="M47" s="62" t="n">
        <v>30</v>
      </c>
      <c r="N47" s="62" t="n">
        <f aca="false">N43*5</f>
        <v>850000</v>
      </c>
      <c r="O47" s="62"/>
      <c r="P47" s="62"/>
      <c r="Q47" s="5" t="s">
        <v>709</v>
      </c>
      <c r="R47" s="65" t="s">
        <v>710</v>
      </c>
      <c r="S47" s="5" t="s">
        <v>725</v>
      </c>
      <c r="T47" s="65" t="s">
        <v>725</v>
      </c>
      <c r="U47" s="62"/>
      <c r="V47" s="62" t="s">
        <v>516</v>
      </c>
      <c r="Z47" s="43" t="str">
        <f aca="false">"D6.scenario.defMeasures['"&amp;C47&amp;"'] = { "&amp;B$2&amp;":"""&amp;B47&amp;""",  "&amp;C$2&amp;":"""&amp;C47&amp;""",  "&amp;D$2&amp;":"""&amp;CLEAN(SUBSTITUTE(D47,"""","'"))&amp;""",  "&amp;I$2&amp;":"""&amp;I47&amp;""",  "&amp;F$2&amp;":"""&amp;F47&amp;""",  "&amp;G$2&amp;":"""&amp;CLEAN(SUBSTITUTE(G47,"""","'"))&amp;""", "&amp;K$2&amp;":"""&amp;K47&amp;""",  "&amp;L$2&amp;":"""&amp;L47&amp;""",  "&amp;M$2&amp;":"""&amp;M47&amp;""",  "&amp;N$2&amp;":"""&amp;N47&amp;""",  "&amp;O$2&amp;":"""&amp;O47&amp;""",  "&amp;P$2&amp;":"""&amp;P47&amp;""",  "&amp;Q$2&amp;":"""&amp;Q47&amp;""",  "&amp;S$2&amp;":"""&amp;CLEAN(SUBSTITUTE(S47,"""","'"))&amp;""",   "&amp;U$2&amp;":"""&amp;U47&amp;""",   "&amp;V$2&amp;":"""&amp;V47&amp;"""};"</f>
        <v>D6.scenario.defMeasures['mHTloweAll'] = { mid:"214",  name:"mHTloweAll",  title:"全ての部屋の窓・サッシを樹脂枠low-Eガラスにする",  easyness:"1",  refCons:"consHTsum",  titleShort:"全居室を樹脂枠low-Eガラスに", level:"",  figNum:"4",  lifeTime:"30",  price:"850000",  roanShow:"",  standardType:"",  subsidy :"子育てグリーン住宅支援事業の対象で、他の断熱工事や機器導入を行って補助額が5万円以上になると補助されます。家の窓全体の断熱工事をする場合、工事にかかった費用に応じて、固定資産税の控除の制度があります。",  advice:"暖房時は窓やサッシから逃げる熱の割合が多く、通常のシングルガラスを複層ガラスに取り替えることで熱の逃げ方を半分程度に抑えることができます。省エネだけでなく、結露がつきにくくなるというメリットもあります。窓から吹き下ろしてくる冷たい風も和らいだり、冬の朝方の寒さが改善されたりなど、快適性も向上します。家屋に応じた手法がありますので、工務店などに相談してください。",   lifestyle:"",   season:"wss"};</v>
      </c>
      <c r="AB47" s="20" t="str">
        <f aca="false">"$defMeasures['"&amp;C47&amp;"'] = [ '"&amp;B$2&amp;"'=&gt;"""&amp;B47&amp;""",   '"&amp;D$2&amp;"'=&gt;"""&amp;CLEAN(SUBSTITUTE(D47,"""","'"))&amp;""",  '"&amp;L$2&amp;"'=&gt;"""&amp;L47&amp;""",  '"&amp;S$2&amp;"'=&gt;"""&amp;CLEAN(SUBSTITUTE(S47,"""","'"))&amp;"""];"</f>
        <v>$defMeasures['mHTloweAll'] = [ 'mid'=&gt;"214",   'title'=&gt;"全ての部屋の窓・サッシを樹脂枠low-Eガラスにする",  'figNum'=&gt;"4",  'advice'=&gt;"暖房時は窓やサッシから逃げる熱の割合が多く、通常のシングルガラスを複層ガラスに取り替えることで熱の逃げ方を半分程度に抑えることができます。省エネだけでなく、結露がつきにくくなるというメリットもあります。窓から吹き下ろしてくる冷たい風も和らいだり、冬の朝方の寒さが改善されたりなど、快適性も向上します。家屋に応じた手法がありますので、工務店などに相談してください。"];</v>
      </c>
      <c r="AD47" s="62" t="s">
        <v>721</v>
      </c>
    </row>
    <row r="48" customFormat="false" ht="69" hidden="false" customHeight="true" outlineLevel="0" collapsed="false">
      <c r="B48" s="62" t="n">
        <v>215</v>
      </c>
      <c r="C48" s="62" t="s">
        <v>734</v>
      </c>
      <c r="D48" s="5" t="s">
        <v>735</v>
      </c>
      <c r="E48" s="65" t="s">
        <v>735</v>
      </c>
      <c r="F48" s="62" t="s">
        <v>249</v>
      </c>
      <c r="G48" s="5" t="s">
        <v>736</v>
      </c>
      <c r="H48" s="65" t="s">
        <v>736</v>
      </c>
      <c r="I48" s="5" t="n">
        <v>2</v>
      </c>
      <c r="J48" s="65" t="n">
        <v>2</v>
      </c>
      <c r="K48" s="62" t="n">
        <v>5</v>
      </c>
      <c r="L48" s="62" t="n">
        <v>1</v>
      </c>
      <c r="M48" s="62"/>
      <c r="N48" s="62"/>
      <c r="O48" s="62"/>
      <c r="P48" s="62"/>
      <c r="Q48" s="5"/>
      <c r="R48" s="65"/>
      <c r="S48" s="5" t="s">
        <v>737</v>
      </c>
      <c r="T48" s="65" t="s">
        <v>737</v>
      </c>
      <c r="U48" s="62" t="n">
        <v>1</v>
      </c>
      <c r="V48" s="62" t="s">
        <v>516</v>
      </c>
      <c r="Z48" s="43" t="str">
        <f aca="false">"D6.scenario.defMeasures['"&amp;C48&amp;"'] = { "&amp;B$2&amp;":"""&amp;B48&amp;""",  "&amp;C$2&amp;":"""&amp;C48&amp;""",  "&amp;D$2&amp;":"""&amp;CLEAN(SUBSTITUTE(D48,"""","'"))&amp;""",  "&amp;I$2&amp;":"""&amp;I48&amp;""",  "&amp;F$2&amp;":"""&amp;F48&amp;""",  "&amp;G$2&amp;":"""&amp;CLEAN(SUBSTITUTE(G48,"""","'"))&amp;""", "&amp;K$2&amp;":"""&amp;K48&amp;""",  "&amp;L$2&amp;":"""&amp;L48&amp;""",  "&amp;M$2&amp;":"""&amp;M48&amp;""",  "&amp;N$2&amp;":"""&amp;N48&amp;""",  "&amp;O$2&amp;":"""&amp;O48&amp;""",  "&amp;P$2&amp;":"""&amp;P48&amp;""",  "&amp;Q$2&amp;":"""&amp;Q48&amp;""",  "&amp;S$2&amp;":"""&amp;CLEAN(SUBSTITUTE(S48,"""","'"))&amp;""",   "&amp;U$2&amp;":"""&amp;U48&amp;""",   "&amp;V$2&amp;":"""&amp;V48&amp;"""};"</f>
        <v>D6.scenario.defMeasures['mACfilter'] = { mid:"215",  name:"mACfilter",  title:"エアコンのフィルターを掃除する",  easyness:"2",  refCons:"consACheat",  titleShort:"フィルター掃除", level:"5",  figNum:"1",  lifeTime:"",  price:"",  roanShow:"",  standardType:"",  subsidy :"",  advice:"エアコンは1ヶ月利用するごとにフィルター掃除するのが望ましいです。フィルターの目が詰まると、送風が弱くなり、特に暖房での効率が大きく落ちてしまいます。特にキッチンを含む部屋では、油煙がつきやすいのでこまめに掃除してください。最近のエアコンでは、自動的にフィルターを掃除する機種もあります。",   lifestyle:"1",   season:"wss"};</v>
      </c>
      <c r="AB48" s="20" t="str">
        <f aca="false">"$defMeasures['"&amp;C48&amp;"'] = [ '"&amp;B$2&amp;"'=&gt;"""&amp;B48&amp;""",   '"&amp;D$2&amp;"'=&gt;"""&amp;CLEAN(SUBSTITUTE(D48,"""","'"))&amp;""",  '"&amp;L$2&amp;"'=&gt;"""&amp;L48&amp;""",  '"&amp;S$2&amp;"'=&gt;"""&amp;CLEAN(SUBSTITUTE(S48,"""","'"))&amp;"""];"</f>
        <v>$defMeasures['mACfilter'] = [ 'mid'=&gt;"215",   'title'=&gt;"エアコンのフィルターを掃除する",  'figNum'=&gt;"1",  'advice'=&gt;"エアコンは1ヶ月利用するごとにフィルター掃除するのが望ましいです。フィルターの目が詰まると、送風が弱くなり、特に暖房での効率が大きく落ちてしまいます。特にキッチンを含む部屋では、油煙がつきやすいのでこまめに掃除してください。最近のエアコンでは、自動的にフィルターを掃除する機種もあります。"];</v>
      </c>
      <c r="AD48" s="62" t="s">
        <v>738</v>
      </c>
    </row>
    <row r="49" customFormat="false" ht="69" hidden="false" customHeight="true" outlineLevel="0" collapsed="false">
      <c r="B49" s="62" t="n">
        <v>216</v>
      </c>
      <c r="C49" s="62" t="s">
        <v>739</v>
      </c>
      <c r="D49" s="5" t="s">
        <v>740</v>
      </c>
      <c r="E49" s="65" t="s">
        <v>740</v>
      </c>
      <c r="F49" s="62" t="s">
        <v>249</v>
      </c>
      <c r="G49" s="5" t="s">
        <v>741</v>
      </c>
      <c r="H49" s="65" t="s">
        <v>741</v>
      </c>
      <c r="I49" s="5" t="n">
        <v>3</v>
      </c>
      <c r="J49" s="65" t="n">
        <v>3</v>
      </c>
      <c r="K49" s="62"/>
      <c r="L49" s="62" t="n">
        <v>3</v>
      </c>
      <c r="M49" s="62"/>
      <c r="N49" s="62"/>
      <c r="O49" s="62"/>
      <c r="P49" s="62"/>
      <c r="Q49" s="5"/>
      <c r="R49" s="65"/>
      <c r="S49" s="5" t="s">
        <v>742</v>
      </c>
      <c r="T49" s="65" t="s">
        <v>742</v>
      </c>
      <c r="U49" s="62" t="n">
        <v>1</v>
      </c>
      <c r="V49" s="62" t="s">
        <v>516</v>
      </c>
      <c r="Z49" s="43" t="str">
        <f aca="false">"D6.scenario.defMeasures['"&amp;C49&amp;"'] = { "&amp;B$2&amp;":"""&amp;B49&amp;""",  "&amp;C$2&amp;":"""&amp;C49&amp;""",  "&amp;D$2&amp;":"""&amp;CLEAN(SUBSTITUTE(D49,"""","'"))&amp;""",  "&amp;I$2&amp;":"""&amp;I49&amp;""",  "&amp;F$2&amp;":"""&amp;F49&amp;""",  "&amp;G$2&amp;":"""&amp;CLEAN(SUBSTITUTE(G49,"""","'"))&amp;""", "&amp;K$2&amp;":"""&amp;K49&amp;""",  "&amp;L$2&amp;":"""&amp;L49&amp;""",  "&amp;M$2&amp;":"""&amp;M49&amp;""",  "&amp;N$2&amp;":"""&amp;N49&amp;""",  "&amp;O$2&amp;":"""&amp;O49&amp;""",  "&amp;P$2&amp;":"""&amp;P49&amp;""",  "&amp;Q$2&amp;":"""&amp;Q49&amp;""",  "&amp;S$2&amp;":"""&amp;CLEAN(SUBSTITUTE(S49,"""","'"))&amp;""",   "&amp;U$2&amp;":"""&amp;U49&amp;""",   "&amp;V$2&amp;":"""&amp;V49&amp;"""};"</f>
        <v>D6.scenario.defMeasures['mHTtime'] = { mid:"216",  name:"mHTtime",  title:"暖房の使用時間を1時間短くする",  easyness:"3",  refCons:"consACheat",  titleShort:"暖房1時間短縮", level:"",  figNum:"3",  lifeTime:"",  price:"",  roanShow:"",  standardType:"",  subsidy :"",  advice:"暖房はつい長い時間つけっぱなしにしがちです。暖かくなったら止めるようにしましょう。就寝前や外出時などは30分前に止めるのも一つの方法です。また、人がいない部屋を暖房するのは無駄ですので、なるべく切るようにしましょう。",   lifestyle:"1",   season:"wss"};</v>
      </c>
      <c r="AB49" s="20" t="str">
        <f aca="false">"$defMeasures['"&amp;C49&amp;"'] = [ '"&amp;B$2&amp;"'=&gt;"""&amp;B49&amp;""",   '"&amp;D$2&amp;"'=&gt;"""&amp;CLEAN(SUBSTITUTE(D49,"""","'"))&amp;""",  '"&amp;L$2&amp;"'=&gt;"""&amp;L49&amp;""",  '"&amp;S$2&amp;"'=&gt;"""&amp;CLEAN(SUBSTITUTE(S49,"""","'"))&amp;"""];"</f>
        <v>$defMeasures['mHTtime'] = [ 'mid'=&gt;"216",   'title'=&gt;"暖房の使用時間を1時間短くする",  'figNum'=&gt;"3",  'advice'=&gt;"暖房はつい長い時間つけっぱなしにしがちです。暖かくなったら止めるようにしましょう。就寝前や外出時などは30分前に止めるのも一つの方法です。また、人がいない部屋を暖房するのは無駄ですので、なるべく切るようにしましょう。"];</v>
      </c>
      <c r="AD49" s="62" t="s">
        <v>743</v>
      </c>
    </row>
    <row r="50" customFormat="false" ht="69" hidden="false" customHeight="true" outlineLevel="0" collapsed="false">
      <c r="B50" s="62" t="n">
        <v>217</v>
      </c>
      <c r="C50" s="62" t="s">
        <v>744</v>
      </c>
      <c r="D50" s="5" t="s">
        <v>745</v>
      </c>
      <c r="E50" s="65" t="s">
        <v>745</v>
      </c>
      <c r="F50" s="62" t="s">
        <v>249</v>
      </c>
      <c r="G50" s="5" t="s">
        <v>746</v>
      </c>
      <c r="H50" s="65" t="s">
        <v>746</v>
      </c>
      <c r="I50" s="5" t="n">
        <v>2</v>
      </c>
      <c r="J50" s="65" t="n">
        <v>2</v>
      </c>
      <c r="K50" s="62"/>
      <c r="L50" s="62" t="n">
        <v>3</v>
      </c>
      <c r="M50" s="62"/>
      <c r="N50" s="62"/>
      <c r="O50" s="62"/>
      <c r="P50" s="62"/>
      <c r="Q50" s="5"/>
      <c r="R50" s="65"/>
      <c r="S50" s="5" t="s">
        <v>747</v>
      </c>
      <c r="T50" s="65" t="s">
        <v>747</v>
      </c>
      <c r="U50" s="62" t="n">
        <v>1</v>
      </c>
      <c r="V50" s="62" t="s">
        <v>516</v>
      </c>
      <c r="Z50" s="43" t="str">
        <f aca="false">"D6.scenario.defMeasures['"&amp;C50&amp;"'] = { "&amp;B$2&amp;":"""&amp;B50&amp;""",  "&amp;C$2&amp;":"""&amp;C50&amp;""",  "&amp;D$2&amp;":"""&amp;CLEAN(SUBSTITUTE(D50,"""","'"))&amp;""",  "&amp;I$2&amp;":"""&amp;I50&amp;""",  "&amp;F$2&amp;":"""&amp;F50&amp;""",  "&amp;G$2&amp;":"""&amp;CLEAN(SUBSTITUTE(G50,"""","'"))&amp;""", "&amp;K$2&amp;":"""&amp;K50&amp;""",  "&amp;L$2&amp;":"""&amp;L50&amp;""",  "&amp;M$2&amp;":"""&amp;M50&amp;""",  "&amp;N$2&amp;":"""&amp;N50&amp;""",  "&amp;O$2&amp;":"""&amp;O50&amp;""",  "&amp;P$2&amp;":"""&amp;P50&amp;""",  "&amp;Q$2&amp;":"""&amp;Q50&amp;""",  "&amp;S$2&amp;":"""&amp;CLEAN(SUBSTITUTE(S50,"""","'"))&amp;""",   "&amp;U$2&amp;":"""&amp;U50&amp;""",   "&amp;V$2&amp;":"""&amp;V50&amp;"""};"</f>
        <v>D6.scenario.defMeasures['mHTpartialHeating'] = { mid:"217",  name:"mHTpartialHeating",  title:"こたつやホットカーペットを活用して、部屋暖房を控える",  easyness:"2",  refCons:"consACheat",  titleShort:"こたつ・ホットカーペット", level:"",  figNum:"3",  lifeTime:"",  price:"",  roanShow:"",  standardType:"",  subsidy :"",  advice:"こたつやホットカーペットなどの部分暖房は、身体の近くだけを温めるので、消費エネルギーが少なくなっています。部屋暖房の設定温度を大きく下げても、同じ快適性を維持できます。特に、吹き抜け構造だったり、暖房部屋から階段が上階に続いている構造の場合、せっかく温めた空気が天井に抜けてしまい、部屋を温めるのに効率が悪くなります。こうした場合には、足元を温める暖房も検討してみてください。靴下をはいたり、厚着をすることも効果的です。&lt;br&gt;　こたつやホットカーペットを使う場合には、床との間に断熱シートを敷いたり、こたつの掛け布団も厚めにすると、より消費電力を減らせます。",   lifestyle:"1",   season:"wss"};</v>
      </c>
      <c r="AB50" s="20" t="str">
        <f aca="false">"$defMeasures['"&amp;C50&amp;"'] = [ '"&amp;B$2&amp;"'=&gt;"""&amp;B50&amp;""",   '"&amp;D$2&amp;"'=&gt;"""&amp;CLEAN(SUBSTITUTE(D50,"""","'"))&amp;""",  '"&amp;L$2&amp;"'=&gt;"""&amp;L50&amp;""",  '"&amp;S$2&amp;"'=&gt;"""&amp;CLEAN(SUBSTITUTE(S50,"""","'"))&amp;"""];"</f>
        <v>$defMeasures['mHTpartialHeating'] = [ 'mid'=&gt;"217",   'title'=&gt;"こたつやホットカーペットを活用して、部屋暖房を控える",  'figNum'=&gt;"3",  'advice'=&gt;"こたつやホットカーペットなどの部分暖房は、身体の近くだけを温めるので、消費エネルギーが少なくなっています。部屋暖房の設定温度を大きく下げても、同じ快適性を維持できます。特に、吹き抜け構造だったり、暖房部屋から階段が上階に続いている構造の場合、せっかく温めた空気が天井に抜けてしまい、部屋を温めるのに効率が悪くなります。こうした場合には、足元を温める暖房も検討してみてください。靴下をはいたり、厚着をすることも効果的です。&lt;br&gt;　こたつやホットカーペットを使う場合には、床との間に断熱シートを敷いたり、こたつの掛け布団も厚めにすると、より消費電力を減らせます。"];</v>
      </c>
      <c r="AD50" s="62" t="s">
        <v>748</v>
      </c>
    </row>
    <row r="51" customFormat="false" ht="69" hidden="false" customHeight="true" outlineLevel="0" collapsed="false">
      <c r="B51" s="62" t="n">
        <v>218</v>
      </c>
      <c r="C51" s="62" t="s">
        <v>749</v>
      </c>
      <c r="D51" s="5" t="s">
        <v>750</v>
      </c>
      <c r="E51" s="65" t="s">
        <v>750</v>
      </c>
      <c r="F51" s="62" t="s">
        <v>249</v>
      </c>
      <c r="G51" s="5" t="s">
        <v>751</v>
      </c>
      <c r="H51" s="65" t="s">
        <v>751</v>
      </c>
      <c r="I51" s="5" t="n">
        <v>2</v>
      </c>
      <c r="J51" s="65" t="n">
        <v>2</v>
      </c>
      <c r="K51" s="62"/>
      <c r="L51" s="62" t="n">
        <v>3</v>
      </c>
      <c r="M51" s="62"/>
      <c r="N51" s="62"/>
      <c r="O51" s="62"/>
      <c r="P51" s="62"/>
      <c r="Q51" s="5"/>
      <c r="R51" s="65"/>
      <c r="S51" s="5" t="s">
        <v>752</v>
      </c>
      <c r="T51" s="65" t="s">
        <v>752</v>
      </c>
      <c r="U51" s="62" t="n">
        <v>1</v>
      </c>
      <c r="V51" s="62" t="s">
        <v>516</v>
      </c>
      <c r="Z51" s="43" t="str">
        <f aca="false">"D6.scenario.defMeasures['"&amp;C51&amp;"'] = { "&amp;B$2&amp;":"""&amp;B51&amp;""",  "&amp;C$2&amp;":"""&amp;C51&amp;""",  "&amp;D$2&amp;":"""&amp;CLEAN(SUBSTITUTE(D51,"""","'"))&amp;""",  "&amp;I$2&amp;":"""&amp;I51&amp;""",  "&amp;F$2&amp;":"""&amp;F51&amp;""",  "&amp;G$2&amp;":"""&amp;CLEAN(SUBSTITUTE(G51,"""","'"))&amp;""", "&amp;K$2&amp;":"""&amp;K51&amp;""",  "&amp;L$2&amp;":"""&amp;L51&amp;""",  "&amp;M$2&amp;":"""&amp;M51&amp;""",  "&amp;N$2&amp;":"""&amp;N51&amp;""",  "&amp;O$2&amp;":"""&amp;O51&amp;""",  "&amp;P$2&amp;":"""&amp;P51&amp;""",  "&amp;Q$2&amp;":"""&amp;Q51&amp;""",  "&amp;S$2&amp;":"""&amp;CLEAN(SUBSTITUTE(S51,"""","'"))&amp;""",   "&amp;U$2&amp;":"""&amp;U51&amp;""",   "&amp;V$2&amp;":"""&amp;V51&amp;"""};"</f>
        <v>D6.scenario.defMeasures['mHTceiling'] = { mid:"218",  name:"mHTceiling",  title:"暖房時に天井の暖気をかきまぜる",  easyness:"2",  refCons:"consACheat",  titleShort:"サーキュレータ", level:"",  figNum:"3",  lifeTime:"",  price:"",  roanShow:"",  standardType:"",  subsidy :"",  advice:"部屋暖房をしていると、床に比べて天井のほうが5～10℃近くも温度が高くなっていることが多くあります。うちわなどでかきまぜたり、サーキュレータや扇風機を上向きにしてかきまぜることで、暖かい空気を床まで届けることができ、快適に過ごせます。靴下をはいたり、厚着をすることも効果的です。",   lifestyle:"1",   season:"wss"};</v>
      </c>
      <c r="AB51" s="20" t="str">
        <f aca="false">"$defMeasures['"&amp;C51&amp;"'] = [ '"&amp;B$2&amp;"'=&gt;"""&amp;B51&amp;""",   '"&amp;D$2&amp;"'=&gt;"""&amp;CLEAN(SUBSTITUTE(D51,"""","'"))&amp;""",  '"&amp;L$2&amp;"'=&gt;"""&amp;L51&amp;""",  '"&amp;S$2&amp;"'=&gt;"""&amp;CLEAN(SUBSTITUTE(S51,"""","'"))&amp;"""];"</f>
        <v>$defMeasures['mHTceiling'] = [ 'mid'=&gt;"218",   'title'=&gt;"暖房時に天井の暖気をかきまぜる",  'figNum'=&gt;"3",  'advice'=&gt;"部屋暖房をしていると、床に比べて天井のほうが5～10℃近くも温度が高くなっていることが多くあります。うちわなどでかきまぜたり、サーキュレータや扇風機を上向きにしてかきまぜることで、暖かい空気を床まで届けることができ、快適に過ごせます。靴下をはいたり、厚着をすることも効果的です。"];</v>
      </c>
      <c r="AD51" s="62" t="s">
        <v>753</v>
      </c>
    </row>
    <row r="52" customFormat="false" ht="69" hidden="false" customHeight="true" outlineLevel="0" collapsed="false">
      <c r="B52" s="62" t="n">
        <v>219</v>
      </c>
      <c r="C52" s="62" t="s">
        <v>754</v>
      </c>
      <c r="D52" s="5" t="s">
        <v>755</v>
      </c>
      <c r="E52" s="65" t="s">
        <v>755</v>
      </c>
      <c r="F52" s="62" t="s">
        <v>249</v>
      </c>
      <c r="G52" s="5" t="s">
        <v>756</v>
      </c>
      <c r="H52" s="65" t="s">
        <v>756</v>
      </c>
      <c r="I52" s="5" t="n">
        <v>2</v>
      </c>
      <c r="J52" s="65" t="n">
        <v>2</v>
      </c>
      <c r="K52" s="62" t="n">
        <v>5</v>
      </c>
      <c r="L52" s="62" t="n">
        <v>3</v>
      </c>
      <c r="M52" s="62"/>
      <c r="N52" s="62"/>
      <c r="O52" s="62"/>
      <c r="P52" s="62"/>
      <c r="Q52" s="5"/>
      <c r="R52" s="65"/>
      <c r="S52" s="5" t="s">
        <v>757</v>
      </c>
      <c r="T52" s="65" t="s">
        <v>757</v>
      </c>
      <c r="U52" s="62" t="n">
        <v>1</v>
      </c>
      <c r="V52" s="62" t="s">
        <v>516</v>
      </c>
      <c r="Z52" s="43" t="str">
        <f aca="false">"D6.scenario.defMeasures['"&amp;C52&amp;"'] = { "&amp;B$2&amp;":"""&amp;B52&amp;""",  "&amp;C$2&amp;":"""&amp;C52&amp;""",  "&amp;D$2&amp;":"""&amp;CLEAN(SUBSTITUTE(D52,"""","'"))&amp;""",  "&amp;I$2&amp;":"""&amp;I52&amp;""",  "&amp;F$2&amp;":"""&amp;F52&amp;""",  "&amp;G$2&amp;":"""&amp;CLEAN(SUBSTITUTE(G52,"""","'"))&amp;""", "&amp;K$2&amp;":"""&amp;K52&amp;""",  "&amp;L$2&amp;":"""&amp;L52&amp;""",  "&amp;M$2&amp;":"""&amp;M52&amp;""",  "&amp;N$2&amp;":"""&amp;N52&amp;""",  "&amp;O$2&amp;":"""&amp;O52&amp;""",  "&amp;P$2&amp;":"""&amp;P52&amp;""",  "&amp;Q$2&amp;":"""&amp;Q52&amp;""",  "&amp;S$2&amp;":"""&amp;CLEAN(SUBSTITUTE(S52,"""","'"))&amp;""",   "&amp;U$2&amp;":"""&amp;U52&amp;""",   "&amp;V$2&amp;":"""&amp;V52&amp;"""};"</f>
        <v>D6.scenario.defMeasures['mHTareaLimit'] = { mid:"219",  name:"mHTareaLimit",  title:"暖房時に部屋のドアやふすまを閉め、暖房範囲を小さくする",  easyness:"2",  refCons:"consACheat",  titleShort:"暖房範囲", level:"5",  figNum:"3",  lifeTime:"",  price:"",  roanShow:"",  standardType:"",  subsidy :"",  advice:"広い部屋を暖房するのには多くのエネルギーが必要です。ふすまや扉などで部屋を区切ると、小さい暖房器具でもよく暖まります。逆に吹き抜け構造など天井が高い場合は、多くの暖房が必要になります。",   lifestyle:"1",   season:"wss"};</v>
      </c>
      <c r="AB52" s="20" t="str">
        <f aca="false">"$defMeasures['"&amp;C52&amp;"'] = [ '"&amp;B$2&amp;"'=&gt;"""&amp;B52&amp;""",   '"&amp;D$2&amp;"'=&gt;"""&amp;CLEAN(SUBSTITUTE(D52,"""","'"))&amp;""",  '"&amp;L$2&amp;"'=&gt;"""&amp;L52&amp;""",  '"&amp;S$2&amp;"'=&gt;"""&amp;CLEAN(SUBSTITUTE(S52,"""","'"))&amp;"""];"</f>
        <v>$defMeasures['mHTareaLimit'] = [ 'mid'=&gt;"219",   'title'=&gt;"暖房時に部屋のドアやふすまを閉め、暖房範囲を小さくする",  'figNum'=&gt;"3",  'advice'=&gt;"広い部屋を暖房するのには多くのエネルギーが必要です。ふすまや扉などで部屋を区切ると、小さい暖房器具でもよく暖まります。逆に吹き抜け構造など天井が高い場合は、多くの暖房が必要になります。"];</v>
      </c>
      <c r="AD52" s="62" t="s">
        <v>758</v>
      </c>
    </row>
    <row r="53" customFormat="false" ht="69" hidden="false" customHeight="true" outlineLevel="0" collapsed="false">
      <c r="B53" s="62" t="n">
        <v>220</v>
      </c>
      <c r="C53" s="62" t="s">
        <v>759</v>
      </c>
      <c r="D53" s="5" t="s">
        <v>760</v>
      </c>
      <c r="E53" s="65" t="s">
        <v>760</v>
      </c>
      <c r="F53" s="62" t="s">
        <v>240</v>
      </c>
      <c r="G53" s="5" t="s">
        <v>761</v>
      </c>
      <c r="H53" s="65" t="s">
        <v>761</v>
      </c>
      <c r="I53" s="5" t="n">
        <v>3</v>
      </c>
      <c r="J53" s="65" t="n">
        <v>3</v>
      </c>
      <c r="K53" s="62"/>
      <c r="L53" s="62" t="n">
        <v>3</v>
      </c>
      <c r="M53" s="62"/>
      <c r="N53" s="62"/>
      <c r="O53" s="62"/>
      <c r="P53" s="62"/>
      <c r="Q53" s="5"/>
      <c r="R53" s="65"/>
      <c r="S53" s="5" t="s">
        <v>762</v>
      </c>
      <c r="T53" s="65" t="s">
        <v>762</v>
      </c>
      <c r="U53" s="62" t="n">
        <v>1</v>
      </c>
      <c r="V53" s="62" t="s">
        <v>516</v>
      </c>
      <c r="Z53" s="43" t="str">
        <f aca="false">"D6.scenario.defMeasures['"&amp;C53&amp;"'] = { "&amp;B$2&amp;":"""&amp;B53&amp;""",  "&amp;C$2&amp;":"""&amp;C53&amp;""",  "&amp;D$2&amp;":"""&amp;CLEAN(SUBSTITUTE(D53,"""","'"))&amp;""",  "&amp;I$2&amp;":"""&amp;I53&amp;""",  "&amp;F$2&amp;":"""&amp;F53&amp;""",  "&amp;G$2&amp;":"""&amp;CLEAN(SUBSTITUTE(G53,"""","'"))&amp;""", "&amp;K$2&amp;":"""&amp;K53&amp;""",  "&amp;L$2&amp;":"""&amp;L53&amp;""",  "&amp;M$2&amp;":"""&amp;M53&amp;""",  "&amp;N$2&amp;":"""&amp;N53&amp;""",  "&amp;O$2&amp;":"""&amp;O53&amp;""",  "&amp;P$2&amp;":"""&amp;P53&amp;""",  "&amp;Q$2&amp;":"""&amp;Q53&amp;""",  "&amp;S$2&amp;":"""&amp;CLEAN(SUBSTITUTE(S53,"""","'"))&amp;""",   "&amp;U$2&amp;":"""&amp;U53&amp;""",   "&amp;V$2&amp;":"""&amp;V53&amp;"""};"</f>
        <v>D6.scenario.defMeasures['mHTdanran'] = { mid:"220",  name:"mHTdanran",  title:"家族だんらんで一部屋で過ごすようにする",  easyness:"3",  refCons:"consHTsum",  titleShort:"家族だんらん", level:"",  figNum:"3",  lifeTime:"",  price:"",  roanShow:"",  standardType:"",  subsidy :"",  advice:"家族が別々の部屋で過ごすと、それぞれに暖房や照明をつける必要があります。いっしょの部屋で過ごすことで、暖房も照明も減らすことができます。ぜひ団らんの時間を楽しみながら、省エネをしてみてください。",   lifestyle:"1",   season:"wss"};</v>
      </c>
      <c r="AB53" s="20" t="str">
        <f aca="false">"$defMeasures['"&amp;C53&amp;"'] = [ '"&amp;B$2&amp;"'=&gt;"""&amp;B53&amp;""",   '"&amp;D$2&amp;"'=&gt;"""&amp;CLEAN(SUBSTITUTE(D53,"""","'"))&amp;""",  '"&amp;L$2&amp;"'=&gt;"""&amp;L53&amp;""",  '"&amp;S$2&amp;"'=&gt;"""&amp;CLEAN(SUBSTITUTE(S53,"""","'"))&amp;"""];"</f>
        <v>$defMeasures['mHTdanran'] = [ 'mid'=&gt;"220",   'title'=&gt;"家族だんらんで一部屋で過ごすようにする",  'figNum'=&gt;"3",  'advice'=&gt;"家族が別々の部屋で過ごすと、それぞれに暖房や照明をつける必要があります。いっしょの部屋で過ごすことで、暖房も照明も減らすことができます。ぜひ団らんの時間を楽しみながら、省エネをしてみてください。"];</v>
      </c>
      <c r="AD53" s="62" t="s">
        <v>763</v>
      </c>
    </row>
    <row r="54" customFormat="false" ht="69" hidden="false" customHeight="true" outlineLevel="0" collapsed="false">
      <c r="B54" s="62" t="n">
        <v>221</v>
      </c>
      <c r="C54" s="62" t="s">
        <v>764</v>
      </c>
      <c r="D54" s="5" t="s">
        <v>765</v>
      </c>
      <c r="E54" s="65" t="s">
        <v>765</v>
      </c>
      <c r="F54" s="62" t="s">
        <v>249</v>
      </c>
      <c r="G54" s="5" t="s">
        <v>766</v>
      </c>
      <c r="H54" s="65" t="s">
        <v>766</v>
      </c>
      <c r="I54" s="5" t="n">
        <v>1</v>
      </c>
      <c r="J54" s="65" t="n">
        <v>1</v>
      </c>
      <c r="K54" s="62"/>
      <c r="L54" s="62" t="n">
        <v>3</v>
      </c>
      <c r="M54" s="62" t="n">
        <v>20</v>
      </c>
      <c r="N54" s="62" t="n">
        <v>300000</v>
      </c>
      <c r="O54" s="62"/>
      <c r="P54" s="62"/>
      <c r="Q54" s="5"/>
      <c r="R54" s="65"/>
      <c r="S54" s="5" t="s">
        <v>767</v>
      </c>
      <c r="T54" s="65" t="s">
        <v>767</v>
      </c>
      <c r="U54" s="62"/>
      <c r="V54" s="62" t="s">
        <v>516</v>
      </c>
      <c r="Z54" s="43" t="str">
        <f aca="false">"D6.scenario.defMeasures['"&amp;C54&amp;"'] = { "&amp;B$2&amp;":"""&amp;B54&amp;""",  "&amp;C$2&amp;":"""&amp;C54&amp;""",  "&amp;D$2&amp;":"""&amp;CLEAN(SUBSTITUTE(D54,"""","'"))&amp;""",  "&amp;I$2&amp;":"""&amp;I54&amp;""",  "&amp;F$2&amp;":"""&amp;F54&amp;""",  "&amp;G$2&amp;":"""&amp;CLEAN(SUBSTITUTE(G54,"""","'"))&amp;""", "&amp;K$2&amp;":"""&amp;K54&amp;""",  "&amp;L$2&amp;":"""&amp;L54&amp;""",  "&amp;M$2&amp;":"""&amp;M54&amp;""",  "&amp;N$2&amp;":"""&amp;N54&amp;""",  "&amp;O$2&amp;":"""&amp;O54&amp;""",  "&amp;P$2&amp;":"""&amp;P54&amp;""",  "&amp;Q$2&amp;":"""&amp;Q54&amp;""",  "&amp;S$2&amp;":"""&amp;CLEAN(SUBSTITUTE(S54,"""","'"))&amp;""",   "&amp;U$2&amp;":"""&amp;U54&amp;""",   "&amp;V$2&amp;":"""&amp;V54&amp;"""};"</f>
        <v>D6.scenario.defMeasures['mHTbiomass'] = { mid:"221",  name:"mHTbiomass",  title:"薪ストーブ（ペレットストーブ）を導入する",  easyness:"1",  refCons:"consACheat",  titleShort:"薪・ペレットストーブ", level:"",  figNum:"3",  lifeTime:"20",  price:"300000",  roanShow:"",  standardType:"",  subsidy :"",  advice:"薪ストーブもしくはペレットストーブを使うと、石油やガスなどの化石燃料を使わないため二酸化炭素排出量を減らすことができます。昔からの暖房燃料ですが、むしろ暖炉などおしゃれな作りで、都市部でも導入する事例が増えています。ペレットストーブは、燃料を自動的に供給するために、手間がかからないのもメリットです。設置には煙突の設置など、工事が必要になります。",   lifestyle:"",   season:"wss"};</v>
      </c>
      <c r="AB54" s="20" t="str">
        <f aca="false">"$defMeasures['"&amp;C54&amp;"'] = [ '"&amp;B$2&amp;"'=&gt;"""&amp;B54&amp;""",   '"&amp;D$2&amp;"'=&gt;"""&amp;CLEAN(SUBSTITUTE(D54,"""","'"))&amp;""",  '"&amp;L$2&amp;"'=&gt;"""&amp;L54&amp;""",  '"&amp;S$2&amp;"'=&gt;"""&amp;CLEAN(SUBSTITUTE(S54,"""","'"))&amp;"""];"</f>
        <v>$defMeasures['mHTbiomass'] = [ 'mid'=&gt;"221",   'title'=&gt;"薪ストーブ（ペレットストーブ）を導入する",  'figNum'=&gt;"3",  'advice'=&gt;"薪ストーブもしくはペレットストーブを使うと、石油やガスなどの化石燃料を使わないため二酸化炭素排出量を減らすことができます。昔からの暖房燃料ですが、むしろ暖炉などおしゃれな作りで、都市部でも導入する事例が増えています。ペレットストーブは、燃料を自動的に供給するために、手間がかからないのもメリットです。設置には煙突の設置など、工事が必要になります。"];</v>
      </c>
      <c r="AD54" s="62" t="s">
        <v>768</v>
      </c>
    </row>
    <row r="55" customFormat="false" ht="69" hidden="false" customHeight="true" outlineLevel="0" collapsed="false">
      <c r="B55" s="62" t="n">
        <v>222</v>
      </c>
      <c r="C55" s="62" t="s">
        <v>769</v>
      </c>
      <c r="D55" s="5" t="s">
        <v>770</v>
      </c>
      <c r="E55" s="65" t="s">
        <v>771</v>
      </c>
      <c r="F55" s="62" t="s">
        <v>240</v>
      </c>
      <c r="G55" s="5" t="s">
        <v>772</v>
      </c>
      <c r="H55" s="65" t="s">
        <v>772</v>
      </c>
      <c r="I55" s="5" t="n">
        <v>2</v>
      </c>
      <c r="J55" s="65" t="n">
        <v>2</v>
      </c>
      <c r="K55" s="62" t="n">
        <v>5</v>
      </c>
      <c r="L55" s="62" t="n">
        <v>3</v>
      </c>
      <c r="M55" s="62"/>
      <c r="N55" s="62"/>
      <c r="O55" s="62"/>
      <c r="P55" s="62"/>
      <c r="Q55" s="5"/>
      <c r="R55" s="65"/>
      <c r="S55" s="5" t="s">
        <v>773</v>
      </c>
      <c r="T55" s="65" t="s">
        <v>774</v>
      </c>
      <c r="U55" s="62" t="n">
        <v>1</v>
      </c>
      <c r="V55" s="62" t="s">
        <v>516</v>
      </c>
      <c r="Z55" s="43" t="str">
        <f aca="false">"D6.scenario.defMeasures['"&amp;C55&amp;"'] = { "&amp;B$2&amp;":"""&amp;B55&amp;""",  "&amp;C$2&amp;":"""&amp;C55&amp;""",  "&amp;D$2&amp;":"""&amp;CLEAN(SUBSTITUTE(D55,"""","'"))&amp;""",  "&amp;I$2&amp;":"""&amp;I55&amp;""",  "&amp;F$2&amp;":"""&amp;F55&amp;""",  "&amp;G$2&amp;":"""&amp;CLEAN(SUBSTITUTE(G55,"""","'"))&amp;""", "&amp;K$2&amp;":"""&amp;K55&amp;""",  "&amp;L$2&amp;":"""&amp;L55&amp;""",  "&amp;M$2&amp;":"""&amp;M55&amp;""",  "&amp;N$2&amp;":"""&amp;N55&amp;""",  "&amp;O$2&amp;":"""&amp;O55&amp;""",  "&amp;P$2&amp;":"""&amp;P55&amp;""",  "&amp;Q$2&amp;":"""&amp;Q55&amp;""",  "&amp;S$2&amp;":"""&amp;CLEAN(SUBSTITUTE(S55,"""","'"))&amp;""",   "&amp;U$2&amp;":"""&amp;U55&amp;""",   "&amp;V$2&amp;":"""&amp;V55&amp;"""};"</f>
        <v>D6.scenario.defMeasures['mHTcentralNotUse'] = { mid:"222",  name:"mHTcentralNotUse",  title:"使っていない部屋の設定温度を下げる",  easyness:"2",  refCons:"consHTsum",  titleShort:"未使用部屋の暖房温度", level:"5",  figNum:"3",  lifeTime:"",  price:"",  roanShow:"",  standardType:"",  subsidy :"",  advice:"使わない部屋の暖房を止めてしまうと結露・凍結などの問題がある場合には、そうならない程度に暖房設定を控えめにしてください。暖房設定の目標とする温度は20℃です。",   lifestyle:"1",   season:"wss"};</v>
      </c>
      <c r="AB55" s="20" t="str">
        <f aca="false">"$defMeasures['"&amp;C55&amp;"'] = [ '"&amp;B$2&amp;"'=&gt;"""&amp;B55&amp;""",   '"&amp;D$2&amp;"'=&gt;"""&amp;CLEAN(SUBSTITUTE(D55,"""","'"))&amp;""",  '"&amp;L$2&amp;"'=&gt;"""&amp;L55&amp;""",  '"&amp;S$2&amp;"'=&gt;"""&amp;CLEAN(SUBSTITUTE(S55,"""","'"))&amp;"""];"</f>
        <v>$defMeasures['mHTcentralNotUse'] = [ 'mid'=&gt;"222",   'title'=&gt;"使っていない部屋の設定温度を下げる",  'figNum'=&gt;"3",  'advice'=&gt;"使わない部屋の暖房を止めてしまうと結露・凍結などの問題がある場合には、そうならない程度に暖房設定を控えめにしてください。暖房設定の目標とする温度は20℃です。"];</v>
      </c>
      <c r="AD55" s="62" t="s">
        <v>775</v>
      </c>
    </row>
    <row r="56" customFormat="false" ht="69" hidden="false" customHeight="true" outlineLevel="0" collapsed="false">
      <c r="B56" s="62" t="n">
        <v>223</v>
      </c>
      <c r="C56" s="62" t="s">
        <v>776</v>
      </c>
      <c r="D56" s="5" t="s">
        <v>777</v>
      </c>
      <c r="E56" s="65" t="s">
        <v>777</v>
      </c>
      <c r="F56" s="62" t="s">
        <v>240</v>
      </c>
      <c r="G56" s="5" t="s">
        <v>778</v>
      </c>
      <c r="H56" s="65" t="s">
        <v>778</v>
      </c>
      <c r="I56" s="5" t="n">
        <v>1</v>
      </c>
      <c r="J56" s="65" t="n">
        <v>1</v>
      </c>
      <c r="K56" s="62"/>
      <c r="L56" s="62" t="n">
        <v>3</v>
      </c>
      <c r="M56" s="62" t="n">
        <v>20</v>
      </c>
      <c r="N56" s="62" t="n">
        <v>100000</v>
      </c>
      <c r="O56" s="62"/>
      <c r="P56" s="62"/>
      <c r="Q56" s="5"/>
      <c r="R56" s="65"/>
      <c r="S56" s="5" t="s">
        <v>779</v>
      </c>
      <c r="T56" s="65" t="s">
        <v>779</v>
      </c>
      <c r="U56" s="62"/>
      <c r="V56" s="62" t="s">
        <v>516</v>
      </c>
      <c r="Z56" s="43" t="str">
        <f aca="false">"D6.scenario.defMeasures['"&amp;C56&amp;"'] = { "&amp;B$2&amp;":"""&amp;B56&amp;""",  "&amp;C$2&amp;":"""&amp;C56&amp;""",  "&amp;D$2&amp;":"""&amp;CLEAN(SUBSTITUTE(D56,"""","'"))&amp;""",  "&amp;I$2&amp;":"""&amp;I56&amp;""",  "&amp;F$2&amp;":"""&amp;F56&amp;""",  "&amp;G$2&amp;":"""&amp;CLEAN(SUBSTITUTE(G56,"""","'"))&amp;""", "&amp;K$2&amp;":"""&amp;K56&amp;""",  "&amp;L$2&amp;":"""&amp;L56&amp;""",  "&amp;M$2&amp;":"""&amp;M56&amp;""",  "&amp;N$2&amp;":"""&amp;N56&amp;""",  "&amp;O$2&amp;":"""&amp;O56&amp;""",  "&amp;P$2&amp;":"""&amp;P56&amp;""",  "&amp;Q$2&amp;":"""&amp;Q56&amp;""",  "&amp;S$2&amp;":"""&amp;CLEAN(SUBSTITUTE(S56,"""","'"))&amp;""",   "&amp;U$2&amp;":"""&amp;U56&amp;""",   "&amp;V$2&amp;":"""&amp;V56&amp;"""};"</f>
        <v>D6.scenario.defMeasures['mHTkanki'] = { mid:"223",  name:"mHTkanki",  title:"全熱交換換気装置を設置する",  easyness:"1",  refCons:"consHTsum",  titleShort:"全熱交換換気", level:"",  figNum:"3",  lifeTime:"20",  price:"100000",  roanShow:"",  standardType:"",  subsidy :"",  advice:"新しい家では換気設備の導入が義務付けられていますが、暖房をしているときには、暖まった空気を屋外に捨ててしまいます。全熱交換換気装置ではその熱を回収することができ、捨てられる熱の量を少なくできます。",   lifestyle:"",   season:"wss"};</v>
      </c>
      <c r="AB56" s="20" t="str">
        <f aca="false">"$defMeasures['"&amp;C56&amp;"'] = [ '"&amp;B$2&amp;"'=&gt;"""&amp;B56&amp;""",   '"&amp;D$2&amp;"'=&gt;"""&amp;CLEAN(SUBSTITUTE(D56,"""","'"))&amp;""",  '"&amp;L$2&amp;"'=&gt;"""&amp;L56&amp;""",  '"&amp;S$2&amp;"'=&gt;"""&amp;CLEAN(SUBSTITUTE(S56,"""","'"))&amp;"""];"</f>
        <v>$defMeasures['mHTkanki'] = [ 'mid'=&gt;"223",   'title'=&gt;"全熱交換換気装置を設置する",  'figNum'=&gt;"3",  'advice'=&gt;"新しい家では換気設備の導入が義務付けられていますが、暖房をしているときには、暖まった空気を屋外に捨ててしまいます。全熱交換換気装置ではその熱を回収することができ、捨てられる熱の量を少なくできます。"];</v>
      </c>
      <c r="AD56" s="62" t="s">
        <v>780</v>
      </c>
    </row>
    <row r="57" customFormat="false" ht="69" hidden="false" customHeight="true" outlineLevel="0" collapsed="false">
      <c r="B57" s="62" t="n">
        <v>224</v>
      </c>
      <c r="C57" s="62" t="s">
        <v>781</v>
      </c>
      <c r="D57" s="5" t="s">
        <v>782</v>
      </c>
      <c r="E57" s="65"/>
      <c r="F57" s="62" t="s">
        <v>240</v>
      </c>
      <c r="G57" s="5" t="s">
        <v>783</v>
      </c>
      <c r="H57" s="65" t="s">
        <v>778</v>
      </c>
      <c r="I57" s="5" t="n">
        <v>1</v>
      </c>
      <c r="J57" s="65" t="n">
        <v>1</v>
      </c>
      <c r="K57" s="62"/>
      <c r="L57" s="62" t="n">
        <v>3</v>
      </c>
      <c r="M57" s="62" t="n">
        <v>20</v>
      </c>
      <c r="N57" s="62" t="n">
        <v>10000000</v>
      </c>
      <c r="O57" s="62"/>
      <c r="P57" s="62"/>
      <c r="Q57" s="5" t="s">
        <v>784</v>
      </c>
      <c r="R57" s="65"/>
      <c r="S57" s="5" t="s">
        <v>785</v>
      </c>
      <c r="T57" s="65" t="s">
        <v>785</v>
      </c>
      <c r="U57" s="62"/>
      <c r="V57" s="62" t="s">
        <v>516</v>
      </c>
      <c r="Z57" s="43" t="str">
        <f aca="false">"D6.scenario.defMeasures['"&amp;C57&amp;"'] = { "&amp;B$2&amp;":"""&amp;B57&amp;""",  "&amp;C$2&amp;":"""&amp;C57&amp;""",  "&amp;D$2&amp;":"""&amp;CLEAN(SUBSTITUTE(D57,"""","'"))&amp;""",  "&amp;I$2&amp;":"""&amp;I57&amp;""",  "&amp;F$2&amp;":"""&amp;F57&amp;""",  "&amp;G$2&amp;":"""&amp;CLEAN(SUBSTITUTE(G57,"""","'"))&amp;""", "&amp;K$2&amp;":"""&amp;K57&amp;""",  "&amp;L$2&amp;":"""&amp;L57&amp;""",  "&amp;M$2&amp;":"""&amp;M57&amp;""",  "&amp;N$2&amp;":"""&amp;N57&amp;""",  "&amp;O$2&amp;":"""&amp;O57&amp;""",  "&amp;P$2&amp;":"""&amp;P57&amp;""",  "&amp;Q$2&amp;":"""&amp;Q57&amp;""",  "&amp;S$2&amp;":"""&amp;CLEAN(SUBSTITUTE(S57,"""","'"))&amp;""",   "&amp;U$2&amp;":"""&amp;U57&amp;""",   "&amp;V$2&amp;":"""&amp;V57&amp;"""};"</f>
        <v>D6.scenario.defMeasures['mHTreformLV5'] = { mid:"224",  name:"mHTreformLV5",  title:"省エネ等級5（ZEH相当）の省エネ住宅にリフォームする",  easyness:"1",  refCons:"consHTsum",  titleShort:"省エネ住宅等級5", level:"",  figNum:"3",  lifeTime:"20",  price:"10000000",  roanShow:"",  standardType:"",  subsidy :"太陽光も併せて導入する場合にはZEH補助金、そうでない場合は長期優良リフォーム補助金や子育てグリーン住宅支援事業などがあり、減税もされます。",  advice:"断熱性能を高めることは、温暖化対策としてメリットがあるだけでなく、冬は暖かく、夏は涼しく、快適に過ごすことができ、健康面でもメリットがあることがわかっています。新築に建て替える方法だけでなく、土台や柱などの耐震補強をしながら、壁や窓などを全面的に作り直すリフォームは、リノベーションとも呼ばれ、新築よりも安くできます。",   lifestyle:"",   season:"wss"};</v>
      </c>
      <c r="AB57" s="20" t="str">
        <f aca="false">"$defMeasures['"&amp;C57&amp;"'] = [ '"&amp;B$2&amp;"'=&gt;"""&amp;B57&amp;""",   '"&amp;D$2&amp;"'=&gt;"""&amp;CLEAN(SUBSTITUTE(D57,"""","'"))&amp;""",  '"&amp;L$2&amp;"'=&gt;"""&amp;L57&amp;""",  '"&amp;S$2&amp;"'=&gt;"""&amp;CLEAN(SUBSTITUTE(S57,"""","'"))&amp;"""];"</f>
        <v>$defMeasures['mHTreformLV5'] = [ 'mid'=&gt;"224",   'title'=&gt;"省エネ等級5（ZEH相当）の省エネ住宅にリフォームする",  'figNum'=&gt;"3",  'advice'=&gt;"断熱性能を高めることは、温暖化対策としてメリットがあるだけでなく、冬は暖かく、夏は涼しく、快適に過ごすことができ、健康面でもメリットがあることがわかっています。新築に建て替える方法だけでなく、土台や柱などの耐震補強をしながら、壁や窓などを全面的に作り直すリフォームは、リノベーションとも呼ばれ、新築よりも安くできます。"];</v>
      </c>
      <c r="AD57" s="62" t="s">
        <v>780</v>
      </c>
    </row>
    <row r="58" customFormat="false" ht="69" hidden="false" customHeight="true" outlineLevel="0" collapsed="false">
      <c r="B58" s="62" t="n">
        <v>225</v>
      </c>
      <c r="C58" s="62" t="s">
        <v>786</v>
      </c>
      <c r="D58" s="5" t="s">
        <v>787</v>
      </c>
      <c r="E58" s="65"/>
      <c r="F58" s="62" t="s">
        <v>240</v>
      </c>
      <c r="G58" s="5" t="s">
        <v>788</v>
      </c>
      <c r="H58" s="65" t="s">
        <v>778</v>
      </c>
      <c r="I58" s="5" t="n">
        <v>1</v>
      </c>
      <c r="J58" s="65" t="n">
        <v>1</v>
      </c>
      <c r="K58" s="62"/>
      <c r="L58" s="62" t="n">
        <v>3</v>
      </c>
      <c r="M58" s="62" t="n">
        <v>20</v>
      </c>
      <c r="N58" s="62" t="n">
        <v>11000000</v>
      </c>
      <c r="O58" s="62"/>
      <c r="P58" s="62"/>
      <c r="Q58" s="5" t="s">
        <v>784</v>
      </c>
      <c r="R58" s="65"/>
      <c r="S58" s="5" t="s">
        <v>789</v>
      </c>
      <c r="T58" s="65" t="s">
        <v>789</v>
      </c>
      <c r="U58" s="62"/>
      <c r="V58" s="62" t="s">
        <v>516</v>
      </c>
      <c r="Z58" s="43" t="str">
        <f aca="false">"D6.scenario.defMeasures['"&amp;C58&amp;"'] = { "&amp;B$2&amp;":"""&amp;B58&amp;""",  "&amp;C$2&amp;":"""&amp;C58&amp;""",  "&amp;D$2&amp;":"""&amp;CLEAN(SUBSTITUTE(D58,"""","'"))&amp;""",  "&amp;I$2&amp;":"""&amp;I58&amp;""",  "&amp;F$2&amp;":"""&amp;F58&amp;""",  "&amp;G$2&amp;":"""&amp;CLEAN(SUBSTITUTE(G58,"""","'"))&amp;""", "&amp;K$2&amp;":"""&amp;K58&amp;""",  "&amp;L$2&amp;":"""&amp;L58&amp;""",  "&amp;M$2&amp;":"""&amp;M58&amp;""",  "&amp;N$2&amp;":"""&amp;N58&amp;""",  "&amp;O$2&amp;":"""&amp;O58&amp;""",  "&amp;P$2&amp;":"""&amp;P58&amp;""",  "&amp;Q$2&amp;":"""&amp;Q58&amp;""",  "&amp;S$2&amp;":"""&amp;CLEAN(SUBSTITUTE(S58,"""","'"))&amp;""",   "&amp;U$2&amp;":"""&amp;U58&amp;""",   "&amp;V$2&amp;":"""&amp;V58&amp;"""};"</f>
        <v>D6.scenario.defMeasures['mHTreformLV6'] = { mid:"225",  name:"mHTreformLV6",  title:"省エネ等級6相当の省エネ住宅にリフォームする",  easyness:"1",  refCons:"consHTsum",  titleShort:"省エネ住宅等級6", level:"",  figNum:"3",  lifeTime:"20",  price:"11000000",  roanShow:"",  standardType:"",  subsidy :"太陽光も併せて導入する場合にはZEH補助金、そうでない場合は長期優良リフォーム補助金や子育てグリーン住宅支援事業などがあり、減税もされます。",  advice:"断熱性能を高めることは、温暖化対策としてメリットがあるだけでなく、冬は暖かく、夏は涼しく、快適に過ごすことができ、健康面でもメリットがあることがわかっています。新築に建て替える方法だけでなく、土台や柱などの耐震補強をしながら、壁や窓などを全面的に作り直すリフォームは、リノベーションとも呼ばれ、新築よりも安くできます。等級6は、現在の省エネ基準より、さらに暖房負荷を減らすことができます。",   lifestyle:"",   season:"wss"};</v>
      </c>
      <c r="AB58" s="20" t="str">
        <f aca="false">"$defMeasures['"&amp;C58&amp;"'] = [ '"&amp;B$2&amp;"'=&gt;"""&amp;B58&amp;""",   '"&amp;D$2&amp;"'=&gt;"""&amp;CLEAN(SUBSTITUTE(D58,"""","'"))&amp;""",  '"&amp;L$2&amp;"'=&gt;"""&amp;L58&amp;""",  '"&amp;S$2&amp;"'=&gt;"""&amp;CLEAN(SUBSTITUTE(S58,"""","'"))&amp;"""];"</f>
        <v>$defMeasures['mHTreformLV6'] = [ 'mid'=&gt;"225",   'title'=&gt;"省エネ等級6相当の省エネ住宅にリフォームする",  'figNum'=&gt;"3",  'advice'=&gt;"断熱性能を高めることは、温暖化対策としてメリットがあるだけでなく、冬は暖かく、夏は涼しく、快適に過ごすことができ、健康面でもメリットがあることがわかっています。新築に建て替える方法だけでなく、土台や柱などの耐震補強をしながら、壁や窓などを全面的に作り直すリフォームは、リノベーションとも呼ばれ、新築よりも安くできます。等級6は、現在の省エネ基準より、さらに暖房負荷を減らすことができます。"];</v>
      </c>
      <c r="AD58" s="62" t="s">
        <v>780</v>
      </c>
    </row>
    <row r="59" customFormat="false" ht="69" hidden="false" customHeight="true" outlineLevel="0" collapsed="false">
      <c r="B59" s="62" t="n">
        <v>301</v>
      </c>
      <c r="C59" s="62" t="s">
        <v>790</v>
      </c>
      <c r="D59" s="5" t="s">
        <v>791</v>
      </c>
      <c r="E59" s="65" t="s">
        <v>791</v>
      </c>
      <c r="F59" s="62" t="s">
        <v>262</v>
      </c>
      <c r="G59" s="5" t="s">
        <v>792</v>
      </c>
      <c r="H59" s="65" t="s">
        <v>792</v>
      </c>
      <c r="I59" s="5" t="n">
        <v>2</v>
      </c>
      <c r="J59" s="65" t="n">
        <v>2</v>
      </c>
      <c r="K59" s="62"/>
      <c r="L59" s="62" t="n">
        <v>17</v>
      </c>
      <c r="M59" s="62"/>
      <c r="N59" s="62"/>
      <c r="O59" s="62"/>
      <c r="P59" s="62"/>
      <c r="Q59" s="5"/>
      <c r="R59" s="65"/>
      <c r="S59" s="5" t="s">
        <v>793</v>
      </c>
      <c r="T59" s="65" t="s">
        <v>793</v>
      </c>
      <c r="U59" s="62" t="n">
        <v>1</v>
      </c>
      <c r="V59" s="62" t="s">
        <v>516</v>
      </c>
      <c r="Z59" s="43" t="str">
        <f aca="false">"D6.scenario.defMeasures['"&amp;C59&amp;"'] = { "&amp;B$2&amp;":"""&amp;B59&amp;""",  "&amp;C$2&amp;":"""&amp;C59&amp;""",  "&amp;D$2&amp;":"""&amp;CLEAN(SUBSTITUTE(D59,"""","'"))&amp;""",  "&amp;I$2&amp;":"""&amp;I59&amp;""",  "&amp;F$2&amp;":"""&amp;F59&amp;""",  "&amp;G$2&amp;":"""&amp;CLEAN(SUBSTITUTE(G59,"""","'"))&amp;""", "&amp;K$2&amp;":"""&amp;K59&amp;""",  "&amp;L$2&amp;":"""&amp;L59&amp;""",  "&amp;M$2&amp;":"""&amp;M59&amp;""",  "&amp;N$2&amp;":"""&amp;N59&amp;""",  "&amp;O$2&amp;":"""&amp;O59&amp;""",  "&amp;P$2&amp;":"""&amp;P59&amp;""",  "&amp;Q$2&amp;":"""&amp;Q59&amp;""",  "&amp;S$2&amp;":"""&amp;CLEAN(SUBSTITUTE(S59,"""","'"))&amp;""",   "&amp;U$2&amp;":"""&amp;U59&amp;""",   "&amp;V$2&amp;":"""&amp;V59&amp;"""};"</f>
        <v>D6.scenario.defMeasures['mPTstopPot'] = { mid:"301",  name:"mPTstopPot",  title:"電気ポットで保温をしない",  easyness:"2",  refCons:"consCKpot",  titleShort:"ポット保温しない", level:"",  figNum:"17",  lifeTime:"",  price:"",  roanShow:"",  standardType:"",  subsidy :"",  advice:"電気ポットでは、長時間保温をすると多くの電気が消費されます。必要に応じてお湯を沸かすようにするか、電気を使わない魔法瓶を活用してみてください。",   lifestyle:"1",   season:"wss"};</v>
      </c>
      <c r="AB59" s="20" t="str">
        <f aca="false">"$defMeasures['"&amp;C59&amp;"'] = [ '"&amp;B$2&amp;"'=&gt;"""&amp;B59&amp;""",   '"&amp;D$2&amp;"'=&gt;"""&amp;CLEAN(SUBSTITUTE(D59,"""","'"))&amp;""",  '"&amp;L$2&amp;"'=&gt;"""&amp;L59&amp;""",  '"&amp;S$2&amp;"'=&gt;"""&amp;CLEAN(SUBSTITUTE(S59,"""","'"))&amp;"""];"</f>
        <v>$defMeasures['mPTstopPot'] = [ 'mid'=&gt;"301",   'title'=&gt;"電気ポットで保温をしない",  'figNum'=&gt;"17",  'advice'=&gt;"電気ポットでは、長時間保温をすると多くの電気が消費されます。必要に応じてお湯を沸かすようにするか、電気を使わない魔法瓶を活用してみてください。"];</v>
      </c>
      <c r="AD59" s="62" t="s">
        <v>794</v>
      </c>
    </row>
    <row r="60" customFormat="false" ht="69" hidden="false" customHeight="true" outlineLevel="0" collapsed="false">
      <c r="B60" s="62" t="n">
        <v>302</v>
      </c>
      <c r="C60" s="62" t="s">
        <v>795</v>
      </c>
      <c r="D60" s="5" t="s">
        <v>796</v>
      </c>
      <c r="E60" s="65" t="s">
        <v>796</v>
      </c>
      <c r="F60" s="62" t="s">
        <v>262</v>
      </c>
      <c r="G60" s="5" t="s">
        <v>797</v>
      </c>
      <c r="H60" s="65" t="s">
        <v>797</v>
      </c>
      <c r="I60" s="5" t="n">
        <v>3</v>
      </c>
      <c r="J60" s="65" t="n">
        <v>3</v>
      </c>
      <c r="K60" s="62"/>
      <c r="L60" s="62" t="n">
        <v>17</v>
      </c>
      <c r="M60" s="62"/>
      <c r="N60" s="62"/>
      <c r="O60" s="62"/>
      <c r="P60" s="62"/>
      <c r="Q60" s="5"/>
      <c r="R60" s="65"/>
      <c r="S60" s="5" t="s">
        <v>798</v>
      </c>
      <c r="T60" s="65" t="s">
        <v>798</v>
      </c>
      <c r="U60" s="62" t="n">
        <v>1</v>
      </c>
      <c r="V60" s="62" t="s">
        <v>516</v>
      </c>
      <c r="Z60" s="43" t="str">
        <f aca="false">"D6.scenario.defMeasures['"&amp;C60&amp;"'] = { "&amp;B$2&amp;":"""&amp;B60&amp;""",  "&amp;C$2&amp;":"""&amp;C60&amp;""",  "&amp;D$2&amp;":"""&amp;CLEAN(SUBSTITUTE(D60,"""","'"))&amp;""",  "&amp;I$2&amp;":"""&amp;I60&amp;""",  "&amp;F$2&amp;":"""&amp;F60&amp;""",  "&amp;G$2&amp;":"""&amp;CLEAN(SUBSTITUTE(G60,"""","'"))&amp;""", "&amp;K$2&amp;":"""&amp;K60&amp;""",  "&amp;L$2&amp;":"""&amp;L60&amp;""",  "&amp;M$2&amp;":"""&amp;M60&amp;""",  "&amp;N$2&amp;":"""&amp;N60&amp;""",  "&amp;O$2&amp;":"""&amp;O60&amp;""",  "&amp;P$2&amp;":"""&amp;P60&amp;""",  "&amp;Q$2&amp;":"""&amp;Q60&amp;""",  "&amp;S$2&amp;":"""&amp;CLEAN(SUBSTITUTE(S60,"""","'"))&amp;""",   "&amp;U$2&amp;":"""&amp;U60&amp;""",   "&amp;V$2&amp;":"""&amp;V60&amp;"""};"</f>
        <v>D6.scenario.defMeasures['mPTstopPotNight'] = { mid:"302",  name:"mPTstopPotNight",  title:"外出時や夜間に電気ポットの保温を止める",  easyness:"3",  refCons:"consCKpot",  titleShort:"夜間保温停止", level:"",  figNum:"17",  lifeTime:"",  price:"",  roanShow:"",  standardType:"",  subsidy :"",  advice:"外出時や夜間など、長時間お湯を使わない場合には、電気ポットを止めておくことで保温電力を削減できます。炊飯ジャーや、便座の保温なども、同様に止めておくほうが省エネになります。",   lifestyle:"1",   season:"wss"};</v>
      </c>
      <c r="AB60" s="20" t="str">
        <f aca="false">"$defMeasures['"&amp;C60&amp;"'] = [ '"&amp;B$2&amp;"'=&gt;"""&amp;B60&amp;""",   '"&amp;D$2&amp;"'=&gt;"""&amp;CLEAN(SUBSTITUTE(D60,"""","'"))&amp;""",  '"&amp;L$2&amp;"'=&gt;"""&amp;L60&amp;""",  '"&amp;S$2&amp;"'=&gt;"""&amp;CLEAN(SUBSTITUTE(S60,"""","'"))&amp;"""];"</f>
        <v>$defMeasures['mPTstopPotNight'] = [ 'mid'=&gt;"302",   'title'=&gt;"外出時や夜間に電気ポットの保温を止める",  'figNum'=&gt;"17",  'advice'=&gt;"外出時や夜間など、長時間お湯を使わない場合には、電気ポットを止めておくことで保温電力を削減できます。炊飯ジャーや、便座の保温なども、同様に止めておくほうが省エネになります。"];</v>
      </c>
      <c r="AD60" s="62" t="s">
        <v>799</v>
      </c>
    </row>
    <row r="61" customFormat="false" ht="69" hidden="false" customHeight="true" outlineLevel="0" collapsed="false">
      <c r="B61" s="62" t="n">
        <v>303</v>
      </c>
      <c r="C61" s="62" t="s">
        <v>800</v>
      </c>
      <c r="D61" s="5" t="s">
        <v>801</v>
      </c>
      <c r="E61" s="65" t="s">
        <v>801</v>
      </c>
      <c r="F61" s="62" t="s">
        <v>264</v>
      </c>
      <c r="G61" s="5" t="s">
        <v>802</v>
      </c>
      <c r="H61" s="65" t="s">
        <v>802</v>
      </c>
      <c r="I61" s="5" t="n">
        <v>3</v>
      </c>
      <c r="J61" s="65" t="n">
        <v>3</v>
      </c>
      <c r="K61" s="62"/>
      <c r="L61" s="62" t="n">
        <v>18</v>
      </c>
      <c r="M61" s="62"/>
      <c r="N61" s="62"/>
      <c r="O61" s="62"/>
      <c r="P61" s="62"/>
      <c r="Q61" s="5"/>
      <c r="R61" s="65"/>
      <c r="S61" s="5" t="s">
        <v>803</v>
      </c>
      <c r="T61" s="65" t="s">
        <v>803</v>
      </c>
      <c r="U61" s="62" t="n">
        <v>1</v>
      </c>
      <c r="V61" s="62" t="s">
        <v>516</v>
      </c>
      <c r="Z61" s="43" t="str">
        <f aca="false">"D6.scenario.defMeasures['"&amp;C61&amp;"'] = { "&amp;B$2&amp;":"""&amp;B61&amp;""",  "&amp;C$2&amp;":"""&amp;C61&amp;""",  "&amp;D$2&amp;":"""&amp;CLEAN(SUBSTITUTE(D61,"""","'"))&amp;""",  "&amp;I$2&amp;":"""&amp;I61&amp;""",  "&amp;F$2&amp;":"""&amp;F61&amp;""",  "&amp;G$2&amp;":"""&amp;CLEAN(SUBSTITUTE(G61,"""","'"))&amp;""", "&amp;K$2&amp;":"""&amp;K61&amp;""",  "&amp;L$2&amp;":"""&amp;L61&amp;""",  "&amp;M$2&amp;":"""&amp;M61&amp;""",  "&amp;N$2&amp;":"""&amp;N61&amp;""",  "&amp;O$2&amp;":"""&amp;O61&amp;""",  "&amp;P$2&amp;":"""&amp;P61&amp;""",  "&amp;Q$2&amp;":"""&amp;Q61&amp;""",  "&amp;S$2&amp;":"""&amp;CLEAN(SUBSTITUTE(S61,"""","'"))&amp;""",   "&amp;U$2&amp;":"""&amp;U61&amp;""",   "&amp;V$2&amp;":"""&amp;V61&amp;"""};"</f>
        <v>D6.scenario.defMeasures['mPTstopRiceCooker'] = { mid:"303",  name:"mPTstopRiceCooker",  title:"炊飯ジャーの保温をやめる",  easyness:"3",  refCons:"consCKrice",  titleShort:"ジャー保温", level:"",  figNum:"18",  lifeTime:"",  price:"",  roanShow:"",  standardType:"",  subsidy :"",  advice:"暖かいご飯を食べるのに、炊飯ジャーで保温をするより、食べる直前に電子レンジで温め直すほうが省エネになります。長時間にわたり高温で保温をすると、ご飯が変色することもあり、常温で置いておくほうがおいしく食べられます。",   lifestyle:"1",   season:"wss"};</v>
      </c>
      <c r="AB61" s="20" t="str">
        <f aca="false">"$defMeasures['"&amp;C61&amp;"'] = [ '"&amp;B$2&amp;"'=&gt;"""&amp;B61&amp;""",   '"&amp;D$2&amp;"'=&gt;"""&amp;CLEAN(SUBSTITUTE(D61,"""","'"))&amp;""",  '"&amp;L$2&amp;"'=&gt;"""&amp;L61&amp;""",  '"&amp;S$2&amp;"'=&gt;"""&amp;CLEAN(SUBSTITUTE(S61,"""","'"))&amp;"""];"</f>
        <v>$defMeasures['mPTstopRiceCooker'] = [ 'mid'=&gt;"303",   'title'=&gt;"炊飯ジャーの保温をやめる",  'figNum'=&gt;"18",  'advice'=&gt;"暖かいご飯を食べるのに、炊飯ジャーで保温をするより、食べる直前に電子レンジで温め直すほうが省エネになります。長時間にわたり高温で保温をすると、ご飯が変色することもあり、常温で置いておくほうがおいしく食べられます。"];</v>
      </c>
      <c r="AD61" s="62" t="s">
        <v>804</v>
      </c>
    </row>
    <row r="62" customFormat="false" ht="69" hidden="false" customHeight="true" outlineLevel="0" collapsed="false">
      <c r="B62" s="62" t="n">
        <v>304</v>
      </c>
      <c r="C62" s="62" t="s">
        <v>805</v>
      </c>
      <c r="D62" s="5" t="s">
        <v>806</v>
      </c>
      <c r="E62" s="65" t="s">
        <v>806</v>
      </c>
      <c r="F62" s="62" t="s">
        <v>262</v>
      </c>
      <c r="G62" s="5" t="s">
        <v>807</v>
      </c>
      <c r="H62" s="65" t="s">
        <v>807</v>
      </c>
      <c r="I62" s="5" t="n">
        <v>2</v>
      </c>
      <c r="J62" s="65" t="n">
        <v>2</v>
      </c>
      <c r="K62" s="62"/>
      <c r="L62" s="62" t="n">
        <v>17</v>
      </c>
      <c r="M62" s="62" t="n">
        <v>10</v>
      </c>
      <c r="N62" s="62" t="n">
        <v>20000</v>
      </c>
      <c r="O62" s="62"/>
      <c r="P62" s="62" t="s">
        <v>558</v>
      </c>
      <c r="Q62" s="5"/>
      <c r="R62" s="65"/>
      <c r="S62" s="5" t="s">
        <v>808</v>
      </c>
      <c r="T62" s="65" t="s">
        <v>808</v>
      </c>
      <c r="U62" s="62"/>
      <c r="V62" s="62" t="s">
        <v>516</v>
      </c>
      <c r="Z62" s="43" t="str">
        <f aca="false">"D6.scenario.defMeasures['"&amp;C62&amp;"'] = { "&amp;B$2&amp;":"""&amp;B62&amp;""",  "&amp;C$2&amp;":"""&amp;C62&amp;""",  "&amp;D$2&amp;":"""&amp;CLEAN(SUBSTITUTE(D62,"""","'"))&amp;""",  "&amp;I$2&amp;":"""&amp;I62&amp;""",  "&amp;F$2&amp;":"""&amp;F62&amp;""",  "&amp;G$2&amp;":"""&amp;CLEAN(SUBSTITUTE(G62,"""","'"))&amp;""", "&amp;K$2&amp;":"""&amp;K62&amp;""",  "&amp;L$2&amp;":"""&amp;L62&amp;""",  "&amp;M$2&amp;":"""&amp;M62&amp;""",  "&amp;N$2&amp;":"""&amp;N62&amp;""",  "&amp;O$2&amp;":"""&amp;O62&amp;""",  "&amp;P$2&amp;":"""&amp;P62&amp;""",  "&amp;Q$2&amp;":"""&amp;Q62&amp;""",  "&amp;S$2&amp;":"""&amp;CLEAN(SUBSTITUTE(S62,"""","'"))&amp;""",   "&amp;U$2&amp;":"""&amp;U62&amp;""",   "&amp;V$2&amp;":"""&amp;V62&amp;"""};"</f>
        <v>D6.scenario.defMeasures['mPTreplacePot'] = { mid:"304",  name:"mPTreplacePot",  title:"省エネタイプの電気ポットに買い替える",  easyness:"2",  refCons:"consCKpot",  titleShort:"省エネ電気ポット", level:"",  figNum:"17",  lifeTime:"10",  price:"20000",  roanShow:"",  standardType:"既存型",  subsidy :"",  advice:"魔法瓶のような断熱がされている電気ポットがあり、保温の電気消費を少なくすることができます。カタログに保温消費電力が表示されていいますので、これを参考にして選んでください。",   lifestyle:"",   season:"wss"};</v>
      </c>
      <c r="AB62" s="20" t="str">
        <f aca="false">"$defMeasures['"&amp;C62&amp;"'] = [ '"&amp;B$2&amp;"'=&gt;"""&amp;B62&amp;""",   '"&amp;D$2&amp;"'=&gt;"""&amp;CLEAN(SUBSTITUTE(D62,"""","'"))&amp;""",  '"&amp;L$2&amp;"'=&gt;"""&amp;L62&amp;""",  '"&amp;S$2&amp;"'=&gt;"""&amp;CLEAN(SUBSTITUTE(S62,"""","'"))&amp;"""];"</f>
        <v>$defMeasures['mPTreplacePot'] = [ 'mid'=&gt;"304",   'title'=&gt;"省エネタイプの電気ポットに買い替える",  'figNum'=&gt;"17",  'advice'=&gt;"魔法瓶のような断熱がされている電気ポットがあり、保温の電気消費を少なくすることができます。カタログに保温消費電力が表示されていいますので、これを参考にして選んでください。"];</v>
      </c>
      <c r="AD62" s="62" t="s">
        <v>809</v>
      </c>
    </row>
    <row r="63" customFormat="false" ht="69" hidden="false" customHeight="true" outlineLevel="0" collapsed="false">
      <c r="B63" s="62" t="n">
        <v>305</v>
      </c>
      <c r="C63" s="62" t="s">
        <v>810</v>
      </c>
      <c r="D63" s="5" t="s">
        <v>811</v>
      </c>
      <c r="E63" s="65" t="s">
        <v>811</v>
      </c>
      <c r="F63" s="62" t="s">
        <v>259</v>
      </c>
      <c r="G63" s="5" t="s">
        <v>812</v>
      </c>
      <c r="H63" s="65" t="s">
        <v>812</v>
      </c>
      <c r="I63" s="5" t="n">
        <v>2</v>
      </c>
      <c r="J63" s="65" t="n">
        <v>2</v>
      </c>
      <c r="K63" s="62"/>
      <c r="L63" s="62" t="n">
        <v>14</v>
      </c>
      <c r="M63" s="62"/>
      <c r="N63" s="62"/>
      <c r="O63" s="62"/>
      <c r="P63" s="62"/>
      <c r="Q63" s="5"/>
      <c r="R63" s="65"/>
      <c r="S63" s="5" t="s">
        <v>813</v>
      </c>
      <c r="T63" s="65" t="s">
        <v>813</v>
      </c>
      <c r="U63" s="62" t="n">
        <v>1</v>
      </c>
      <c r="V63" s="62" t="s">
        <v>516</v>
      </c>
      <c r="Z63" s="43" t="str">
        <f aca="false">"D6.scenario.defMeasures['"&amp;C63&amp;"'] = { "&amp;B$2&amp;":"""&amp;B63&amp;""",  "&amp;C$2&amp;":"""&amp;C63&amp;""",  "&amp;D$2&amp;":"""&amp;CLEAN(SUBSTITUTE(D63,"""","'"))&amp;""",  "&amp;I$2&amp;":"""&amp;I63&amp;""",  "&amp;F$2&amp;":"""&amp;F63&amp;""",  "&amp;G$2&amp;":"""&amp;CLEAN(SUBSTITUTE(G63,"""","'"))&amp;""", "&amp;K$2&amp;":"""&amp;K63&amp;""",  "&amp;L$2&amp;":"""&amp;L63&amp;""",  "&amp;M$2&amp;":"""&amp;M63&amp;""",  "&amp;N$2&amp;":"""&amp;N63&amp;""",  "&amp;O$2&amp;":"""&amp;O63&amp;""",  "&amp;P$2&amp;":"""&amp;P63&amp;""",  "&amp;Q$2&amp;":"""&amp;Q63&amp;""",  "&amp;S$2&amp;":"""&amp;CLEAN(SUBSTITUTE(S63,"""","'"))&amp;""",   "&amp;U$2&amp;":"""&amp;U63&amp;""",   "&amp;V$2&amp;":"""&amp;V63&amp;"""};"</f>
        <v>D6.scenario.defMeasures['mCKflame'] = { mid:"305",  name:"mCKflame",  title:"鍋から炎がはみ出さないようにする",  easyness:"2",  refCons:"consCKcook",  titleShort:"調理炎調整", level:"",  figNum:"14",  lifeTime:"",  price:"",  roanShow:"",  standardType:"",  subsidy :"",  advice:"鍋底から炎がはみ出すのは、ガスが無駄になるだけで、調理時間の短縮にはなりません。鍋底から炎がはみ出さない程度に調節して使いましょう。このほかにも、段取りよく調理をする工夫によって、ガスの消費を減らすことができます。",   lifestyle:"1",   season:"wss"};</v>
      </c>
      <c r="AB63" s="20" t="str">
        <f aca="false">"$defMeasures['"&amp;C63&amp;"'] = [ '"&amp;B$2&amp;"'=&gt;"""&amp;B63&amp;""",   '"&amp;D$2&amp;"'=&gt;"""&amp;CLEAN(SUBSTITUTE(D63,"""","'"))&amp;""",  '"&amp;L$2&amp;"'=&gt;"""&amp;L63&amp;""",  '"&amp;S$2&amp;"'=&gt;"""&amp;CLEAN(SUBSTITUTE(S63,"""","'"))&amp;"""];"</f>
        <v>$defMeasures['mCKflame'] = [ 'mid'=&gt;"305",   'title'=&gt;"鍋から炎がはみ出さないようにする",  'figNum'=&gt;"14",  'advice'=&gt;"鍋底から炎がはみ出すのは、ガスが無駄になるだけで、調理時間の短縮にはなりません。鍋底から炎がはみ出さない程度に調節して使いましょう。このほかにも、段取りよく調理をする工夫によって、ガスの消費を減らすことができます。"];</v>
      </c>
      <c r="AD63" s="62" t="s">
        <v>814</v>
      </c>
    </row>
    <row r="64" customFormat="false" ht="69" hidden="false" customHeight="true" outlineLevel="0" collapsed="false">
      <c r="B64" s="62" t="n">
        <v>401</v>
      </c>
      <c r="C64" s="62" t="s">
        <v>815</v>
      </c>
      <c r="D64" s="5" t="s">
        <v>816</v>
      </c>
      <c r="E64" s="65" t="s">
        <v>816</v>
      </c>
      <c r="F64" s="62" t="s">
        <v>266</v>
      </c>
      <c r="G64" s="5" t="s">
        <v>817</v>
      </c>
      <c r="H64" s="65" t="s">
        <v>817</v>
      </c>
      <c r="I64" s="5" t="n">
        <v>2</v>
      </c>
      <c r="J64" s="65" t="n">
        <v>2</v>
      </c>
      <c r="K64" s="62"/>
      <c r="L64" s="62" t="n">
        <v>16</v>
      </c>
      <c r="M64" s="62"/>
      <c r="N64" s="62"/>
      <c r="O64" s="62"/>
      <c r="P64" s="62"/>
      <c r="Q64" s="5"/>
      <c r="R64" s="65"/>
      <c r="S64" s="5" t="s">
        <v>818</v>
      </c>
      <c r="T64" s="65" t="s">
        <v>818</v>
      </c>
      <c r="U64" s="62" t="n">
        <v>1</v>
      </c>
      <c r="V64" s="62" t="s">
        <v>516</v>
      </c>
      <c r="Z64" s="43" t="str">
        <f aca="false">"D6.scenario.defMeasures['"&amp;C64&amp;"'] = { "&amp;B$2&amp;":"""&amp;B64&amp;""",  "&amp;C$2&amp;":"""&amp;C64&amp;""",  "&amp;D$2&amp;":"""&amp;CLEAN(SUBSTITUTE(D64,"""","'"))&amp;""",  "&amp;I$2&amp;":"""&amp;I64&amp;""",  "&amp;F$2&amp;":"""&amp;F64&amp;""",  "&amp;G$2&amp;":"""&amp;CLEAN(SUBSTITUTE(G64,"""","'"))&amp;""", "&amp;K$2&amp;":"""&amp;K64&amp;""",  "&amp;L$2&amp;":"""&amp;L64&amp;""",  "&amp;M$2&amp;":"""&amp;M64&amp;""",  "&amp;N$2&amp;":"""&amp;N64&amp;""",  "&amp;O$2&amp;":"""&amp;O64&amp;""",  "&amp;P$2&amp;":"""&amp;P64&amp;""",  "&amp;Q$2&amp;":"""&amp;Q64&amp;""",  "&amp;S$2&amp;":"""&amp;CLEAN(SUBSTITUTE(S64,"""","'"))&amp;""",   "&amp;U$2&amp;":"""&amp;U64&amp;""",   "&amp;V$2&amp;":"""&amp;V64&amp;"""};"</f>
        <v>D6.scenario.defMeasures['mDRsolar'] = { mid:"401",  name:"mDRsolar",  title:"晴れた日は衣類乾燥機や乾燥機能を使わずに天日乾燥させる",  easyness:"2",  refCons:"consDRsum",  titleShort:"天日干し", level:"",  figNum:"16",  lifeTime:"",  price:"",  roanShow:"",  standardType:"",  subsidy :"",  advice:"衣類の乾燥機能は便利ですが、洗濯の10倍以上のエネルギーがかかります。なるべく天日で乾かすようにし、乾燥機能を使わないことが省エネです。",   lifestyle:"1",   season:"wss"};</v>
      </c>
      <c r="AB64" s="20" t="str">
        <f aca="false">"$defMeasures['"&amp;C64&amp;"'] = [ '"&amp;B$2&amp;"'=&gt;"""&amp;B64&amp;""",   '"&amp;D$2&amp;"'=&gt;"""&amp;CLEAN(SUBSTITUTE(D64,"""","'"))&amp;""",  '"&amp;L$2&amp;"'=&gt;"""&amp;L64&amp;""",  '"&amp;S$2&amp;"'=&gt;"""&amp;CLEAN(SUBSTITUTE(S64,"""","'"))&amp;"""];"</f>
        <v>$defMeasures['mDRsolar'] = [ 'mid'=&gt;"401",   'title'=&gt;"晴れた日は衣類乾燥機や乾燥機能を使わずに天日乾燥させる",  'figNum'=&gt;"16",  'advice'=&gt;"衣類の乾燥機能は便利ですが、洗濯の10倍以上のエネルギーがかかります。なるべく天日で乾かすようにし、乾燥機能を使わないことが省エネです。"];</v>
      </c>
      <c r="AD64" s="62" t="s">
        <v>819</v>
      </c>
    </row>
    <row r="65" customFormat="false" ht="69" hidden="false" customHeight="true" outlineLevel="0" collapsed="false">
      <c r="B65" s="62" t="n">
        <v>402</v>
      </c>
      <c r="C65" s="62" t="s">
        <v>820</v>
      </c>
      <c r="D65" s="5" t="s">
        <v>821</v>
      </c>
      <c r="E65" s="65" t="s">
        <v>821</v>
      </c>
      <c r="F65" s="62" t="s">
        <v>266</v>
      </c>
      <c r="G65" s="5" t="s">
        <v>822</v>
      </c>
      <c r="H65" s="65" t="s">
        <v>822</v>
      </c>
      <c r="I65" s="5" t="n">
        <v>1</v>
      </c>
      <c r="J65" s="65" t="n">
        <v>1</v>
      </c>
      <c r="K65" s="62"/>
      <c r="L65" s="62" t="n">
        <v>16</v>
      </c>
      <c r="M65" s="62" t="n">
        <v>10</v>
      </c>
      <c r="N65" s="62" t="n">
        <v>140000</v>
      </c>
      <c r="O65" s="62"/>
      <c r="P65" s="62"/>
      <c r="Q65" s="5"/>
      <c r="R65" s="65"/>
      <c r="S65" s="5" t="s">
        <v>823</v>
      </c>
      <c r="T65" s="65" t="s">
        <v>823</v>
      </c>
      <c r="U65" s="62"/>
      <c r="V65" s="62" t="s">
        <v>516</v>
      </c>
      <c r="Z65" s="43" t="str">
        <f aca="false">"D6.scenario.defMeasures['"&amp;C65&amp;"'] = { "&amp;B$2&amp;":"""&amp;B65&amp;""",  "&amp;C$2&amp;":"""&amp;C65&amp;""",  "&amp;D$2&amp;":"""&amp;CLEAN(SUBSTITUTE(D65,"""","'"))&amp;""",  "&amp;I$2&amp;":"""&amp;I65&amp;""",  "&amp;F$2&amp;":"""&amp;F65&amp;""",  "&amp;G$2&amp;":"""&amp;CLEAN(SUBSTITUTE(G65,"""","'"))&amp;""", "&amp;K$2&amp;":"""&amp;K65&amp;""",  "&amp;L$2&amp;":"""&amp;L65&amp;""",  "&amp;M$2&amp;":"""&amp;M65&amp;""",  "&amp;N$2&amp;":"""&amp;N65&amp;""",  "&amp;O$2&amp;":"""&amp;O65&amp;""",  "&amp;P$2&amp;":"""&amp;P65&amp;""",  "&amp;Q$2&amp;":"""&amp;Q65&amp;""",  "&amp;S$2&amp;":"""&amp;CLEAN(SUBSTITUTE(S65,"""","'"))&amp;""",   "&amp;U$2&amp;":"""&amp;U65&amp;""",   "&amp;V$2&amp;":"""&amp;V65&amp;"""};"</f>
        <v>D6.scenario.defMeasures['mDRheatPump'] = { mid:"402",  name:"mDRheatPump",  title:"ヒートポンプ式の衣類乾燥ができる洗濯機に買い替える",  easyness:"1",  refCons:"consDRsum",  titleShort:"ヒートポンプ乾燥", level:"",  figNum:"16",  lifeTime:"10",  price:"140000",  roanShow:"",  standardType:"",  subsidy :"",  advice:"衣類乾燥機や乾燥機能付き洗濯機の中で、ヒートポンプ式のものは、通常の乾燥機に比べてエネルギー消費が半分程度で済みます。よく乾燥機能を利用する場合には、光熱費の削減額も大きく効いてきます。ただし、乾燥機能自体が多くのエネルギーを使うため、なるべく乾燥機能を使わないことが望ましいです。",   lifestyle:"",   season:"wss"};</v>
      </c>
      <c r="AB65" s="20" t="str">
        <f aca="false">"$defMeasures['"&amp;C65&amp;"'] = [ '"&amp;B$2&amp;"'=&gt;"""&amp;B65&amp;""",   '"&amp;D$2&amp;"'=&gt;"""&amp;CLEAN(SUBSTITUTE(D65,"""","'"))&amp;""",  '"&amp;L$2&amp;"'=&gt;"""&amp;L65&amp;""",  '"&amp;S$2&amp;"'=&gt;"""&amp;CLEAN(SUBSTITUTE(S65,"""","'"))&amp;"""];"</f>
        <v>$defMeasures['mDRheatPump'] = [ 'mid'=&gt;"402",   'title'=&gt;"ヒートポンプ式の衣類乾燥ができる洗濯機に買い替える",  'figNum'=&gt;"16",  'advice'=&gt;"衣類乾燥機や乾燥機能付き洗濯機の中で、ヒートポンプ式のものは、通常の乾燥機に比べてエネルギー消費が半分程度で済みます。よく乾燥機能を利用する場合には、光熱費の削減額も大きく効いてきます。ただし、乾燥機能自体が多くのエネルギーを使うため、なるべく乾燥機能を使わないことが望ましいです。"];</v>
      </c>
      <c r="AD65" s="62" t="s">
        <v>824</v>
      </c>
    </row>
    <row r="66" customFormat="false" ht="69" hidden="false" customHeight="true" outlineLevel="0" collapsed="false">
      <c r="B66" s="62" t="n">
        <v>501</v>
      </c>
      <c r="C66" s="62" t="s">
        <v>825</v>
      </c>
      <c r="D66" s="5" t="s">
        <v>826</v>
      </c>
      <c r="E66" s="65" t="s">
        <v>826</v>
      </c>
      <c r="F66" s="62" t="s">
        <v>275</v>
      </c>
      <c r="G66" s="5" t="s">
        <v>827</v>
      </c>
      <c r="H66" s="65" t="s">
        <v>827</v>
      </c>
      <c r="I66" s="5" t="n">
        <v>4</v>
      </c>
      <c r="J66" s="65" t="n">
        <v>4</v>
      </c>
      <c r="K66" s="62"/>
      <c r="L66" s="62" t="n">
        <v>6</v>
      </c>
      <c r="M66" s="62" t="n">
        <v>20</v>
      </c>
      <c r="N66" s="62"/>
      <c r="O66" s="62"/>
      <c r="P66" s="62" t="s">
        <v>828</v>
      </c>
      <c r="Q66" s="5"/>
      <c r="R66" s="65"/>
      <c r="S66" s="5" t="s">
        <v>829</v>
      </c>
      <c r="T66" s="65" t="s">
        <v>830</v>
      </c>
      <c r="U66" s="62"/>
      <c r="V66" s="62" t="s">
        <v>516</v>
      </c>
      <c r="Z66" s="43" t="str">
        <f aca="false">"D6.scenario.defMeasures['"&amp;C66&amp;"'] = { "&amp;B$2&amp;":"""&amp;B66&amp;""",  "&amp;C$2&amp;":"""&amp;C66&amp;""",  "&amp;D$2&amp;":"""&amp;CLEAN(SUBSTITUTE(D66,"""","'"))&amp;""",  "&amp;I$2&amp;":"""&amp;I66&amp;""",  "&amp;F$2&amp;":"""&amp;F66&amp;""",  "&amp;G$2&amp;":"""&amp;CLEAN(SUBSTITUTE(G66,"""","'"))&amp;""", "&amp;K$2&amp;":"""&amp;K66&amp;""",  "&amp;L$2&amp;":"""&amp;L66&amp;""",  "&amp;M$2&amp;":"""&amp;M66&amp;""",  "&amp;N$2&amp;":"""&amp;N66&amp;""",  "&amp;O$2&amp;":"""&amp;O66&amp;""",  "&amp;P$2&amp;":"""&amp;P66&amp;""",  "&amp;Q$2&amp;":"""&amp;Q66&amp;""",  "&amp;S$2&amp;":"""&amp;CLEAN(SUBSTITUTE(S66,"""","'"))&amp;""",   "&amp;U$2&amp;":"""&amp;U66&amp;""",   "&amp;V$2&amp;":"""&amp;V66&amp;"""};"</f>
        <v>D6.scenario.defMeasures['mLIceilingLED'] = { mid:"501",  name:"mLIceilingLED",  title:"蛍光灯器具をLEDシーリングライトに付け替える",  easyness:"4",  refCons:"consLI",  titleShort:"LEDライト", level:"",  figNum:"6",  lifeTime:"20",  price:"",  roanShow:"",  standardType:"蛍光灯",  subsidy :"",  advice:"LEDの省エネ性能は高く、長持ちします。蛍光灯と異なり、照明器具のカバーの中に虫が入らないため、掃除の手間も省くことができます。照明器具から取り替えますが、ソケットがあるので、通常は電気屋に頼まなくても自分で交換できます。光の色合いなども調整したり、細かく明るさを調整したりすることもできます。2027年度までに計億棟の新規の製造・輸入は禁止され、LEDに置き換わります。",   lifestyle:"",   season:"wss"};</v>
      </c>
      <c r="AB66" s="20" t="str">
        <f aca="false">"$defMeasures['"&amp;C66&amp;"'] = [ '"&amp;B$2&amp;"'=&gt;"""&amp;B66&amp;""",   '"&amp;D$2&amp;"'=&gt;"""&amp;CLEAN(SUBSTITUTE(D66,"""","'"))&amp;""",  '"&amp;L$2&amp;"'=&gt;"""&amp;L66&amp;""",  '"&amp;S$2&amp;"'=&gt;"""&amp;CLEAN(SUBSTITUTE(S66,"""","'"))&amp;"""];"</f>
        <v>$defMeasures['mLIceilingLED'] = [ 'mid'=&gt;"501",   'title'=&gt;"蛍光灯器具をLEDシーリングライトに付け替える",  'figNum'=&gt;"6",  'advice'=&gt;"LEDの省エネ性能は高く、長持ちします。蛍光灯と異なり、照明器具のカバーの中に虫が入らないため、掃除の手間も省くことができます。照明器具から取り替えますが、ソケットがあるので、通常は電気屋に頼まなくても自分で交換できます。光の色合いなども調整したり、細かく明るさを調整したりすることもできます。2027年度までに計億棟の新規の製造・輸入は禁止され、LEDに置き換わります。"];</v>
      </c>
      <c r="AD66" s="62" t="s">
        <v>831</v>
      </c>
    </row>
    <row r="67" customFormat="false" ht="69" hidden="false" customHeight="true" outlineLevel="0" collapsed="false">
      <c r="B67" s="62" t="n">
        <v>502</v>
      </c>
      <c r="C67" s="62" t="s">
        <v>832</v>
      </c>
      <c r="D67" s="5" t="s">
        <v>833</v>
      </c>
      <c r="E67" s="65" t="s">
        <v>833</v>
      </c>
      <c r="F67" s="62" t="s">
        <v>275</v>
      </c>
      <c r="G67" s="5" t="s">
        <v>834</v>
      </c>
      <c r="H67" s="65" t="s">
        <v>834</v>
      </c>
      <c r="I67" s="5" t="n">
        <v>2</v>
      </c>
      <c r="J67" s="65" t="n">
        <v>2</v>
      </c>
      <c r="K67" s="62"/>
      <c r="L67" s="62" t="n">
        <v>5</v>
      </c>
      <c r="M67" s="62" t="s">
        <v>835</v>
      </c>
      <c r="N67" s="62" t="n">
        <v>1500</v>
      </c>
      <c r="O67" s="62"/>
      <c r="P67" s="62" t="s">
        <v>836</v>
      </c>
      <c r="Q67" s="5"/>
      <c r="R67" s="65"/>
      <c r="S67" s="5" t="s">
        <v>837</v>
      </c>
      <c r="T67" s="65" t="s">
        <v>837</v>
      </c>
      <c r="U67" s="62"/>
      <c r="V67" s="62" t="s">
        <v>516</v>
      </c>
      <c r="Z67" s="43" t="str">
        <f aca="false">"D6.scenario.defMeasures['"&amp;C67&amp;"'] = { "&amp;B$2&amp;":"""&amp;B67&amp;""",  "&amp;C$2&amp;":"""&amp;C67&amp;""",  "&amp;D$2&amp;":"""&amp;CLEAN(SUBSTITUTE(D67,"""","'"))&amp;""",  "&amp;I$2&amp;":"""&amp;I67&amp;""",  "&amp;F$2&amp;":"""&amp;F67&amp;""",  "&amp;G$2&amp;":"""&amp;CLEAN(SUBSTITUTE(G67,"""","'"))&amp;""", "&amp;K$2&amp;":"""&amp;K67&amp;""",  "&amp;L$2&amp;":"""&amp;L67&amp;""",  "&amp;M$2&amp;":"""&amp;M67&amp;""",  "&amp;N$2&amp;":"""&amp;N67&amp;""",  "&amp;O$2&amp;":"""&amp;O67&amp;""",  "&amp;P$2&amp;":"""&amp;P67&amp;""",  "&amp;Q$2&amp;":"""&amp;Q67&amp;""",  "&amp;S$2&amp;":"""&amp;CLEAN(SUBSTITUTE(S67,"""","'"))&amp;""",   "&amp;U$2&amp;":"""&amp;U67&amp;""",   "&amp;V$2&amp;":"""&amp;V67&amp;"""};"</f>
        <v>D6.scenario.defMeasures['mLILED'] = { mid:"502",  name:"mLILED",  title:"LEDに付け替える",  easyness:"2",  refCons:"consLI",  titleShort:"LED電球", level:"",  figNum:"5",  lifeTime:"40000h",  price:"1500",  roanShow:"",  standardType:"電球",  subsidy :"",  advice:"LED電球は、白熱電球と同じソケットを使っており、電球が切れたときにそのまま付け替えることができます。電気の消費を8割削減でき、寿命は40倍以上になります。",   lifestyle:"",   season:"wss"};</v>
      </c>
      <c r="AB67" s="20" t="str">
        <f aca="false">"$defMeasures['"&amp;C67&amp;"'] = [ '"&amp;B$2&amp;"'=&gt;"""&amp;B67&amp;""",   '"&amp;D$2&amp;"'=&gt;"""&amp;CLEAN(SUBSTITUTE(D67,"""","'"))&amp;""",  '"&amp;L$2&amp;"'=&gt;"""&amp;L67&amp;""",  '"&amp;S$2&amp;"'=&gt;"""&amp;CLEAN(SUBSTITUTE(S67,"""","'"))&amp;"""];"</f>
        <v>$defMeasures['mLILED'] = [ 'mid'=&gt;"502",   'title'=&gt;"LEDに付け替える",  'figNum'=&gt;"5",  'advice'=&gt;"LED電球は、白熱電球と同じソケットを使っており、電球が切れたときにそのまま付け替えることができます。電気の消費を8割削減でき、寿命は40倍以上になります。"];</v>
      </c>
      <c r="AD67" s="62" t="s">
        <v>838</v>
      </c>
    </row>
    <row r="68" customFormat="false" ht="69" hidden="false" customHeight="true" outlineLevel="0" collapsed="false">
      <c r="B68" s="62" t="n">
        <v>503</v>
      </c>
      <c r="C68" s="62" t="s">
        <v>839</v>
      </c>
      <c r="D68" s="5" t="s">
        <v>840</v>
      </c>
      <c r="E68" s="65" t="s">
        <v>840</v>
      </c>
      <c r="F68" s="62" t="s">
        <v>275</v>
      </c>
      <c r="G68" s="5" t="s">
        <v>841</v>
      </c>
      <c r="H68" s="65" t="s">
        <v>841</v>
      </c>
      <c r="I68" s="5" t="n">
        <v>2</v>
      </c>
      <c r="J68" s="65" t="n">
        <v>2</v>
      </c>
      <c r="K68" s="62"/>
      <c r="L68" s="62" t="n">
        <v>5</v>
      </c>
      <c r="M68" s="62" t="n">
        <v>10</v>
      </c>
      <c r="N68" s="62" t="n">
        <v>1500</v>
      </c>
      <c r="O68" s="62"/>
      <c r="P68" s="62" t="s">
        <v>836</v>
      </c>
      <c r="Q68" s="5"/>
      <c r="R68" s="65"/>
      <c r="S68" s="5" t="s">
        <v>842</v>
      </c>
      <c r="T68" s="65" t="s">
        <v>842</v>
      </c>
      <c r="U68" s="62"/>
      <c r="V68" s="62" t="s">
        <v>516</v>
      </c>
      <c r="Z68" s="43" t="str">
        <f aca="false">"D6.scenario.defMeasures['"&amp;C68&amp;"'] = { "&amp;B$2&amp;":"""&amp;B68&amp;""",  "&amp;C$2&amp;":"""&amp;C68&amp;""",  "&amp;D$2&amp;":"""&amp;CLEAN(SUBSTITUTE(D68,"""","'"))&amp;""",  "&amp;I$2&amp;":"""&amp;I68&amp;""",  "&amp;F$2&amp;":"""&amp;F68&amp;""",  "&amp;G$2&amp;":"""&amp;CLEAN(SUBSTITUTE(G68,"""","'"))&amp;""", "&amp;K$2&amp;":"""&amp;K68&amp;""",  "&amp;L$2&amp;":"""&amp;L68&amp;""",  "&amp;M$2&amp;":"""&amp;M68&amp;""",  "&amp;N$2&amp;":"""&amp;N68&amp;""",  "&amp;O$2&amp;":"""&amp;O68&amp;""",  "&amp;P$2&amp;":"""&amp;P68&amp;""",  "&amp;Q$2&amp;":"""&amp;Q68&amp;""",  "&amp;S$2&amp;":"""&amp;CLEAN(SUBSTITUTE(S68,"""","'"))&amp;""",   "&amp;U$2&amp;":"""&amp;U68&amp;""",   "&amp;V$2&amp;":"""&amp;V68&amp;"""};"</f>
        <v>D6.scenario.defMeasures['mLIsensor'] = { mid:"503",  name:"mLIsensor",  title:"人感センサー式に付け替える",  easyness:"2",  refCons:"consLI",  titleShort:"センサー照明", level:"",  figNum:"5",  lifeTime:"10",  price:"1500",  roanShow:"",  standardType:"電球",  subsidy :"",  advice:"玄関の照明を、センサー式にすると、人を感知して点灯するため、防犯性能が高くなります。電気が流れている時間が大幅に減り、省エネになります。また、廊下は人が通るときだけ明るくなればいいので、人感センサーの照明を設置をして、人が通るときだけ照らすことも実用的で省エネになります。",   lifestyle:"",   season:"wss"};</v>
      </c>
      <c r="AB68" s="20" t="str">
        <f aca="false">"$defMeasures['"&amp;C68&amp;"'] = [ '"&amp;B$2&amp;"'=&gt;"""&amp;B68&amp;""",   '"&amp;D$2&amp;"'=&gt;"""&amp;CLEAN(SUBSTITUTE(D68,"""","'"))&amp;""",  '"&amp;L$2&amp;"'=&gt;"""&amp;L68&amp;""",  '"&amp;S$2&amp;"'=&gt;"""&amp;CLEAN(SUBSTITUTE(S68,"""","'"))&amp;"""];"</f>
        <v>$defMeasures['mLIsensor'] = [ 'mid'=&gt;"503",   'title'=&gt;"人感センサー式に付け替える",  'figNum'=&gt;"5",  'advice'=&gt;"玄関の照明を、センサー式にすると、人を感知して点灯するため、防犯性能が高くなります。電気が流れている時間が大幅に減り、省エネになります。また、廊下は人が通るときだけ明るくなればいいので、人感センサーの照明を設置をして、人が通るときだけ照らすことも実用的で省エネになります。"];</v>
      </c>
      <c r="AD68" s="62" t="s">
        <v>843</v>
      </c>
    </row>
    <row r="69" customFormat="false" ht="69" hidden="false" customHeight="true" outlineLevel="0" collapsed="false">
      <c r="B69" s="62" t="n">
        <v>504</v>
      </c>
      <c r="C69" s="62" t="s">
        <v>844</v>
      </c>
      <c r="D69" s="5" t="s">
        <v>845</v>
      </c>
      <c r="E69" s="65" t="s">
        <v>845</v>
      </c>
      <c r="F69" s="62" t="s">
        <v>275</v>
      </c>
      <c r="G69" s="5" t="s">
        <v>846</v>
      </c>
      <c r="H69" s="65" t="s">
        <v>846</v>
      </c>
      <c r="I69" s="5" t="n">
        <v>3</v>
      </c>
      <c r="J69" s="65" t="n">
        <v>3</v>
      </c>
      <c r="K69" s="62"/>
      <c r="L69" s="62" t="n">
        <v>6</v>
      </c>
      <c r="M69" s="62"/>
      <c r="N69" s="62"/>
      <c r="O69" s="62"/>
      <c r="P69" s="62"/>
      <c r="Q69" s="5"/>
      <c r="R69" s="65"/>
      <c r="S69" s="5" t="s">
        <v>847</v>
      </c>
      <c r="T69" s="65" t="s">
        <v>847</v>
      </c>
      <c r="U69" s="62" t="n">
        <v>1</v>
      </c>
      <c r="V69" s="62" t="s">
        <v>516</v>
      </c>
      <c r="Z69" s="43" t="str">
        <f aca="false">"D6.scenario.defMeasures['"&amp;C69&amp;"'] = { "&amp;B$2&amp;":"""&amp;B69&amp;""",  "&amp;C$2&amp;":"""&amp;C69&amp;""",  "&amp;D$2&amp;":"""&amp;CLEAN(SUBSTITUTE(D69,"""","'"))&amp;""",  "&amp;I$2&amp;":"""&amp;I69&amp;""",  "&amp;F$2&amp;":"""&amp;F69&amp;""",  "&amp;G$2&amp;":"""&amp;CLEAN(SUBSTITUTE(G69,"""","'"))&amp;""", "&amp;K$2&amp;":"""&amp;K69&amp;""",  "&amp;L$2&amp;":"""&amp;L69&amp;""",  "&amp;M$2&amp;":"""&amp;M69&amp;""",  "&amp;N$2&amp;":"""&amp;N69&amp;""",  "&amp;O$2&amp;":"""&amp;O69&amp;""",  "&amp;P$2&amp;":"""&amp;P69&amp;""",  "&amp;Q$2&amp;":"""&amp;Q69&amp;""",  "&amp;S$2&amp;":"""&amp;CLEAN(SUBSTITUTE(S69,"""","'"))&amp;""",   "&amp;U$2&amp;":"""&amp;U69&amp;""",   "&amp;V$2&amp;":"""&amp;V69&amp;"""};"</f>
        <v>D6.scenario.defMeasures['mLItime'] = { mid:"504",  name:"mLItime",  title:"照明を使う時間を1時間短くする",  easyness:"3",  refCons:"consLI",  titleShort:"照明短縮", level:"",  figNum:"6",  lifeTime:"",  price:"",  roanShow:"",  standardType:"",  subsidy :"",  advice:"照明を点けるときに多くの電気が流れますが、ほんの一瞬であるため、結果的にこまめに消すことで省エネになります。部屋を離れるときには必ず照明を消す習慣をつけることが大切です。また、夜に明るい光をあびると、睡眠のサイクルが狂ってしまい、身体にとってよくないことになります。",   lifestyle:"1",   season:"wss"};</v>
      </c>
      <c r="AB69" s="20" t="str">
        <f aca="false">"$defMeasures['"&amp;C69&amp;"'] = [ '"&amp;B$2&amp;"'=&gt;"""&amp;B69&amp;""",   '"&amp;D$2&amp;"'=&gt;"""&amp;CLEAN(SUBSTITUTE(D69,"""","'"))&amp;""",  '"&amp;L$2&amp;"'=&gt;"""&amp;L69&amp;""",  '"&amp;S$2&amp;"'=&gt;"""&amp;CLEAN(SUBSTITUTE(S69,"""","'"))&amp;"""];"</f>
        <v>$defMeasures['mLItime'] = [ 'mid'=&gt;"504",   'title'=&gt;"照明を使う時間を1時間短くする",  'figNum'=&gt;"6",  'advice'=&gt;"照明を点けるときに多くの電気が流れますが、ほんの一瞬であるため、結果的にこまめに消すことで省エネになります。部屋を離れるときには必ず照明を消す習慣をつけることが大切です。また、夜に明るい光をあびると、睡眠のサイクルが狂ってしまい、身体にとってよくないことになります。"];</v>
      </c>
      <c r="AD69" s="62" t="s">
        <v>848</v>
      </c>
    </row>
    <row r="70" customFormat="false" ht="69" hidden="false" customHeight="true" outlineLevel="0" collapsed="false">
      <c r="B70" s="62" t="n">
        <v>505</v>
      </c>
      <c r="C70" s="62" t="s">
        <v>849</v>
      </c>
      <c r="D70" s="5" t="s">
        <v>850</v>
      </c>
      <c r="E70" s="65" t="s">
        <v>850</v>
      </c>
      <c r="F70" s="62" t="s">
        <v>273</v>
      </c>
      <c r="G70" s="5" t="s">
        <v>851</v>
      </c>
      <c r="H70" s="65" t="s">
        <v>851</v>
      </c>
      <c r="I70" s="5" t="n">
        <v>4</v>
      </c>
      <c r="J70" s="65" t="n">
        <v>4</v>
      </c>
      <c r="K70" s="62"/>
      <c r="L70" s="62" t="n">
        <v>6</v>
      </c>
      <c r="M70" s="62"/>
      <c r="N70" s="62"/>
      <c r="O70" s="62"/>
      <c r="P70" s="62"/>
      <c r="Q70" s="5"/>
      <c r="R70" s="65"/>
      <c r="S70" s="5" t="s">
        <v>852</v>
      </c>
      <c r="T70" s="65" t="s">
        <v>852</v>
      </c>
      <c r="U70" s="62" t="n">
        <v>1</v>
      </c>
      <c r="V70" s="62" t="s">
        <v>516</v>
      </c>
      <c r="Z70" s="43" t="str">
        <f aca="false">"D6.scenario.defMeasures['"&amp;C70&amp;"'] = { "&amp;B$2&amp;":"""&amp;B70&amp;""",  "&amp;C$2&amp;":"""&amp;C70&amp;""",  "&amp;D$2&amp;":"""&amp;CLEAN(SUBSTITUTE(D70,"""","'"))&amp;""",  "&amp;I$2&amp;":"""&amp;I70&amp;""",  "&amp;F$2&amp;":"""&amp;F70&amp;""",  "&amp;G$2&amp;":"""&amp;CLEAN(SUBSTITUTE(G70,"""","'"))&amp;""", "&amp;K$2&amp;":"""&amp;K70&amp;""",  "&amp;L$2&amp;":"""&amp;L70&amp;""",  "&amp;M$2&amp;":"""&amp;M70&amp;""",  "&amp;N$2&amp;":"""&amp;N70&amp;""",  "&amp;O$2&amp;":"""&amp;O70&amp;""",  "&amp;P$2&amp;":"""&amp;P70&amp;""",  "&amp;Q$2&amp;":"""&amp;Q70&amp;""",  "&amp;S$2&amp;":"""&amp;CLEAN(SUBSTITUTE(S70,"""","'"))&amp;""",   "&amp;U$2&amp;":"""&amp;U70&amp;""",   "&amp;V$2&amp;":"""&amp;V70&amp;"""};"</f>
        <v>D6.scenario.defMeasures['mLIoff'] = { mid:"505",  name:"mLIoff",  title:"部屋を出るときに照明を消す",  easyness:"4",  refCons:"consLIsum",  titleShort:"照明消灯", level:"",  figNum:"6",  lifeTime:"",  price:"",  roanShow:"",  standardType:"",  subsidy :"",  advice:"部屋を離れるときには、こまめに照明を消すようにしましょう。点けるときに多くの電気が流れますが、ほんの一瞬であるため、すぐに戻ってくる予定でも、こまめに照明を消すほうが省エネになります。",   lifestyle:"1",   season:"wss"};</v>
      </c>
      <c r="AB70" s="20" t="str">
        <f aca="false">"$defMeasures['"&amp;C70&amp;"'] = [ '"&amp;B$2&amp;"'=&gt;"""&amp;B70&amp;""",   '"&amp;D$2&amp;"'=&gt;"""&amp;CLEAN(SUBSTITUTE(D70,"""","'"))&amp;""",  '"&amp;L$2&amp;"'=&gt;"""&amp;L70&amp;""",  '"&amp;S$2&amp;"'=&gt;"""&amp;CLEAN(SUBSTITUTE(S70,"""","'"))&amp;"""];"</f>
        <v>$defMeasures['mLIoff'] = [ 'mid'=&gt;"505",   'title'=&gt;"部屋を出るときに照明を消す",  'figNum'=&gt;"6",  'advice'=&gt;"部屋を離れるときには、こまめに照明を消すようにしましょう。点けるときに多くの電気が流れますが、ほんの一瞬であるため、すぐに戻ってくる予定でも、こまめに照明を消すほうが省エネになります。"];</v>
      </c>
      <c r="AD70" s="62" t="s">
        <v>853</v>
      </c>
    </row>
    <row r="71" customFormat="false" ht="69" hidden="false" customHeight="true" outlineLevel="0" collapsed="false">
      <c r="B71" s="62" t="n">
        <v>601</v>
      </c>
      <c r="C71" s="62" t="s">
        <v>854</v>
      </c>
      <c r="D71" s="5" t="s">
        <v>855</v>
      </c>
      <c r="E71" s="65" t="s">
        <v>855</v>
      </c>
      <c r="F71" s="62" t="s">
        <v>278</v>
      </c>
      <c r="G71" s="5" t="s">
        <v>856</v>
      </c>
      <c r="H71" s="65" t="s">
        <v>856</v>
      </c>
      <c r="I71" s="5" t="n">
        <v>2</v>
      </c>
      <c r="J71" s="65" t="n">
        <v>2</v>
      </c>
      <c r="K71" s="62"/>
      <c r="L71" s="62" t="n">
        <v>7</v>
      </c>
      <c r="M71" s="62" t="n">
        <v>10</v>
      </c>
      <c r="N71" s="62" t="n">
        <v>50000</v>
      </c>
      <c r="O71" s="62"/>
      <c r="P71" s="62" t="s">
        <v>619</v>
      </c>
      <c r="Q71" s="5"/>
      <c r="R71" s="65"/>
      <c r="S71" s="5" t="s">
        <v>857</v>
      </c>
      <c r="T71" s="65" t="s">
        <v>857</v>
      </c>
      <c r="U71" s="62"/>
      <c r="V71" s="62" t="s">
        <v>516</v>
      </c>
      <c r="Z71" s="43" t="str">
        <f aca="false">"D6.scenario.defMeasures['"&amp;C71&amp;"'] = { "&amp;B$2&amp;":"""&amp;B71&amp;""",  "&amp;C$2&amp;":"""&amp;C71&amp;""",  "&amp;D$2&amp;":"""&amp;CLEAN(SUBSTITUTE(D71,"""","'"))&amp;""",  "&amp;I$2&amp;":"""&amp;I71&amp;""",  "&amp;F$2&amp;":"""&amp;F71&amp;""",  "&amp;G$2&amp;":"""&amp;CLEAN(SUBSTITUTE(G71,"""","'"))&amp;""", "&amp;K$2&amp;":"""&amp;K71&amp;""",  "&amp;L$2&amp;":"""&amp;L71&amp;""",  "&amp;M$2&amp;":"""&amp;M71&amp;""",  "&amp;N$2&amp;":"""&amp;N71&amp;""",  "&amp;O$2&amp;":"""&amp;O71&amp;""",  "&amp;P$2&amp;":"""&amp;P71&amp;""",  "&amp;Q$2&amp;":"""&amp;Q71&amp;""",  "&amp;S$2&amp;":"""&amp;CLEAN(SUBSTITUTE(S71,"""","'"))&amp;""",   "&amp;U$2&amp;":"""&amp;U71&amp;""",   "&amp;V$2&amp;":"""&amp;V71&amp;"""};"</f>
        <v>D6.scenario.defMeasures['mTVreplace'] = { mid:"601",  name:"mTVreplace",  title:"省エネ性能の高いテレビに買い替える",  easyness:"2",  refCons:"consTV",  titleShort:"省エネテレビ購入", level:"",  figNum:"7",  lifeTime:"10",  price:"50000",  roanShow:"",  standardType:"普及型",  subsidy :"",  advice:"テレビの省エネ性能が向上しているため、以前と比べて同じサイズであれば半分以下の消費電力になるタイプが販売されています。店頭では、なるべく年間電気代が安いテレビを選ぶようにしてください。",   lifestyle:"",   season:"wss"};</v>
      </c>
      <c r="AB71" s="20" t="str">
        <f aca="false">"$defMeasures['"&amp;C71&amp;"'] = [ '"&amp;B$2&amp;"'=&gt;"""&amp;B71&amp;""",   '"&amp;D$2&amp;"'=&gt;"""&amp;CLEAN(SUBSTITUTE(D71,"""","'"))&amp;""",  '"&amp;L$2&amp;"'=&gt;"""&amp;L71&amp;""",  '"&amp;S$2&amp;"'=&gt;"""&amp;CLEAN(SUBSTITUTE(S71,"""","'"))&amp;"""];"</f>
        <v>$defMeasures['mTVreplace'] = [ 'mid'=&gt;"601",   'title'=&gt;"省エネ性能の高いテレビに買い替える",  'figNum'=&gt;"7",  'advice'=&gt;"テレビの省エネ性能が向上しているため、以前と比べて同じサイズであれば半分以下の消費電力になるタイプが販売されています。店頭では、なるべく年間電気代が安いテレビを選ぶようにしてください。"];</v>
      </c>
      <c r="AD71" s="62" t="s">
        <v>858</v>
      </c>
    </row>
    <row r="72" customFormat="false" ht="69" hidden="false" customHeight="true" outlineLevel="0" collapsed="false">
      <c r="B72" s="62" t="n">
        <v>602</v>
      </c>
      <c r="C72" s="62" t="s">
        <v>859</v>
      </c>
      <c r="D72" s="5" t="s">
        <v>860</v>
      </c>
      <c r="E72" s="65" t="s">
        <v>860</v>
      </c>
      <c r="F72" s="62" t="s">
        <v>276</v>
      </c>
      <c r="G72" s="5" t="s">
        <v>861</v>
      </c>
      <c r="H72" s="65" t="s">
        <v>861</v>
      </c>
      <c r="I72" s="5" t="n">
        <v>1</v>
      </c>
      <c r="J72" s="65" t="n">
        <v>1</v>
      </c>
      <c r="K72" s="62"/>
      <c r="L72" s="62" t="n">
        <v>7</v>
      </c>
      <c r="M72" s="62"/>
      <c r="N72" s="62"/>
      <c r="O72" s="62"/>
      <c r="P72" s="62"/>
      <c r="Q72" s="5"/>
      <c r="R72" s="65"/>
      <c r="S72" s="5" t="s">
        <v>862</v>
      </c>
      <c r="T72" s="65" t="s">
        <v>862</v>
      </c>
      <c r="U72" s="62" t="n">
        <v>1</v>
      </c>
      <c r="V72" s="62" t="s">
        <v>516</v>
      </c>
      <c r="Z72" s="43" t="str">
        <f aca="false">"D6.scenario.defMeasures['"&amp;C72&amp;"'] = { "&amp;B$2&amp;":"""&amp;B72&amp;""",  "&amp;C$2&amp;":"""&amp;C72&amp;""",  "&amp;D$2&amp;":"""&amp;CLEAN(SUBSTITUTE(D72,"""","'"))&amp;""",  "&amp;I$2&amp;":"""&amp;I72&amp;""",  "&amp;F$2&amp;":"""&amp;F72&amp;""",  "&amp;G$2&amp;":"""&amp;CLEAN(SUBSTITUTE(G72,"""","'"))&amp;""", "&amp;K$2&amp;":"""&amp;K72&amp;""",  "&amp;L$2&amp;":"""&amp;L72&amp;""",  "&amp;M$2&amp;":"""&amp;M72&amp;""",  "&amp;N$2&amp;":"""&amp;N72&amp;""",  "&amp;O$2&amp;":"""&amp;O72&amp;""",  "&amp;P$2&amp;":"""&amp;P72&amp;""",  "&amp;Q$2&amp;":"""&amp;Q72&amp;""",  "&amp;S$2&amp;":"""&amp;CLEAN(SUBSTITUTE(S72,"""","'"))&amp;""",   "&amp;U$2&amp;":"""&amp;U72&amp;""",   "&amp;V$2&amp;":"""&amp;V72&amp;"""};"</f>
        <v>D6.scenario.defMeasures['mTVradio'] = { mid:"602",  name:"mTVradio",  title:"テレビの時間の半分をラジオにする",  easyness:"1",  refCons:"consTVsum",  titleShort:"ラジオ", level:"",  figNum:"7",  lifeTime:"",  price:"",  roanShow:"",  standardType:"",  subsidy :"",  advice:"テレビは画面を映し出す必要があるため、ラジオの10～100倍の消費電力を消費しています。寂しいためにテレビを点けている場合には、省エネのために、ラジオやCDなどに代えてみてください。",   lifestyle:"1",   season:"wss"};</v>
      </c>
      <c r="AB72" s="20" t="str">
        <f aca="false">"$defMeasures['"&amp;C72&amp;"'] = [ '"&amp;B$2&amp;"'=&gt;"""&amp;B72&amp;""",   '"&amp;D$2&amp;"'=&gt;"""&amp;CLEAN(SUBSTITUTE(D72,"""","'"))&amp;""",  '"&amp;L$2&amp;"'=&gt;"""&amp;L72&amp;""",  '"&amp;S$2&amp;"'=&gt;"""&amp;CLEAN(SUBSTITUTE(S72,"""","'"))&amp;"""];"</f>
        <v>$defMeasures['mTVradio'] = [ 'mid'=&gt;"602",   'title'=&gt;"テレビの時間の半分をラジオにする",  'figNum'=&gt;"7",  'advice'=&gt;"テレビは画面を映し出す必要があるため、ラジオの10～100倍の消費電力を消費しています。寂しいためにテレビを点けている場合には、省エネのために、ラジオやCDなどに代えてみてください。"];</v>
      </c>
      <c r="AD72" s="62" t="s">
        <v>863</v>
      </c>
    </row>
    <row r="73" customFormat="false" ht="69" hidden="false" customHeight="true" outlineLevel="0" collapsed="false">
      <c r="B73" s="62" t="n">
        <v>603</v>
      </c>
      <c r="C73" s="62" t="s">
        <v>864</v>
      </c>
      <c r="D73" s="5" t="s">
        <v>865</v>
      </c>
      <c r="E73" s="65" t="s">
        <v>865</v>
      </c>
      <c r="F73" s="62" t="s">
        <v>278</v>
      </c>
      <c r="G73" s="5" t="s">
        <v>866</v>
      </c>
      <c r="H73" s="65" t="s">
        <v>866</v>
      </c>
      <c r="I73" s="5" t="n">
        <v>3</v>
      </c>
      <c r="J73" s="65" t="n">
        <v>3</v>
      </c>
      <c r="K73" s="62"/>
      <c r="L73" s="62" t="n">
        <v>7</v>
      </c>
      <c r="M73" s="62"/>
      <c r="N73" s="62"/>
      <c r="O73" s="62"/>
      <c r="P73" s="62"/>
      <c r="Q73" s="5"/>
      <c r="R73" s="65"/>
      <c r="S73" s="5" t="s">
        <v>867</v>
      </c>
      <c r="T73" s="65" t="s">
        <v>867</v>
      </c>
      <c r="U73" s="62" t="n">
        <v>1</v>
      </c>
      <c r="V73" s="62" t="s">
        <v>516</v>
      </c>
      <c r="Z73" s="43" t="str">
        <f aca="false">"D6.scenario.defMeasures['"&amp;C73&amp;"'] = { "&amp;B$2&amp;":"""&amp;B73&amp;""",  "&amp;C$2&amp;":"""&amp;C73&amp;""",  "&amp;D$2&amp;":"""&amp;CLEAN(SUBSTITUTE(D73,"""","'"))&amp;""",  "&amp;I$2&amp;":"""&amp;I73&amp;""",  "&amp;F$2&amp;":"""&amp;F73&amp;""",  "&amp;G$2&amp;":"""&amp;CLEAN(SUBSTITUTE(G73,"""","'"))&amp;""", "&amp;K$2&amp;":"""&amp;K73&amp;""",  "&amp;L$2&amp;":"""&amp;L73&amp;""",  "&amp;M$2&amp;":"""&amp;M73&amp;""",  "&amp;N$2&amp;":"""&amp;N73&amp;""",  "&amp;O$2&amp;":"""&amp;O73&amp;""",  "&amp;P$2&amp;":"""&amp;P73&amp;""",  "&amp;Q$2&amp;":"""&amp;Q73&amp;""",  "&amp;S$2&amp;":"""&amp;CLEAN(SUBSTITUTE(S73,"""","'"))&amp;""",   "&amp;U$2&amp;":"""&amp;U73&amp;""",   "&amp;V$2&amp;":"""&amp;V73&amp;"""};"</f>
        <v>D6.scenario.defMeasures['mTVtime'] = { mid:"603",  name:"mTVtime",  title:"テレビを点ける時間を1日1時間短くする",  easyness:"3",  refCons:"consTV",  titleShort:"テレビ短縮", level:"",  figNum:"7",  lifeTime:"",  price:"",  roanShow:"",  standardType:"",  subsidy :"",  advice:"あらかじめ視るテレビ番組を決めておき、終わったらテレビを消すようにしましょう。点けっぱなしにしていると、意図せずに次の番組まで見てしまうことになります。またテレビゲームの場合にもは、長時間しがちですので、使う時間を短くするように心がけましょう。",   lifestyle:"1",   season:"wss"};</v>
      </c>
      <c r="AB73" s="20" t="str">
        <f aca="false">"$defMeasures['"&amp;C73&amp;"'] = [ '"&amp;B$2&amp;"'=&gt;"""&amp;B73&amp;""",   '"&amp;D$2&amp;"'=&gt;"""&amp;CLEAN(SUBSTITUTE(D73,"""","'"))&amp;""",  '"&amp;L$2&amp;"'=&gt;"""&amp;L73&amp;""",  '"&amp;S$2&amp;"'=&gt;"""&amp;CLEAN(SUBSTITUTE(S73,"""","'"))&amp;"""];"</f>
        <v>$defMeasures['mTVtime'] = [ 'mid'=&gt;"603",   'title'=&gt;"テレビを点ける時間を1日1時間短くする",  'figNum'=&gt;"7",  'advice'=&gt;"あらかじめ視るテレビ番組を決めておき、終わったらテレビを消すようにしましょう。点けっぱなしにしていると、意図せずに次の番組まで見てしまうことになります。またテレビゲームの場合にもは、長時間しがちですので、使う時間を短くするように心がけましょう。"];</v>
      </c>
      <c r="AD73" s="62" t="s">
        <v>868</v>
      </c>
    </row>
    <row r="74" customFormat="false" ht="69" hidden="false" customHeight="true" outlineLevel="0" collapsed="false">
      <c r="B74" s="62" t="n">
        <v>604</v>
      </c>
      <c r="C74" s="62" t="s">
        <v>869</v>
      </c>
      <c r="D74" s="5" t="s">
        <v>870</v>
      </c>
      <c r="E74" s="65" t="s">
        <v>870</v>
      </c>
      <c r="F74" s="62" t="s">
        <v>278</v>
      </c>
      <c r="G74" s="5" t="s">
        <v>871</v>
      </c>
      <c r="H74" s="65" t="s">
        <v>871</v>
      </c>
      <c r="I74" s="5" t="n">
        <v>2</v>
      </c>
      <c r="J74" s="65" t="n">
        <v>2</v>
      </c>
      <c r="K74" s="62"/>
      <c r="L74" s="62" t="n">
        <v>7</v>
      </c>
      <c r="M74" s="62"/>
      <c r="N74" s="62"/>
      <c r="O74" s="62"/>
      <c r="P74" s="62"/>
      <c r="Q74" s="5"/>
      <c r="R74" s="65"/>
      <c r="S74" s="5" t="s">
        <v>872</v>
      </c>
      <c r="T74" s="65" t="s">
        <v>872</v>
      </c>
      <c r="U74" s="62" t="n">
        <v>1</v>
      </c>
      <c r="V74" s="62" t="s">
        <v>516</v>
      </c>
      <c r="Z74" s="43" t="str">
        <f aca="false">"D6.scenario.defMeasures['"&amp;C74&amp;"'] = { "&amp;B$2&amp;":"""&amp;B74&amp;""",  "&amp;C$2&amp;":"""&amp;C74&amp;""",  "&amp;D$2&amp;":"""&amp;CLEAN(SUBSTITUTE(D74,"""","'"))&amp;""",  "&amp;I$2&amp;":"""&amp;I74&amp;""",  "&amp;F$2&amp;":"""&amp;F74&amp;""",  "&amp;G$2&amp;":"""&amp;CLEAN(SUBSTITUTE(G74,"""","'"))&amp;""", "&amp;K$2&amp;":"""&amp;K74&amp;""",  "&amp;L$2&amp;":"""&amp;L74&amp;""",  "&amp;M$2&amp;":"""&amp;M74&amp;""",  "&amp;N$2&amp;":"""&amp;N74&amp;""",  "&amp;O$2&amp;":"""&amp;O74&amp;""",  "&amp;P$2&amp;":"""&amp;P74&amp;""",  "&amp;Q$2&amp;":"""&amp;Q74&amp;""",  "&amp;S$2&amp;":"""&amp;CLEAN(SUBSTITUTE(S74,"""","'"))&amp;""",   "&amp;U$2&amp;":"""&amp;U74&amp;""",   "&amp;V$2&amp;":"""&amp;V74&amp;"""};"</f>
        <v>D6.scenario.defMeasures['mTVbright'] = { mid:"604",  name:"mTVbright",  title:"テレビの画面を明るすぎないよう調整する",  easyness:"2",  refCons:"consTV",  titleShort:"テレビ明るさ調節", level:"",  figNum:"7",  lifeTime:"",  price:"",  roanShow:"",  standardType:"",  subsidy :"",  advice:"テレビの画面の明るさを調節できるようになっています。販売時には明るく設定がされており、このままでは家ではまぶしすぎ、消費電力も多くなります。明るさを控えめに設定することで、2～4割程度消費電力が削減されます。新しいテレビでは、センサーで自動調節するタイプもあります。",   lifestyle:"1",   season:"wss"};</v>
      </c>
      <c r="AB74" s="20" t="str">
        <f aca="false">"$defMeasures['"&amp;C74&amp;"'] = [ '"&amp;B$2&amp;"'=&gt;"""&amp;B74&amp;""",   '"&amp;D$2&amp;"'=&gt;"""&amp;CLEAN(SUBSTITUTE(D74,"""","'"))&amp;""",  '"&amp;L$2&amp;"'=&gt;"""&amp;L74&amp;""",  '"&amp;S$2&amp;"'=&gt;"""&amp;CLEAN(SUBSTITUTE(S74,"""","'"))&amp;"""];"</f>
        <v>$defMeasures['mTVbright'] = [ 'mid'=&gt;"604",   'title'=&gt;"テレビの画面を明るすぎないよう調整する",  'figNum'=&gt;"7",  'advice'=&gt;"テレビの画面の明るさを調節できるようになっています。販売時には明るく設定がされており、このままでは家ではまぶしすぎ、消費電力も多くなります。明るさを控えめに設定することで、2～4割程度消費電力が削減されます。新しいテレビでは、センサーで自動調節するタイプもあります。"];</v>
      </c>
      <c r="AD74" s="62" t="s">
        <v>873</v>
      </c>
    </row>
    <row r="75" customFormat="false" ht="69" hidden="false" customHeight="true" outlineLevel="0" collapsed="false">
      <c r="B75" s="62" t="n">
        <v>701</v>
      </c>
      <c r="C75" s="62" t="s">
        <v>874</v>
      </c>
      <c r="D75" s="5" t="s">
        <v>875</v>
      </c>
      <c r="E75" s="65" t="s">
        <v>875</v>
      </c>
      <c r="F75" s="62" t="s">
        <v>256</v>
      </c>
      <c r="G75" s="5" t="s">
        <v>876</v>
      </c>
      <c r="H75" s="65" t="s">
        <v>876</v>
      </c>
      <c r="I75" s="5" t="n">
        <v>2</v>
      </c>
      <c r="J75" s="65" t="n">
        <v>2</v>
      </c>
      <c r="K75" s="62"/>
      <c r="L75" s="62" t="n">
        <v>2</v>
      </c>
      <c r="M75" s="62" t="n">
        <v>10</v>
      </c>
      <c r="N75" s="62" t="n">
        <v>150000</v>
      </c>
      <c r="O75" s="62"/>
      <c r="P75" s="62" t="s">
        <v>619</v>
      </c>
      <c r="Q75" s="5"/>
      <c r="R75" s="65"/>
      <c r="S75" s="5" t="s">
        <v>877</v>
      </c>
      <c r="T75" s="65" t="s">
        <v>877</v>
      </c>
      <c r="U75" s="62"/>
      <c r="V75" s="62" t="s">
        <v>516</v>
      </c>
      <c r="Z75" s="43" t="str">
        <f aca="false">"D6.scenario.defMeasures['"&amp;C75&amp;"'] = { "&amp;B$2&amp;":"""&amp;B75&amp;""",  "&amp;C$2&amp;":"""&amp;C75&amp;""",  "&amp;D$2&amp;":"""&amp;CLEAN(SUBSTITUTE(D75,"""","'"))&amp;""",  "&amp;I$2&amp;":"""&amp;I75&amp;""",  "&amp;F$2&amp;":"""&amp;F75&amp;""",  "&amp;G$2&amp;":"""&amp;CLEAN(SUBSTITUTE(G75,"""","'"))&amp;""", "&amp;K$2&amp;":"""&amp;K75&amp;""",  "&amp;L$2&amp;":"""&amp;L75&amp;""",  "&amp;M$2&amp;":"""&amp;M75&amp;""",  "&amp;N$2&amp;":"""&amp;N75&amp;""",  "&amp;O$2&amp;":"""&amp;O75&amp;""",  "&amp;P$2&amp;":"""&amp;P75&amp;""",  "&amp;Q$2&amp;":"""&amp;Q75&amp;""",  "&amp;S$2&amp;":"""&amp;CLEAN(SUBSTITUTE(S75,"""","'"))&amp;""",   "&amp;U$2&amp;":"""&amp;U75&amp;""",   "&amp;V$2&amp;":"""&amp;V75&amp;"""};"</f>
        <v>D6.scenario.defMeasures['mRFreplace'] = { mid:"701",  name:"mRFreplace",  title:"冷蔵庫を省エネ型に買い替える",  easyness:"2",  refCons:"consRF",  titleShort:"省エネ冷蔵庫", level:"",  figNum:"2",  lifeTime:"10",  price:"150000",  roanShow:"",  standardType:"普及型",  subsidy :"",  advice:"以前の機種に比べると半分くらいの電気ですむ省エネ型冷蔵庫があります。選ぶ時には、統一省エネラベルの★マークの数が多いものや、年間電気代の表示を参考に省エネ型を選んでください。買換のときには、古い冷蔵庫は家電リサイクルの制度で引き取ってもらうようにしましょう。",   lifestyle:"",   season:"wss"};</v>
      </c>
      <c r="AB75" s="20" t="str">
        <f aca="false">"$defMeasures['"&amp;C75&amp;"'] = [ '"&amp;B$2&amp;"'=&gt;"""&amp;B75&amp;""",   '"&amp;D$2&amp;"'=&gt;"""&amp;CLEAN(SUBSTITUTE(D75,"""","'"))&amp;""",  '"&amp;L$2&amp;"'=&gt;"""&amp;L75&amp;""",  '"&amp;S$2&amp;"'=&gt;"""&amp;CLEAN(SUBSTITUTE(S75,"""","'"))&amp;"""];"</f>
        <v>$defMeasures['mRFreplace'] = [ 'mid'=&gt;"701",   'title'=&gt;"冷蔵庫を省エネ型に買い替える",  'figNum'=&gt;"2",  'advice'=&gt;"以前の機種に比べると半分くらいの電気ですむ省エネ型冷蔵庫があります。選ぶ時には、統一省エネラベルの★マークの数が多いものや、年間電気代の表示を参考に省エネ型を選んでください。買換のときには、古い冷蔵庫は家電リサイクルの制度で引き取ってもらうようにしましょう。"];</v>
      </c>
      <c r="AD75" s="62" t="s">
        <v>878</v>
      </c>
    </row>
    <row r="76" customFormat="false" ht="69" hidden="false" customHeight="true" outlineLevel="0" collapsed="false">
      <c r="B76" s="62" t="n">
        <v>702</v>
      </c>
      <c r="C76" s="62" t="s">
        <v>879</v>
      </c>
      <c r="D76" s="5" t="s">
        <v>880</v>
      </c>
      <c r="E76" s="65" t="s">
        <v>880</v>
      </c>
      <c r="F76" s="62" t="s">
        <v>256</v>
      </c>
      <c r="G76" s="5" t="s">
        <v>881</v>
      </c>
      <c r="H76" s="65" t="s">
        <v>881</v>
      </c>
      <c r="I76" s="5" t="n">
        <v>2</v>
      </c>
      <c r="J76" s="65" t="n">
        <v>2</v>
      </c>
      <c r="K76" s="62"/>
      <c r="L76" s="62" t="n">
        <v>2</v>
      </c>
      <c r="M76" s="62"/>
      <c r="N76" s="62"/>
      <c r="O76" s="62"/>
      <c r="P76" s="62"/>
      <c r="Q76" s="5"/>
      <c r="R76" s="65"/>
      <c r="S76" s="5" t="s">
        <v>882</v>
      </c>
      <c r="T76" s="65" t="s">
        <v>882</v>
      </c>
      <c r="U76" s="62" t="n">
        <v>1</v>
      </c>
      <c r="V76" s="62" t="s">
        <v>516</v>
      </c>
      <c r="Z76" s="43" t="str">
        <f aca="false">"D6.scenario.defMeasures['"&amp;C76&amp;"'] = { "&amp;B$2&amp;":"""&amp;B76&amp;""",  "&amp;C$2&amp;":"""&amp;C76&amp;""",  "&amp;D$2&amp;":"""&amp;CLEAN(SUBSTITUTE(D76,"""","'"))&amp;""",  "&amp;I$2&amp;":"""&amp;I76&amp;""",  "&amp;F$2&amp;":"""&amp;F76&amp;""",  "&amp;G$2&amp;":"""&amp;CLEAN(SUBSTITUTE(G76,"""","'"))&amp;""", "&amp;K$2&amp;":"""&amp;K76&amp;""",  "&amp;L$2&amp;":"""&amp;L76&amp;""",  "&amp;M$2&amp;":"""&amp;M76&amp;""",  "&amp;N$2&amp;":"""&amp;N76&amp;""",  "&amp;O$2&amp;":"""&amp;O76&amp;""",  "&amp;P$2&amp;":"""&amp;P76&amp;""",  "&amp;Q$2&amp;":"""&amp;Q76&amp;""",  "&amp;S$2&amp;":"""&amp;CLEAN(SUBSTITUTE(S76,"""","'"))&amp;""",   "&amp;U$2&amp;":"""&amp;U76&amp;""",   "&amp;V$2&amp;":"""&amp;V76&amp;"""};"</f>
        <v>D6.scenario.defMeasures['mRFstop'] = { mid:"702",  name:"mRFstop",  title:"冷蔵庫のうち１台を止める",  easyness:"2",  refCons:"consRF",  titleShort:"冷蔵庫停止", level:"",  figNum:"2",  lifeTime:"",  price:"",  roanShow:"",  standardType:"",  subsidy :"",  advice:"冷蔵庫を2台以上使っている場合には、1台を止めてください。小型の冷蔵庫でも大型と同じくらい多くの電気を消費します。使えるのに使わないでおくと「もったいない」と感じるかもしれませんが、電気を入れているだけで大きな環境負荷が生じますので、使わないほうが望ましいです。",   lifestyle:"1",   season:"wss"};</v>
      </c>
      <c r="AB76" s="20" t="str">
        <f aca="false">"$defMeasures['"&amp;C76&amp;"'] = [ '"&amp;B$2&amp;"'=&gt;"""&amp;B76&amp;""",   '"&amp;D$2&amp;"'=&gt;"""&amp;CLEAN(SUBSTITUTE(D76,"""","'"))&amp;""",  '"&amp;L$2&amp;"'=&gt;"""&amp;L76&amp;""",  '"&amp;S$2&amp;"'=&gt;"""&amp;CLEAN(SUBSTITUTE(S76,"""","'"))&amp;"""];"</f>
        <v>$defMeasures['mRFstop'] = [ 'mid'=&gt;"702",   'title'=&gt;"冷蔵庫のうち１台を止める",  'figNum'=&gt;"2",  'advice'=&gt;"冷蔵庫を2台以上使っている場合には、1台を止めてください。小型の冷蔵庫でも大型と同じくらい多くの電気を消費します。使えるのに使わないでおくと「もったいない」と感じるかもしれませんが、電気を入れているだけで大きな環境負荷が生じますので、使わないほうが望ましいです。"];</v>
      </c>
      <c r="AD76" s="62" t="s">
        <v>883</v>
      </c>
    </row>
    <row r="77" customFormat="false" ht="69" hidden="false" customHeight="true" outlineLevel="0" collapsed="false">
      <c r="B77" s="62" t="n">
        <v>703</v>
      </c>
      <c r="C77" s="62" t="s">
        <v>884</v>
      </c>
      <c r="D77" s="5" t="s">
        <v>885</v>
      </c>
      <c r="E77" s="65" t="s">
        <v>885</v>
      </c>
      <c r="F77" s="62" t="s">
        <v>256</v>
      </c>
      <c r="G77" s="5" t="s">
        <v>886</v>
      </c>
      <c r="H77" s="65" t="s">
        <v>886</v>
      </c>
      <c r="I77" s="5" t="n">
        <v>4</v>
      </c>
      <c r="J77" s="65" t="n">
        <v>4</v>
      </c>
      <c r="K77" s="62"/>
      <c r="L77" s="62" t="n">
        <v>2</v>
      </c>
      <c r="M77" s="62"/>
      <c r="N77" s="62"/>
      <c r="O77" s="62"/>
      <c r="P77" s="62"/>
      <c r="Q77" s="5"/>
      <c r="R77" s="65"/>
      <c r="S77" s="5" t="s">
        <v>887</v>
      </c>
      <c r="T77" s="65" t="s">
        <v>887</v>
      </c>
      <c r="U77" s="62" t="n">
        <v>1</v>
      </c>
      <c r="V77" s="62" t="s">
        <v>516</v>
      </c>
      <c r="Z77" s="43" t="str">
        <f aca="false">"D6.scenario.defMeasures['"&amp;C77&amp;"'] = { "&amp;B$2&amp;":"""&amp;B77&amp;""",  "&amp;C$2&amp;":"""&amp;C77&amp;""",  "&amp;D$2&amp;":"""&amp;CLEAN(SUBSTITUTE(D77,"""","'"))&amp;""",  "&amp;I$2&amp;":"""&amp;I77&amp;""",  "&amp;F$2&amp;":"""&amp;F77&amp;""",  "&amp;G$2&amp;":"""&amp;CLEAN(SUBSTITUTE(G77,"""","'"))&amp;""", "&amp;K$2&amp;":"""&amp;K77&amp;""",  "&amp;L$2&amp;":"""&amp;L77&amp;""",  "&amp;M$2&amp;":"""&amp;M77&amp;""",  "&amp;N$2&amp;":"""&amp;N77&amp;""",  "&amp;O$2&amp;":"""&amp;O77&amp;""",  "&amp;P$2&amp;":"""&amp;P77&amp;""",  "&amp;Q$2&amp;":"""&amp;Q77&amp;""",  "&amp;S$2&amp;":"""&amp;CLEAN(SUBSTITUTE(S77,"""","'"))&amp;""",   "&amp;U$2&amp;":"""&amp;U77&amp;""",   "&amp;V$2&amp;":"""&amp;V77&amp;"""};"</f>
        <v>D6.scenario.defMeasures['mRFwall'] = { mid:"703",  name:"mRFwall",  title:"冷蔵庫を壁から離す",  easyness:"4",  refCons:"consRF",  titleShort:"冷蔵庫位置", level:"",  figNum:"2",  lifeTime:"",  price:"",  roanShow:"",  standardType:"",  subsidy :"",  advice:"冷蔵庫は壁から5cm程度離すのが目安です。冷蔵庫は側面や天井面から熱を逃がしていますが、壁に接していると熱が逃げにくくなり、消費電力が1割程度増えてしまいます。",   lifestyle:"1",   season:"wss"};</v>
      </c>
      <c r="AB77" s="20" t="str">
        <f aca="false">"$defMeasures['"&amp;C77&amp;"'] = [ '"&amp;B$2&amp;"'=&gt;"""&amp;B77&amp;""",   '"&amp;D$2&amp;"'=&gt;"""&amp;CLEAN(SUBSTITUTE(D77,"""","'"))&amp;""",  '"&amp;L$2&amp;"'=&gt;"""&amp;L77&amp;""",  '"&amp;S$2&amp;"'=&gt;"""&amp;CLEAN(SUBSTITUTE(S77,"""","'"))&amp;"""];"</f>
        <v>$defMeasures['mRFwall'] = [ 'mid'=&gt;"703",   'title'=&gt;"冷蔵庫を壁から離す",  'figNum'=&gt;"2",  'advice'=&gt;"冷蔵庫は壁から5cm程度離すのが目安です。冷蔵庫は側面や天井面から熱を逃がしていますが、壁に接していると熱が逃げにくくなり、消費電力が1割程度増えてしまいます。"];</v>
      </c>
      <c r="AD77" s="62" t="s">
        <v>888</v>
      </c>
    </row>
    <row r="78" customFormat="false" ht="69" hidden="false" customHeight="true" outlineLevel="0" collapsed="false">
      <c r="B78" s="62" t="n">
        <v>704</v>
      </c>
      <c r="C78" s="62" t="s">
        <v>889</v>
      </c>
      <c r="D78" s="5" t="s">
        <v>890</v>
      </c>
      <c r="E78" s="65" t="s">
        <v>890</v>
      </c>
      <c r="F78" s="62" t="s">
        <v>256</v>
      </c>
      <c r="G78" s="5" t="s">
        <v>891</v>
      </c>
      <c r="H78" s="65" t="s">
        <v>891</v>
      </c>
      <c r="I78" s="5" t="n">
        <v>4</v>
      </c>
      <c r="J78" s="65" t="n">
        <v>4</v>
      </c>
      <c r="K78" s="62"/>
      <c r="L78" s="62" t="n">
        <v>2</v>
      </c>
      <c r="M78" s="62"/>
      <c r="N78" s="62"/>
      <c r="O78" s="62"/>
      <c r="P78" s="62"/>
      <c r="Q78" s="5"/>
      <c r="R78" s="65"/>
      <c r="S78" s="5" t="s">
        <v>892</v>
      </c>
      <c r="T78" s="65" t="s">
        <v>892</v>
      </c>
      <c r="U78" s="62" t="n">
        <v>1</v>
      </c>
      <c r="V78" s="62" t="s">
        <v>516</v>
      </c>
      <c r="Z78" s="43" t="str">
        <f aca="false">"D6.scenario.defMeasures['"&amp;C78&amp;"'] = { "&amp;B$2&amp;":"""&amp;B78&amp;""",  "&amp;C$2&amp;":"""&amp;C78&amp;""",  "&amp;D$2&amp;":"""&amp;CLEAN(SUBSTITUTE(D78,"""","'"))&amp;""",  "&amp;I$2&amp;":"""&amp;I78&amp;""",  "&amp;F$2&amp;":"""&amp;F78&amp;""",  "&amp;G$2&amp;":"""&amp;CLEAN(SUBSTITUTE(G78,"""","'"))&amp;""", "&amp;K$2&amp;":"""&amp;K78&amp;""",  "&amp;L$2&amp;":"""&amp;L78&amp;""",  "&amp;M$2&amp;":"""&amp;M78&amp;""",  "&amp;N$2&amp;":"""&amp;N78&amp;""",  "&amp;O$2&amp;":"""&amp;O78&amp;""",  "&amp;P$2&amp;":"""&amp;P78&amp;""",  "&amp;Q$2&amp;":"""&amp;Q78&amp;""",  "&amp;S$2&amp;":"""&amp;CLEAN(SUBSTITUTE(S78,"""","'"))&amp;""",   "&amp;U$2&amp;":"""&amp;U78&amp;""",   "&amp;V$2&amp;":"""&amp;V78&amp;"""};"</f>
        <v>D6.scenario.defMeasures['mRFtemplature'] = { mid:"704",  name:"mRFtemplature",  title:"冷蔵庫の温度設定を控えめにする",  easyness:"4",  refCons:"consRF",  titleShort:"冷蔵温度", level:"",  figNum:"2",  lifeTime:"",  price:"",  roanShow:"",  standardType:"",  subsidy :"",  advice:"冷蔵庫は温度調節ができます。設定を、強から中へ、中から弱へするとそれぞれ1割程度省エネができます。食品の傷みがやや速くなりますので、支障がないか確認しながら試してみてください。",   lifestyle:"1",   season:"wss"};</v>
      </c>
      <c r="AB78" s="20" t="str">
        <f aca="false">"$defMeasures['"&amp;C78&amp;"'] = [ '"&amp;B$2&amp;"'=&gt;"""&amp;B78&amp;""",   '"&amp;D$2&amp;"'=&gt;"""&amp;CLEAN(SUBSTITUTE(D78,"""","'"))&amp;""",  '"&amp;L$2&amp;"'=&gt;"""&amp;L78&amp;""",  '"&amp;S$2&amp;"'=&gt;"""&amp;CLEAN(SUBSTITUTE(S78,"""","'"))&amp;"""];"</f>
        <v>$defMeasures['mRFtemplature'] = [ 'mid'=&gt;"704",   'title'=&gt;"冷蔵庫の温度設定を控えめにする",  'figNum'=&gt;"2",  'advice'=&gt;"冷蔵庫は温度調節ができます。設定を、強から中へ、中から弱へするとそれぞれ1割程度省エネができます。食品の傷みがやや速くなりますので、支障がないか確認しながら試してみてください。"];</v>
      </c>
      <c r="AD78" s="62" t="s">
        <v>893</v>
      </c>
    </row>
    <row r="79" customFormat="false" ht="69" hidden="false" customHeight="true" outlineLevel="0" collapsed="false">
      <c r="B79" s="62" t="n">
        <v>801</v>
      </c>
      <c r="C79" s="62" t="s">
        <v>894</v>
      </c>
      <c r="D79" s="5" t="s">
        <v>895</v>
      </c>
      <c r="E79" s="65" t="s">
        <v>895</v>
      </c>
      <c r="F79" s="62" t="s">
        <v>282</v>
      </c>
      <c r="G79" s="5" t="s">
        <v>896</v>
      </c>
      <c r="H79" s="65" t="s">
        <v>896</v>
      </c>
      <c r="I79" s="5" t="n">
        <v>2</v>
      </c>
      <c r="J79" s="65" t="n">
        <v>2</v>
      </c>
      <c r="K79" s="62"/>
      <c r="L79" s="62" t="n">
        <v>21</v>
      </c>
      <c r="M79" s="62" t="n">
        <v>8</v>
      </c>
      <c r="N79" s="62" t="n">
        <v>1800000</v>
      </c>
      <c r="O79" s="62"/>
      <c r="P79" s="62" t="s">
        <v>619</v>
      </c>
      <c r="Q79" s="5" t="s">
        <v>897</v>
      </c>
      <c r="R79" s="65" t="s">
        <v>897</v>
      </c>
      <c r="S79" s="5" t="s">
        <v>898</v>
      </c>
      <c r="T79" s="65" t="s">
        <v>898</v>
      </c>
      <c r="U79" s="62"/>
      <c r="V79" s="62" t="s">
        <v>516</v>
      </c>
      <c r="Z79" s="43" t="str">
        <f aca="false">"D6.scenario.defMeasures['"&amp;C79&amp;"'] = { "&amp;B$2&amp;":"""&amp;B79&amp;""",  "&amp;C$2&amp;":"""&amp;C79&amp;""",  "&amp;D$2&amp;":"""&amp;CLEAN(SUBSTITUTE(D79,"""","'"))&amp;""",  "&amp;I$2&amp;":"""&amp;I79&amp;""",  "&amp;F$2&amp;":"""&amp;F79&amp;""",  "&amp;G$2&amp;":"""&amp;CLEAN(SUBSTITUTE(G79,"""","'"))&amp;""", "&amp;K$2&amp;":"""&amp;K79&amp;""",  "&amp;L$2&amp;":"""&amp;L79&amp;""",  "&amp;M$2&amp;":"""&amp;M79&amp;""",  "&amp;N$2&amp;":"""&amp;N79&amp;""",  "&amp;O$2&amp;":"""&amp;O79&amp;""",  "&amp;P$2&amp;":"""&amp;P79&amp;""",  "&amp;Q$2&amp;":"""&amp;Q79&amp;""",  "&amp;S$2&amp;":"""&amp;CLEAN(SUBSTITUTE(S79,"""","'"))&amp;""",   "&amp;U$2&amp;":"""&amp;U79&amp;""",   "&amp;V$2&amp;":"""&amp;V79&amp;"""};"</f>
        <v>D6.scenario.defMeasures['mCRreplace'] = { mid:"801",  name:"mCRreplace",  title:"エコカーに買い替える",  easyness:"2",  refCons:"consCR",  titleShort:"車買い替え", level:"",  figNum:"21",  lifeTime:"8",  price:"1800000",  roanShow:"",  standardType:"普及型",  subsidy :"エコカーの導入にあたっては、「減税」のメリットが得られます。",  advice:"ハイブリッド車や電気自動車以外にも、技術改善により、既存の燃料消費が半分程度で済む低燃費車が開発されて販売されています。購入時には燃費を考慮して選んで下さい。",   lifestyle:"",   season:"wss"};</v>
      </c>
      <c r="AB79" s="20" t="str">
        <f aca="false">"$defMeasures['"&amp;C79&amp;"'] = [ '"&amp;B$2&amp;"'=&gt;"""&amp;B79&amp;""",   '"&amp;D$2&amp;"'=&gt;"""&amp;CLEAN(SUBSTITUTE(D79,"""","'"))&amp;""",  '"&amp;L$2&amp;"'=&gt;"""&amp;L79&amp;""",  '"&amp;S$2&amp;"'=&gt;"""&amp;CLEAN(SUBSTITUTE(S79,"""","'"))&amp;"""];"</f>
        <v>$defMeasures['mCRreplace'] = [ 'mid'=&gt;"801",   'title'=&gt;"エコカーに買い替える",  'figNum'=&gt;"21",  'advice'=&gt;"ハイブリッド車や電気自動車以外にも、技術改善により、既存の燃料消費が半分程度で済む低燃費車が開発されて販売されています。購入時には燃費を考慮して選んで下さい。"];</v>
      </c>
      <c r="AD79" s="62" t="s">
        <v>899</v>
      </c>
    </row>
    <row r="80" customFormat="false" ht="69" hidden="false" customHeight="true" outlineLevel="0" collapsed="false">
      <c r="B80" s="62" t="n">
        <v>802</v>
      </c>
      <c r="C80" s="62" t="s">
        <v>900</v>
      </c>
      <c r="D80" s="5" t="s">
        <v>901</v>
      </c>
      <c r="E80" s="65" t="s">
        <v>901</v>
      </c>
      <c r="F80" s="62" t="s">
        <v>282</v>
      </c>
      <c r="G80" s="5" t="s">
        <v>902</v>
      </c>
      <c r="H80" s="65" t="s">
        <v>902</v>
      </c>
      <c r="I80" s="5" t="n">
        <v>1</v>
      </c>
      <c r="J80" s="65" t="n">
        <v>1</v>
      </c>
      <c r="K80" s="62"/>
      <c r="L80" s="62" t="n">
        <v>21</v>
      </c>
      <c r="M80" s="62" t="n">
        <v>7</v>
      </c>
      <c r="N80" s="62" t="n">
        <v>3000000</v>
      </c>
      <c r="O80" s="62"/>
      <c r="P80" s="62"/>
      <c r="Q80" s="5" t="s">
        <v>903</v>
      </c>
      <c r="R80" s="65"/>
      <c r="S80" s="5" t="s">
        <v>904</v>
      </c>
      <c r="T80" s="65" t="s">
        <v>904</v>
      </c>
      <c r="U80" s="62"/>
      <c r="V80" s="62" t="s">
        <v>516</v>
      </c>
      <c r="Z80" s="43" t="str">
        <f aca="false">"D6.scenario.defMeasures['"&amp;C80&amp;"'] = { "&amp;B$2&amp;":"""&amp;B80&amp;""",  "&amp;C$2&amp;":"""&amp;C80&amp;""",  "&amp;D$2&amp;":"""&amp;CLEAN(SUBSTITUTE(D80,"""","'"))&amp;""",  "&amp;I$2&amp;":"""&amp;I80&amp;""",  "&amp;F$2&amp;":"""&amp;F80&amp;""",  "&amp;G$2&amp;":"""&amp;CLEAN(SUBSTITUTE(G80,"""","'"))&amp;""", "&amp;K$2&amp;":"""&amp;K80&amp;""",  "&amp;L$2&amp;":"""&amp;L80&amp;""",  "&amp;M$2&amp;":"""&amp;M80&amp;""",  "&amp;N$2&amp;":"""&amp;N80&amp;""",  "&amp;O$2&amp;":"""&amp;O80&amp;""",  "&amp;P$2&amp;":"""&amp;P80&amp;""",  "&amp;Q$2&amp;":"""&amp;Q80&amp;""",  "&amp;S$2&amp;":"""&amp;CLEAN(SUBSTITUTE(S80,"""","'"))&amp;""",   "&amp;U$2&amp;":"""&amp;U80&amp;""",   "&amp;V$2&amp;":"""&amp;V80&amp;"""};"</f>
        <v>D6.scenario.defMeasures['mCRreplaceElec'] = { mid:"802",  name:"mCRreplaceElec",  title:"電気自動車を導入する",  easyness:"1",  refCons:"consCR",  titleShort:"電気自動車", level:"",  figNum:"21",  lifeTime:"7",  price:"3000000",  roanShow:"",  standardType:"",  subsidy :"電気自動車の導入にあたっては、「CEV補助金」「減税」のメリットが得られます。",  advice:"電気自動車は、ガソリンの代わりに充電された電気を使い、エンジンの代わりにモーターを回して走ります。エンジンに比べて効率が高く、十分実用的な車として販売がされています。ただし充電スタンドはまだ少なく、充電に時間がかかるため、夜間に充電しておく必要があります。欧州や中国などでは、2040年ころまでにエンジン式の自動車から電気自動車に切り替える方針としています。",   lifestyle:"",   season:"wss"};</v>
      </c>
      <c r="AB80" s="20" t="str">
        <f aca="false">"$defMeasures['"&amp;C80&amp;"'] = [ '"&amp;B$2&amp;"'=&gt;"""&amp;B80&amp;""",   '"&amp;D$2&amp;"'=&gt;"""&amp;CLEAN(SUBSTITUTE(D80,"""","'"))&amp;""",  '"&amp;L$2&amp;"'=&gt;"""&amp;L80&amp;""",  '"&amp;S$2&amp;"'=&gt;"""&amp;CLEAN(SUBSTITUTE(S80,"""","'"))&amp;"""];"</f>
        <v>$defMeasures['mCRreplaceElec'] = [ 'mid'=&gt;"802",   'title'=&gt;"電気自動車を導入する",  'figNum'=&gt;"21",  'advice'=&gt;"電気自動車は、ガソリンの代わりに充電された電気を使い、エンジンの代わりにモーターを回して走ります。エンジンに比べて効率が高く、十分実用的な車として販売がされています。ただし充電スタンドはまだ少なく、充電に時間がかかるため、夜間に充電しておく必要があります。欧州や中国などでは、2040年ころまでにエンジン式の自動車から電気自動車に切り替える方針としています。"];</v>
      </c>
      <c r="AD80" s="62" t="s">
        <v>905</v>
      </c>
    </row>
    <row r="81" customFormat="false" ht="69" hidden="false" customHeight="true" outlineLevel="0" collapsed="false">
      <c r="B81" s="62" t="n">
        <v>803</v>
      </c>
      <c r="C81" s="62" t="s">
        <v>906</v>
      </c>
      <c r="D81" s="5" t="s">
        <v>907</v>
      </c>
      <c r="E81" s="65" t="s">
        <v>907</v>
      </c>
      <c r="F81" s="62" t="s">
        <v>279</v>
      </c>
      <c r="G81" s="5" t="s">
        <v>908</v>
      </c>
      <c r="H81" s="65" t="s">
        <v>908</v>
      </c>
      <c r="I81" s="5" t="n">
        <v>3</v>
      </c>
      <c r="J81" s="65" t="n">
        <v>3</v>
      </c>
      <c r="K81" s="62"/>
      <c r="L81" s="62" t="n">
        <v>21</v>
      </c>
      <c r="M81" s="62"/>
      <c r="N81" s="62"/>
      <c r="O81" s="62"/>
      <c r="P81" s="62"/>
      <c r="Q81" s="5"/>
      <c r="R81" s="65"/>
      <c r="S81" s="5" t="s">
        <v>909</v>
      </c>
      <c r="T81" s="65" t="s">
        <v>909</v>
      </c>
      <c r="U81" s="62" t="n">
        <v>1</v>
      </c>
      <c r="V81" s="62" t="s">
        <v>516</v>
      </c>
      <c r="Z81" s="43" t="str">
        <f aca="false">"D6.scenario.defMeasures['"&amp;C81&amp;"'] = { "&amp;B$2&amp;":"""&amp;B81&amp;""",  "&amp;C$2&amp;":"""&amp;C81&amp;""",  "&amp;D$2&amp;":"""&amp;CLEAN(SUBSTITUTE(D81,"""","'"))&amp;""",  "&amp;I$2&amp;":"""&amp;I81&amp;""",  "&amp;F$2&amp;":"""&amp;F81&amp;""",  "&amp;G$2&amp;":"""&amp;CLEAN(SUBSTITUTE(G81,"""","'"))&amp;""", "&amp;K$2&amp;":"""&amp;K81&amp;""",  "&amp;L$2&amp;":"""&amp;L81&amp;""",  "&amp;M$2&amp;":"""&amp;M81&amp;""",  "&amp;N$2&amp;":"""&amp;N81&amp;""",  "&amp;O$2&amp;":"""&amp;O81&amp;""",  "&amp;P$2&amp;":"""&amp;P81&amp;""",  "&amp;Q$2&amp;":"""&amp;Q81&amp;""",  "&amp;S$2&amp;":"""&amp;CLEAN(SUBSTITUTE(S81,"""","'"))&amp;""",   "&amp;U$2&amp;":"""&amp;U81&amp;""",   "&amp;V$2&amp;":"""&amp;V81&amp;"""};"</f>
        <v>D6.scenario.defMeasures['mCRecoDrive'] = { mid:"803",  name:"mCRecoDrive",  title:"アイドリングストップなどエコドライブに心がける",  easyness:"3",  refCons:"consCRsum",  titleShort:"エコドライブ", level:"",  figNum:"21",  lifeTime:"",  price:"",  roanShow:"",  standardType:"",  subsidy :"",  advice:"アイドリングストップのほか、発進時にふんわりスタートすることにより、燃費を1割程度向上させることができます。",   lifestyle:"1",   season:"wss"};</v>
      </c>
      <c r="AB81" s="20" t="str">
        <f aca="false">"$defMeasures['"&amp;C81&amp;"'] = [ '"&amp;B$2&amp;"'=&gt;"""&amp;B81&amp;""",   '"&amp;D$2&amp;"'=&gt;"""&amp;CLEAN(SUBSTITUTE(D81,"""","'"))&amp;""",  '"&amp;L$2&amp;"'=&gt;"""&amp;L81&amp;""",  '"&amp;S$2&amp;"'=&gt;"""&amp;CLEAN(SUBSTITUTE(S81,"""","'"))&amp;"""];"</f>
        <v>$defMeasures['mCRecoDrive'] = [ 'mid'=&gt;"803",   'title'=&gt;"アイドリングストップなどエコドライブに心がける",  'figNum'=&gt;"21",  'advice'=&gt;"アイドリングストップのほか、発進時にふんわりスタートすることにより、燃費を1割程度向上させることができます。"];</v>
      </c>
      <c r="AD81" s="62" t="s">
        <v>910</v>
      </c>
    </row>
    <row r="82" customFormat="false" ht="69" hidden="false" customHeight="true" outlineLevel="0" collapsed="false">
      <c r="B82" s="62" t="n">
        <v>804</v>
      </c>
      <c r="C82" s="62" t="s">
        <v>911</v>
      </c>
      <c r="D82" s="5" t="s">
        <v>912</v>
      </c>
      <c r="E82" s="65" t="s">
        <v>912</v>
      </c>
      <c r="F82" s="62" t="s">
        <v>284</v>
      </c>
      <c r="G82" s="5" t="s">
        <v>913</v>
      </c>
      <c r="H82" s="65" t="s">
        <v>913</v>
      </c>
      <c r="I82" s="5" t="n">
        <v>2</v>
      </c>
      <c r="J82" s="65" t="n">
        <v>2</v>
      </c>
      <c r="K82" s="62"/>
      <c r="L82" s="62" t="n">
        <v>22</v>
      </c>
      <c r="M82" s="62"/>
      <c r="N82" s="62"/>
      <c r="O82" s="62"/>
      <c r="P82" s="62"/>
      <c r="Q82" s="5"/>
      <c r="R82" s="65"/>
      <c r="S82" s="5" t="s">
        <v>914</v>
      </c>
      <c r="T82" s="65" t="s">
        <v>914</v>
      </c>
      <c r="U82" s="62" t="n">
        <v>1</v>
      </c>
      <c r="V82" s="62" t="s">
        <v>516</v>
      </c>
      <c r="Z82" s="43" t="str">
        <f aca="false">"D6.scenario.defMeasures['"&amp;C82&amp;"'] = { "&amp;B$2&amp;":"""&amp;B82&amp;""",  "&amp;C$2&amp;":"""&amp;C82&amp;""",  "&amp;D$2&amp;":"""&amp;CLEAN(SUBSTITUTE(D82,"""","'"))&amp;""",  "&amp;I$2&amp;":"""&amp;I82&amp;""",  "&amp;F$2&amp;":"""&amp;F82&amp;""",  "&amp;G$2&amp;":"""&amp;CLEAN(SUBSTITUTE(G82,"""","'"))&amp;""", "&amp;K$2&amp;":"""&amp;K82&amp;""",  "&amp;L$2&amp;":"""&amp;L82&amp;""",  "&amp;M$2&amp;":"""&amp;M82&amp;""",  "&amp;N$2&amp;":"""&amp;N82&amp;""",  "&amp;O$2&amp;":"""&amp;O82&amp;""",  "&amp;P$2&amp;":"""&amp;P82&amp;""",  "&amp;Q$2&amp;":"""&amp;Q82&amp;""",  "&amp;S$2&amp;":"""&amp;CLEAN(SUBSTITUTE(S82,"""","'"))&amp;""",   "&amp;U$2&amp;":"""&amp;U82&amp;""",   "&amp;V$2&amp;":"""&amp;V82&amp;"""};"</f>
        <v>D6.scenario.defMeasures['mCRtrain'] = { mid:"804",  name:"mCRtrain",  title:"鉄道やバスなど公共交通機関を利用する",  easyness:"2",  refCons:"consCRtrip",  titleShort:"公共交通", level:"",  figNum:"22",  lifeTime:"",  price:"",  roanShow:"",  standardType:"",  subsidy :"",  advice:"2km程度の近所の場合で、気候がいいときには、車を使わずに自転車を使ったり、歩いたりしましょう。健康のためにもなります。",   lifestyle:"1",   season:"wss"};</v>
      </c>
      <c r="AB82" s="20" t="str">
        <f aca="false">"$defMeasures['"&amp;C82&amp;"'] = [ '"&amp;B$2&amp;"'=&gt;"""&amp;B82&amp;""",   '"&amp;D$2&amp;"'=&gt;"""&amp;CLEAN(SUBSTITUTE(D82,"""","'"))&amp;""",  '"&amp;L$2&amp;"'=&gt;"""&amp;L82&amp;""",  '"&amp;S$2&amp;"'=&gt;"""&amp;CLEAN(SUBSTITUTE(S82,"""","'"))&amp;"""];"</f>
        <v>$defMeasures['mCRtrain'] = [ 'mid'=&gt;"804",   'title'=&gt;"鉄道やバスなど公共交通機関を利用する",  'figNum'=&gt;"22",  'advice'=&gt;"2km程度の近所の場合で、気候がいいときには、車を使わずに自転車を使ったり、歩いたりしましょう。健康のためにもなります。"];</v>
      </c>
      <c r="AD82" s="62" t="s">
        <v>915</v>
      </c>
    </row>
    <row r="83" customFormat="false" ht="69" hidden="false" customHeight="true" outlineLevel="0" collapsed="false">
      <c r="B83" s="62" t="n">
        <v>805</v>
      </c>
      <c r="C83" s="62" t="s">
        <v>916</v>
      </c>
      <c r="D83" s="5" t="s">
        <v>917</v>
      </c>
      <c r="E83" s="65" t="s">
        <v>917</v>
      </c>
      <c r="F83" s="62" t="s">
        <v>284</v>
      </c>
      <c r="G83" s="5" t="s">
        <v>918</v>
      </c>
      <c r="H83" s="65" t="s">
        <v>918</v>
      </c>
      <c r="I83" s="5" t="n">
        <v>1</v>
      </c>
      <c r="J83" s="65" t="n">
        <v>1</v>
      </c>
      <c r="K83" s="62"/>
      <c r="L83" s="62" t="n">
        <v>22</v>
      </c>
      <c r="M83" s="62"/>
      <c r="N83" s="62"/>
      <c r="O83" s="62"/>
      <c r="P83" s="62"/>
      <c r="Q83" s="5"/>
      <c r="R83" s="65"/>
      <c r="S83" s="5" t="s">
        <v>919</v>
      </c>
      <c r="T83" s="65" t="s">
        <v>919</v>
      </c>
      <c r="U83" s="62" t="n">
        <v>1</v>
      </c>
      <c r="V83" s="62" t="s">
        <v>516</v>
      </c>
      <c r="Z83" s="43" t="str">
        <f aca="false">"D6.scenario.defMeasures['"&amp;C83&amp;"'] = { "&amp;B$2&amp;":"""&amp;B83&amp;""",  "&amp;C$2&amp;":"""&amp;C83&amp;""",  "&amp;D$2&amp;":"""&amp;CLEAN(SUBSTITUTE(D83,"""","'"))&amp;""",  "&amp;I$2&amp;":"""&amp;I83&amp;""",  "&amp;F$2&amp;":"""&amp;F83&amp;""",  "&amp;G$2&amp;":"""&amp;CLEAN(SUBSTITUTE(G83,"""","'"))&amp;""", "&amp;K$2&amp;":"""&amp;K83&amp;""",  "&amp;L$2&amp;":"""&amp;L83&amp;""",  "&amp;M$2&amp;":"""&amp;M83&amp;""",  "&amp;N$2&amp;":"""&amp;N83&amp;""",  "&amp;O$2&amp;":"""&amp;O83&amp;""",  "&amp;P$2&amp;":"""&amp;P83&amp;""",  "&amp;Q$2&amp;":"""&amp;Q83&amp;""",  "&amp;S$2&amp;":"""&amp;CLEAN(SUBSTITUTE(S83,"""","'"))&amp;""",   "&amp;U$2&amp;":"""&amp;U83&amp;""",   "&amp;V$2&amp;":"""&amp;V83&amp;"""};"</f>
        <v>D6.scenario.defMeasures['mCR20percent'] = { mid:"805",  name:"mCR20percent",  title:"車の利用を2割止める",  easyness:"1",  refCons:"consCRtrip",  titleShort:"車の利用2割減", level:"",  figNum:"22",  lifeTime:"",  price:"",  roanShow:"",  standardType:"",  subsidy :"",  advice:"車の利用は多くのエネルギーを消費します。必要性の薄い用途には使わないなどの工夫が大切です。",   lifestyle:"1",   season:"wss"};</v>
      </c>
      <c r="AB83" s="20" t="str">
        <f aca="false">"$defMeasures['"&amp;C83&amp;"'] = [ '"&amp;B$2&amp;"'=&gt;"""&amp;B83&amp;""",   '"&amp;D$2&amp;"'=&gt;"""&amp;CLEAN(SUBSTITUTE(D83,"""","'"))&amp;""",  '"&amp;L$2&amp;"'=&gt;"""&amp;L83&amp;""",  '"&amp;S$2&amp;"'=&gt;"""&amp;CLEAN(SUBSTITUTE(S83,"""","'"))&amp;"""];"</f>
        <v>$defMeasures['mCR20percent'] = [ 'mid'=&gt;"805",   'title'=&gt;"車の利用を2割止める",  'figNum'=&gt;"22",  'advice'=&gt;"車の利用は多くのエネルギーを消費します。必要性の薄い用途には使わないなどの工夫が大切です。"];</v>
      </c>
      <c r="AD83" s="62" t="s">
        <v>920</v>
      </c>
    </row>
    <row r="84" customFormat="false" ht="69" hidden="false" customHeight="true" outlineLevel="0" collapsed="false">
      <c r="B84" s="62" t="n">
        <v>806</v>
      </c>
      <c r="C84" s="62" t="s">
        <v>921</v>
      </c>
      <c r="D84" s="5" t="s">
        <v>922</v>
      </c>
      <c r="E84" s="65" t="s">
        <v>922</v>
      </c>
      <c r="F84" s="62" t="s">
        <v>284</v>
      </c>
      <c r="G84" s="5" t="s">
        <v>923</v>
      </c>
      <c r="H84" s="65" t="s">
        <v>923</v>
      </c>
      <c r="I84" s="5" t="n">
        <v>2</v>
      </c>
      <c r="J84" s="65" t="n">
        <v>2</v>
      </c>
      <c r="K84" s="62"/>
      <c r="L84" s="62" t="n">
        <v>22</v>
      </c>
      <c r="M84" s="62"/>
      <c r="N84" s="62"/>
      <c r="O84" s="62"/>
      <c r="P84" s="62"/>
      <c r="Q84" s="5"/>
      <c r="R84" s="65"/>
      <c r="S84" s="5" t="s">
        <v>914</v>
      </c>
      <c r="T84" s="65" t="s">
        <v>914</v>
      </c>
      <c r="U84" s="62" t="n">
        <v>1</v>
      </c>
      <c r="V84" s="62" t="s">
        <v>516</v>
      </c>
      <c r="Z84" s="43" t="str">
        <f aca="false">"D6.scenario.defMeasures['"&amp;C84&amp;"'] = { "&amp;B$2&amp;":"""&amp;B84&amp;""",  "&amp;C$2&amp;":"""&amp;C84&amp;""",  "&amp;D$2&amp;":"""&amp;CLEAN(SUBSTITUTE(D84,"""","'"))&amp;""",  "&amp;I$2&amp;":"""&amp;I84&amp;""",  "&amp;F$2&amp;":"""&amp;F84&amp;""",  "&amp;G$2&amp;":"""&amp;CLEAN(SUBSTITUTE(G84,"""","'"))&amp;""", "&amp;K$2&amp;":"""&amp;K84&amp;""",  "&amp;L$2&amp;":"""&amp;L84&amp;""",  "&amp;M$2&amp;":"""&amp;M84&amp;""",  "&amp;N$2&amp;":"""&amp;N84&amp;""",  "&amp;O$2&amp;":"""&amp;O84&amp;""",  "&amp;P$2&amp;":"""&amp;P84&amp;""",  "&amp;Q$2&amp;":"""&amp;Q84&amp;""",  "&amp;S$2&amp;":"""&amp;CLEAN(SUBSTITUTE(S84,"""","'"))&amp;""",   "&amp;U$2&amp;":"""&amp;U84&amp;""",   "&amp;V$2&amp;":"""&amp;V84&amp;"""};"</f>
        <v>D6.scenario.defMeasures['mCRwalk'] = { mid:"806",  name:"mCRwalk",  title:"近くの場合には車でなく、自転車や徒歩で行く",  easyness:"2",  refCons:"consCRtrip",  titleShort:"自転車や徒歩", level:"",  figNum:"22",  lifeTime:"",  price:"",  roanShow:"",  standardType:"",  subsidy :"",  advice:"2km程度の近所の場合で、気候がいいときには、車を使わずに自転車を使ったり、歩いたりしましょう。健康のためにもなります。",   lifestyle:"1",   season:"wss"};</v>
      </c>
      <c r="AB84" s="20" t="str">
        <f aca="false">"$defMeasures['"&amp;C84&amp;"'] = [ '"&amp;B$2&amp;"'=&gt;"""&amp;B84&amp;""",   '"&amp;D$2&amp;"'=&gt;"""&amp;CLEAN(SUBSTITUTE(D84,"""","'"))&amp;""",  '"&amp;L$2&amp;"'=&gt;"""&amp;L84&amp;""",  '"&amp;S$2&amp;"'=&gt;"""&amp;CLEAN(SUBSTITUTE(S84,"""","'"))&amp;"""];"</f>
        <v>$defMeasures['mCRwalk'] = [ 'mid'=&gt;"806",   'title'=&gt;"近くの場合には車でなく、自転車や徒歩で行く",  'figNum'=&gt;"22",  'advice'=&gt;"2km程度の近所の場合で、気候がいいときには、車を使わずに自転車を使ったり、歩いたりしましょう。健康のためにもなります。"];</v>
      </c>
      <c r="AD84" s="62" t="s">
        <v>924</v>
      </c>
    </row>
    <row r="85" customFormat="false" ht="69" hidden="false" customHeight="true" outlineLevel="0" collapsed="false">
      <c r="B85" s="62" t="n">
        <v>901</v>
      </c>
      <c r="C85" s="62" t="s">
        <v>925</v>
      </c>
      <c r="D85" s="5" t="s">
        <v>926</v>
      </c>
      <c r="E85" s="65" t="s">
        <v>926</v>
      </c>
      <c r="F85" s="62" t="s">
        <v>224</v>
      </c>
      <c r="G85" s="5" t="s">
        <v>927</v>
      </c>
      <c r="H85" s="65" t="s">
        <v>927</v>
      </c>
      <c r="I85" s="5" t="n">
        <v>3</v>
      </c>
      <c r="J85" s="65" t="n">
        <v>3</v>
      </c>
      <c r="K85" s="62"/>
      <c r="L85" s="62" t="n">
        <v>20</v>
      </c>
      <c r="M85" s="62"/>
      <c r="N85" s="62"/>
      <c r="O85" s="62"/>
      <c r="P85" s="62"/>
      <c r="Q85" s="5"/>
      <c r="R85" s="65"/>
      <c r="S85" s="5" t="s">
        <v>928</v>
      </c>
      <c r="T85" s="65" t="s">
        <v>928</v>
      </c>
      <c r="U85" s="62" t="n">
        <v>1</v>
      </c>
      <c r="V85" s="62" t="s">
        <v>516</v>
      </c>
      <c r="Z85" s="43" t="str">
        <f aca="false">"D6.scenario.defMeasures['"&amp;C85&amp;"'] = { "&amp;B$2&amp;":"""&amp;B85&amp;""",  "&amp;C$2&amp;":"""&amp;C85&amp;""",  "&amp;D$2&amp;":"""&amp;CLEAN(SUBSTITUTE(D85,"""","'"))&amp;""",  "&amp;I$2&amp;":"""&amp;I85&amp;""",  "&amp;F$2&amp;":"""&amp;F85&amp;""",  "&amp;G$2&amp;":"""&amp;CLEAN(SUBSTITUTE(G85,"""","'"))&amp;""", "&amp;K$2&amp;":"""&amp;K85&amp;""",  "&amp;L$2&amp;":"""&amp;L85&amp;""",  "&amp;M$2&amp;":"""&amp;M85&amp;""",  "&amp;N$2&amp;":"""&amp;N85&amp;""",  "&amp;O$2&amp;":"""&amp;O85&amp;""",  "&amp;P$2&amp;":"""&amp;P85&amp;""",  "&amp;Q$2&amp;":"""&amp;Q85&amp;""",  "&amp;S$2&amp;":"""&amp;CLEAN(SUBSTITUTE(S85,"""","'"))&amp;""",   "&amp;U$2&amp;":"""&amp;U85&amp;""",   "&amp;V$2&amp;":"""&amp;V85&amp;"""};"</f>
        <v>D6.scenario.defMeasures['mPTstopPlug'] = { mid:"901",  name:"mPTstopPlug",  title:"コンセントからプラグを抜き、待機電力を減らす",  easyness:"3",  refCons:"consTotal",  titleShort:"待機電力", level:"",  figNum:"20",  lifeTime:"",  price:"",  roanShow:"",  standardType:"",  subsidy :"",  advice:"テレビやビデオ、エアコンなど、使用していないときにも電気が消費されていることがあります。長時間使わないときには、コンセントからプラグを抜くことで削減ができます。最近の機種は待機電力が削減されているため、5年以上前の古い機種の場合に取組んでください。エアコンは、直接コンセントを抜くのではなく、まずリモコンで停止させ、動作が完全に止まってから抜いてください。",   lifestyle:"1",   season:"wss"};</v>
      </c>
      <c r="AB85" s="20" t="str">
        <f aca="false">"$defMeasures['"&amp;C85&amp;"'] = [ '"&amp;B$2&amp;"'=&gt;"""&amp;B85&amp;""",   '"&amp;D$2&amp;"'=&gt;"""&amp;CLEAN(SUBSTITUTE(D85,"""","'"))&amp;""",  '"&amp;L$2&amp;"'=&gt;"""&amp;L85&amp;""",  '"&amp;S$2&amp;"'=&gt;"""&amp;CLEAN(SUBSTITUTE(S85,"""","'"))&amp;"""];"</f>
        <v>$defMeasures['mPTstopPlug'] = [ 'mid'=&gt;"901",   'title'=&gt;"コンセントからプラグを抜き、待機電力を減らす",  'figNum'=&gt;"20",  'advice'=&gt;"テレビやビデオ、エアコンなど、使用していないときにも電気が消費されていることがあります。長時間使わないときには、コンセントからプラグを抜くことで削減ができます。最近の機種は待機電力が削減されているため、5年以上前の古い機種の場合に取組んでください。エアコンは、直接コンセントを抜くのではなく、まずリモコンで停止させ、動作が完全に止まってから抜いてください。"];</v>
      </c>
      <c r="AD85" s="62" t="s">
        <v>929</v>
      </c>
    </row>
    <row r="86" customFormat="false" ht="54" hidden="false" customHeight="true" outlineLevel="0" collapsed="false"/>
    <row r="87" customFormat="false" ht="54" hidden="false" customHeight="true" outlineLevel="0" collapsed="false"/>
  </sheetData>
  <printOptions headings="false" gridLines="false" gridLinesSet="true" horizontalCentered="false" verticalCentered="false"/>
  <pageMargins left="0.7875" right="0.7875" top="0.984027777777778" bottom="0.984027777777778" header="0.511811023622047" footer="0.511805555555556"/>
  <pageSetup paperSize="9" scale="85" fitToWidth="1" fitToHeight="1" pageOrder="downThenOver" orientation="portrait" blackAndWhite="false" draft="false" cellComments="none" horizontalDpi="300" verticalDpi="300" copies="1"/>
  <headerFooter differentFirst="false" differentOddEven="false">
    <oddHeader/>
    <oddFooter>&amp;L&amp;D&amp;C&amp;A&amp;RPage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T182"/>
  <sheetViews>
    <sheetView showFormulas="false" showGridLines="true" showRowColHeaders="true" showZeros="true" rightToLeft="false" tabSelected="true" showOutlineSymbols="true" defaultGridColor="true" view="normal" topLeftCell="DI1" colorId="64" zoomScale="100" zoomScaleNormal="100" zoomScalePageLayoutView="100" workbookViewId="0">
      <selection pane="topLeft" activeCell="DU5" activeCellId="0" sqref="DU5"/>
    </sheetView>
  </sheetViews>
  <sheetFormatPr defaultColWidth="9" defaultRowHeight="12" customHeight="false" zeroHeight="false" outlineLevelRow="0" outlineLevelCol="0"/>
  <cols>
    <col collapsed="false" customWidth="true" hidden="false" outlineLevel="0" max="1" min="1" style="66" width="1.88"/>
    <col collapsed="false" customWidth="true" hidden="false" outlineLevel="0" max="2" min="2" style="66" width="5"/>
    <col collapsed="false" customWidth="true" hidden="false" outlineLevel="0" max="3" min="3" style="66" width="17.12"/>
    <col collapsed="false" customWidth="true" hidden="false" outlineLevel="0" max="4" min="4" style="66" width="13.5"/>
    <col collapsed="false" customWidth="true" hidden="false" outlineLevel="0" max="7" min="5" style="66" width="6.75"/>
    <col collapsed="false" customWidth="true" hidden="false" outlineLevel="0" max="9" min="8" style="66" width="27.38"/>
    <col collapsed="false" customWidth="true" hidden="false" outlineLevel="0" max="11" min="10" style="66" width="10"/>
    <col collapsed="false" customWidth="true" hidden="false" outlineLevel="0" max="13" min="12" style="66" width="4.88"/>
    <col collapsed="false" customWidth="true" hidden="false" outlineLevel="0" max="14" min="14" style="66" width="6.12"/>
    <col collapsed="false" customWidth="true" hidden="false" outlineLevel="0" max="15" min="15" style="66" width="7.25"/>
    <col collapsed="false" customWidth="true" hidden="false" outlineLevel="0" max="16" min="16" style="66" width="5.12"/>
    <col collapsed="false" customWidth="true" hidden="false" outlineLevel="0" max="17" min="17" style="66" width="5"/>
    <col collapsed="false" customWidth="true" hidden="false" outlineLevel="0" max="18" min="18" style="66" width="4.37"/>
    <col collapsed="false" customWidth="true" hidden="false" outlineLevel="0" max="20" min="19" style="66" width="3.75"/>
    <col collapsed="false" customWidth="false" hidden="false" outlineLevel="0" max="21" min="21" style="66" width="9"/>
    <col collapsed="false" customWidth="true" hidden="false" outlineLevel="0" max="53" min="22" style="66" width="7.5"/>
    <col collapsed="false" customWidth="true" hidden="false" outlineLevel="0" max="54" min="54" style="66" width="3.12"/>
    <col collapsed="false" customWidth="true" hidden="false" outlineLevel="0" max="86" min="55" style="66" width="6.12"/>
    <col collapsed="false" customWidth="false" hidden="false" outlineLevel="0" max="113" min="87" style="66" width="9"/>
    <col collapsed="false" customWidth="true" hidden="false" outlineLevel="0" max="115" min="114" style="66" width="2.63"/>
    <col collapsed="false" customWidth="true" hidden="false" outlineLevel="0" max="117" min="116" style="66" width="1.75"/>
    <col collapsed="false" customWidth="true" hidden="false" outlineLevel="0" max="118" min="118" style="66" width="57.25"/>
    <col collapsed="false" customWidth="true" hidden="false" outlineLevel="0" max="120" min="119" style="66" width="3.12"/>
    <col collapsed="false" customWidth="true" hidden="false" outlineLevel="0" max="121" min="121" style="66" width="16"/>
    <col collapsed="false" customWidth="true" hidden="false" outlineLevel="0" max="123" min="122" style="66" width="1.75"/>
    <col collapsed="false" customWidth="true" hidden="false" outlineLevel="0" max="124" min="124" style="66" width="17.63"/>
    <col collapsed="false" customWidth="false" hidden="false" outlineLevel="0" max="16384" min="125" style="66" width="9"/>
  </cols>
  <sheetData>
    <row r="1" customFormat="false" ht="12" hidden="false" customHeight="false" outlineLevel="0" collapsed="false">
      <c r="A1" s="66" t="s">
        <v>930</v>
      </c>
      <c r="C1" s="14" t="s">
        <v>25</v>
      </c>
      <c r="N1" s="66" t="s">
        <v>931</v>
      </c>
      <c r="O1" s="66" t="s">
        <v>932</v>
      </c>
      <c r="P1" s="66" t="s">
        <v>933</v>
      </c>
      <c r="V1" s="67" t="s">
        <v>934</v>
      </c>
      <c r="W1" s="68"/>
      <c r="X1" s="68"/>
      <c r="Y1" s="68"/>
      <c r="Z1" s="68"/>
      <c r="AA1" s="68"/>
      <c r="AB1" s="68"/>
      <c r="CJ1" s="66" t="s">
        <v>935</v>
      </c>
      <c r="DL1" s="69"/>
      <c r="DM1" s="69"/>
      <c r="DN1" s="69"/>
      <c r="DO1" s="69"/>
      <c r="DP1" s="69"/>
      <c r="DQ1" s="69"/>
      <c r="DR1" s="69"/>
      <c r="DS1" s="69"/>
      <c r="DT1" s="69"/>
    </row>
    <row r="2" customFormat="false" ht="12" hidden="false" customHeight="false" outlineLevel="0" collapsed="false">
      <c r="B2" s="70" t="s">
        <v>936</v>
      </c>
      <c r="C2" s="70" t="s">
        <v>217</v>
      </c>
      <c r="D2" s="70"/>
      <c r="E2" s="70" t="s">
        <v>11</v>
      </c>
      <c r="F2" s="70" t="s">
        <v>937</v>
      </c>
      <c r="G2" s="70"/>
      <c r="H2" s="70" t="s">
        <v>938</v>
      </c>
      <c r="I2" s="70"/>
      <c r="J2" s="70" t="s">
        <v>939</v>
      </c>
      <c r="K2" s="70"/>
      <c r="L2" s="70" t="s">
        <v>940</v>
      </c>
      <c r="M2" s="70" t="s">
        <v>941</v>
      </c>
      <c r="N2" s="70" t="s">
        <v>942</v>
      </c>
      <c r="O2" s="70" t="s">
        <v>943</v>
      </c>
      <c r="P2" s="70" t="s">
        <v>944</v>
      </c>
      <c r="Q2" s="70" t="s">
        <v>945</v>
      </c>
      <c r="R2" s="70" t="s">
        <v>946</v>
      </c>
      <c r="U2" s="71" t="s">
        <v>947</v>
      </c>
      <c r="V2" s="72" t="s">
        <v>948</v>
      </c>
      <c r="W2" s="71"/>
      <c r="X2" s="71"/>
      <c r="Y2" s="71"/>
      <c r="Z2" s="71"/>
      <c r="AA2" s="71"/>
      <c r="AB2" s="71"/>
      <c r="AC2" s="71"/>
      <c r="AD2" s="71"/>
      <c r="AE2" s="71"/>
      <c r="AF2" s="71"/>
      <c r="AG2" s="71"/>
      <c r="AH2" s="71"/>
      <c r="AI2" s="71"/>
      <c r="AJ2" s="71"/>
      <c r="AK2" s="71"/>
      <c r="AL2" s="73" t="s">
        <v>26</v>
      </c>
      <c r="AM2" s="74"/>
      <c r="AN2" s="74"/>
      <c r="AO2" s="74"/>
      <c r="AP2" s="74"/>
      <c r="AQ2" s="74"/>
      <c r="AR2" s="74"/>
      <c r="AS2" s="74"/>
      <c r="AT2" s="74"/>
      <c r="AU2" s="74"/>
      <c r="AV2" s="74"/>
      <c r="AW2" s="74"/>
      <c r="AX2" s="74"/>
      <c r="AY2" s="74"/>
      <c r="AZ2" s="74"/>
      <c r="BA2" s="75"/>
      <c r="BC2" s="72" t="s">
        <v>949</v>
      </c>
      <c r="BD2" s="71"/>
      <c r="BE2" s="71"/>
      <c r="BF2" s="71"/>
      <c r="BG2" s="71"/>
      <c r="BH2" s="71"/>
      <c r="BI2" s="71"/>
      <c r="BJ2" s="71"/>
      <c r="BK2" s="71"/>
      <c r="BL2" s="71"/>
      <c r="BM2" s="71"/>
      <c r="BN2" s="71"/>
      <c r="BO2" s="71"/>
      <c r="BP2" s="71"/>
      <c r="BQ2" s="71"/>
      <c r="BR2" s="71"/>
      <c r="BS2" s="76" t="s">
        <v>26</v>
      </c>
      <c r="BT2" s="77"/>
      <c r="BU2" s="77"/>
      <c r="BV2" s="77"/>
      <c r="BW2" s="77"/>
      <c r="BX2" s="77"/>
      <c r="BY2" s="77"/>
      <c r="BZ2" s="77"/>
      <c r="CA2" s="77"/>
      <c r="CB2" s="77"/>
      <c r="CC2" s="77"/>
      <c r="CD2" s="77"/>
      <c r="CE2" s="77"/>
      <c r="CF2" s="77"/>
      <c r="CG2" s="77"/>
      <c r="CH2" s="78" t="s">
        <v>950</v>
      </c>
      <c r="CJ2" s="79" t="s">
        <v>951</v>
      </c>
      <c r="CK2" s="80"/>
      <c r="CL2" s="80"/>
      <c r="CM2" s="80"/>
      <c r="CN2" s="80"/>
      <c r="CO2" s="80"/>
      <c r="CP2" s="80"/>
      <c r="CQ2" s="81"/>
      <c r="CR2" s="82" t="s">
        <v>952</v>
      </c>
      <c r="CS2" s="83"/>
      <c r="CT2" s="83"/>
      <c r="CU2" s="83"/>
      <c r="CV2" s="83"/>
      <c r="CW2" s="83"/>
      <c r="CX2" s="83"/>
      <c r="CY2" s="84"/>
      <c r="CZ2" s="85" t="s">
        <v>953</v>
      </c>
      <c r="DA2" s="86"/>
      <c r="DB2" s="86"/>
      <c r="DC2" s="86"/>
      <c r="DD2" s="86"/>
      <c r="DE2" s="86"/>
      <c r="DF2" s="86"/>
      <c r="DG2" s="87"/>
      <c r="DL2" s="69"/>
      <c r="DM2" s="69"/>
      <c r="DN2" s="69" t="s">
        <v>954</v>
      </c>
      <c r="DO2" s="69"/>
      <c r="DP2" s="69"/>
      <c r="DQ2" s="69"/>
      <c r="DR2" s="69"/>
      <c r="DS2" s="69"/>
      <c r="DT2" s="69"/>
    </row>
    <row r="3" s="88" customFormat="true" ht="30.55" hidden="false" customHeight="false" outlineLevel="0" collapsed="false">
      <c r="B3" s="89" t="s">
        <v>955</v>
      </c>
      <c r="C3" s="89" t="s">
        <v>956</v>
      </c>
      <c r="D3" s="89" t="s">
        <v>957</v>
      </c>
      <c r="E3" s="71" t="s">
        <v>497</v>
      </c>
      <c r="F3" s="89" t="s">
        <v>937</v>
      </c>
      <c r="G3" s="89" t="s">
        <v>958</v>
      </c>
      <c r="H3" s="89" t="s">
        <v>489</v>
      </c>
      <c r="I3" s="89" t="s">
        <v>959</v>
      </c>
      <c r="J3" s="89" t="s">
        <v>939</v>
      </c>
      <c r="K3" s="89" t="s">
        <v>960</v>
      </c>
      <c r="L3" s="89" t="s">
        <v>961</v>
      </c>
      <c r="M3" s="89" t="s">
        <v>962</v>
      </c>
      <c r="N3" s="89" t="s">
        <v>963</v>
      </c>
      <c r="O3" s="89" t="s">
        <v>964</v>
      </c>
      <c r="P3" s="89" t="s">
        <v>965</v>
      </c>
      <c r="Q3" s="89" t="s">
        <v>966</v>
      </c>
      <c r="R3" s="89" t="s">
        <v>946</v>
      </c>
      <c r="T3" s="66"/>
      <c r="U3" s="71" t="s">
        <v>967</v>
      </c>
      <c r="V3" s="71" t="n">
        <v>0</v>
      </c>
      <c r="W3" s="71" t="n">
        <v>1</v>
      </c>
      <c r="X3" s="71" t="n">
        <v>2</v>
      </c>
      <c r="Y3" s="71" t="n">
        <v>3</v>
      </c>
      <c r="Z3" s="71" t="n">
        <v>4</v>
      </c>
      <c r="AA3" s="71" t="n">
        <v>5</v>
      </c>
      <c r="AB3" s="71" t="n">
        <v>6</v>
      </c>
      <c r="AC3" s="71" t="n">
        <v>7</v>
      </c>
      <c r="AD3" s="71" t="n">
        <v>8</v>
      </c>
      <c r="AE3" s="71" t="n">
        <v>9</v>
      </c>
      <c r="AF3" s="71" t="n">
        <v>10</v>
      </c>
      <c r="AG3" s="71" t="n">
        <v>11</v>
      </c>
      <c r="AH3" s="71" t="n">
        <v>12</v>
      </c>
      <c r="AI3" s="71" t="n">
        <v>13</v>
      </c>
      <c r="AJ3" s="71" t="n">
        <v>14</v>
      </c>
      <c r="AK3" s="71" t="n">
        <v>15</v>
      </c>
      <c r="AL3" s="90" t="n">
        <v>0</v>
      </c>
      <c r="AM3" s="91" t="n">
        <v>1</v>
      </c>
      <c r="AN3" s="91" t="n">
        <v>2</v>
      </c>
      <c r="AO3" s="91" t="n">
        <v>3</v>
      </c>
      <c r="AP3" s="91" t="n">
        <v>4</v>
      </c>
      <c r="AQ3" s="91" t="n">
        <v>5</v>
      </c>
      <c r="AR3" s="91" t="n">
        <v>6</v>
      </c>
      <c r="AS3" s="91" t="n">
        <v>7</v>
      </c>
      <c r="AT3" s="91" t="n">
        <v>8</v>
      </c>
      <c r="AU3" s="91" t="n">
        <v>9</v>
      </c>
      <c r="AV3" s="91" t="n">
        <v>10</v>
      </c>
      <c r="AW3" s="91" t="n">
        <v>11</v>
      </c>
      <c r="AX3" s="91" t="n">
        <v>12</v>
      </c>
      <c r="AY3" s="91" t="n">
        <v>13</v>
      </c>
      <c r="AZ3" s="92" t="n">
        <v>14</v>
      </c>
      <c r="BA3" s="93" t="n">
        <v>15</v>
      </c>
      <c r="BB3" s="66"/>
      <c r="BC3" s="71" t="n">
        <v>0</v>
      </c>
      <c r="BD3" s="71" t="n">
        <v>1</v>
      </c>
      <c r="BE3" s="71" t="n">
        <v>2</v>
      </c>
      <c r="BF3" s="71" t="n">
        <v>3</v>
      </c>
      <c r="BG3" s="71" t="n">
        <v>4</v>
      </c>
      <c r="BH3" s="71" t="n">
        <v>5</v>
      </c>
      <c r="BI3" s="71" t="n">
        <v>6</v>
      </c>
      <c r="BJ3" s="71" t="n">
        <v>7</v>
      </c>
      <c r="BK3" s="71" t="n">
        <v>8</v>
      </c>
      <c r="BL3" s="71" t="n">
        <v>9</v>
      </c>
      <c r="BM3" s="71" t="n">
        <v>10</v>
      </c>
      <c r="BN3" s="71" t="n">
        <v>11</v>
      </c>
      <c r="BO3" s="71" t="n">
        <v>12</v>
      </c>
      <c r="BP3" s="71" t="n">
        <v>13</v>
      </c>
      <c r="BQ3" s="71" t="n">
        <v>14</v>
      </c>
      <c r="BR3" s="71" t="n">
        <v>15</v>
      </c>
      <c r="BS3" s="94" t="n">
        <v>0</v>
      </c>
      <c r="BT3" s="94" t="n">
        <v>1</v>
      </c>
      <c r="BU3" s="94" t="n">
        <v>2</v>
      </c>
      <c r="BV3" s="94" t="n">
        <v>3</v>
      </c>
      <c r="BW3" s="94" t="n">
        <v>4</v>
      </c>
      <c r="BX3" s="94" t="n">
        <v>5</v>
      </c>
      <c r="BY3" s="94" t="n">
        <v>6</v>
      </c>
      <c r="BZ3" s="94" t="n">
        <v>7</v>
      </c>
      <c r="CA3" s="94" t="n">
        <v>8</v>
      </c>
      <c r="CB3" s="94" t="n">
        <v>9</v>
      </c>
      <c r="CC3" s="94" t="n">
        <v>10</v>
      </c>
      <c r="CD3" s="94" t="n">
        <v>11</v>
      </c>
      <c r="CE3" s="94" t="n">
        <v>12</v>
      </c>
      <c r="CF3" s="94" t="n">
        <v>13</v>
      </c>
      <c r="CG3" s="94" t="n">
        <v>14</v>
      </c>
      <c r="CH3" s="94" t="n">
        <v>15</v>
      </c>
      <c r="CJ3" s="95" t="s">
        <v>968</v>
      </c>
      <c r="CK3" s="95" t="s">
        <v>969</v>
      </c>
      <c r="CL3" s="95" t="s">
        <v>970</v>
      </c>
      <c r="CM3" s="95" t="s">
        <v>969</v>
      </c>
      <c r="CN3" s="95" t="s">
        <v>971</v>
      </c>
      <c r="CO3" s="95" t="s">
        <v>969</v>
      </c>
      <c r="CP3" s="95" t="s">
        <v>972</v>
      </c>
      <c r="CQ3" s="95" t="s">
        <v>973</v>
      </c>
      <c r="CR3" s="95" t="s">
        <v>968</v>
      </c>
      <c r="CS3" s="95" t="s">
        <v>969</v>
      </c>
      <c r="CT3" s="95" t="s">
        <v>970</v>
      </c>
      <c r="CU3" s="95" t="s">
        <v>969</v>
      </c>
      <c r="CV3" s="95" t="s">
        <v>971</v>
      </c>
      <c r="CW3" s="95" t="s">
        <v>969</v>
      </c>
      <c r="CX3" s="95" t="s">
        <v>972</v>
      </c>
      <c r="CY3" s="95" t="s">
        <v>973</v>
      </c>
      <c r="CZ3" s="95" t="s">
        <v>968</v>
      </c>
      <c r="DA3" s="95" t="s">
        <v>969</v>
      </c>
      <c r="DB3" s="95" t="s">
        <v>970</v>
      </c>
      <c r="DC3" s="95" t="s">
        <v>969</v>
      </c>
      <c r="DD3" s="95" t="s">
        <v>971</v>
      </c>
      <c r="DE3" s="95" t="s">
        <v>969</v>
      </c>
      <c r="DF3" s="95" t="s">
        <v>972</v>
      </c>
      <c r="DG3" s="95" t="s">
        <v>973</v>
      </c>
      <c r="DL3" s="96"/>
      <c r="DM3" s="96"/>
      <c r="DN3" s="96" t="s">
        <v>974</v>
      </c>
      <c r="DO3" s="97"/>
      <c r="DP3" s="98"/>
      <c r="DQ3" s="99" t="s">
        <v>975</v>
      </c>
      <c r="DR3" s="100"/>
      <c r="DS3" s="101"/>
      <c r="DT3" s="102" t="s">
        <v>950</v>
      </c>
    </row>
    <row r="4" s="88" customFormat="true" ht="46.5" hidden="false" customHeight="true" outlineLevel="0" collapsed="false">
      <c r="A4" s="66"/>
      <c r="B4" s="21" t="s">
        <v>976</v>
      </c>
      <c r="C4" s="103" t="s">
        <v>977</v>
      </c>
      <c r="D4" s="104" t="s">
        <v>977</v>
      </c>
      <c r="E4" s="95" t="s">
        <v>224</v>
      </c>
      <c r="F4" s="103"/>
      <c r="G4" s="104"/>
      <c r="H4" s="103" t="s">
        <v>978</v>
      </c>
      <c r="I4" s="104" t="s">
        <v>978</v>
      </c>
      <c r="J4" s="103" t="str">
        <f aca="false">IF(K4="","",K4)</f>
        <v>sel010</v>
      </c>
      <c r="K4" s="104" t="str">
        <f aca="false">"sel"&amp;MID($B4,2,5)</f>
        <v>sel010</v>
      </c>
      <c r="L4" s="105"/>
      <c r="M4" s="105"/>
      <c r="N4" s="105"/>
      <c r="O4" s="95" t="s">
        <v>931</v>
      </c>
      <c r="P4" s="105"/>
      <c r="Q4" s="105"/>
      <c r="R4" s="95" t="n">
        <v>-1</v>
      </c>
      <c r="S4" s="66"/>
      <c r="T4" s="66"/>
      <c r="U4" s="106" t="str">
        <f aca="false">J4</f>
        <v>sel010</v>
      </c>
      <c r="V4" s="103" t="s">
        <v>979</v>
      </c>
      <c r="W4" s="103" t="s">
        <v>980</v>
      </c>
      <c r="X4" s="103" t="s">
        <v>981</v>
      </c>
      <c r="Y4" s="103" t="s">
        <v>982</v>
      </c>
      <c r="Z4" s="103" t="s">
        <v>983</v>
      </c>
      <c r="AA4" s="103"/>
      <c r="AB4" s="103"/>
      <c r="AC4" s="103"/>
      <c r="AD4" s="103"/>
      <c r="AE4" s="103"/>
      <c r="AF4" s="103"/>
      <c r="AG4" s="103"/>
      <c r="AH4" s="103"/>
      <c r="AI4" s="103"/>
      <c r="AJ4" s="103"/>
      <c r="AK4" s="103"/>
      <c r="AL4" s="104" t="s">
        <v>979</v>
      </c>
      <c r="AM4" s="104" t="s">
        <v>980</v>
      </c>
      <c r="AN4" s="104" t="s">
        <v>981</v>
      </c>
      <c r="AO4" s="107" t="s">
        <v>982</v>
      </c>
      <c r="AP4" s="107" t="s">
        <v>983</v>
      </c>
      <c r="AQ4" s="104"/>
      <c r="AR4" s="104"/>
      <c r="AS4" s="104"/>
      <c r="AT4" s="104"/>
      <c r="AU4" s="104"/>
      <c r="AV4" s="104"/>
      <c r="AW4" s="104"/>
      <c r="AX4" s="104"/>
      <c r="AY4" s="104"/>
      <c r="AZ4" s="104"/>
      <c r="BA4" s="104"/>
      <c r="BB4" s="66"/>
      <c r="BC4" s="103" t="n">
        <v>-1</v>
      </c>
      <c r="BD4" s="103" t="n">
        <v>1</v>
      </c>
      <c r="BE4" s="103" t="n">
        <v>2</v>
      </c>
      <c r="BF4" s="103" t="n">
        <v>3</v>
      </c>
      <c r="BG4" s="103" t="n">
        <v>4</v>
      </c>
      <c r="BH4" s="103"/>
      <c r="BI4" s="103"/>
      <c r="BJ4" s="103"/>
      <c r="BK4" s="103"/>
      <c r="BL4" s="103"/>
      <c r="BM4" s="103"/>
      <c r="BN4" s="103"/>
      <c r="BO4" s="103"/>
      <c r="BP4" s="103"/>
      <c r="BQ4" s="103"/>
      <c r="BR4" s="103"/>
      <c r="BS4" s="104" t="n">
        <v>-1</v>
      </c>
      <c r="BT4" s="104" t="n">
        <v>1</v>
      </c>
      <c r="BU4" s="104" t="n">
        <v>2</v>
      </c>
      <c r="BV4" s="104" t="n">
        <v>3</v>
      </c>
      <c r="BW4" s="104" t="n">
        <v>4</v>
      </c>
      <c r="BX4" s="104"/>
      <c r="BY4" s="104"/>
      <c r="BZ4" s="104"/>
      <c r="CA4" s="104"/>
      <c r="CB4" s="104"/>
      <c r="CC4" s="104"/>
      <c r="CD4" s="104"/>
      <c r="CE4" s="104"/>
      <c r="CF4" s="104"/>
      <c r="CG4" s="104"/>
      <c r="CH4" s="104"/>
      <c r="CJ4" s="95"/>
      <c r="CK4" s="95"/>
      <c r="CL4" s="95"/>
      <c r="CM4" s="95"/>
      <c r="CN4" s="95"/>
      <c r="CO4" s="95"/>
      <c r="CP4" s="95"/>
      <c r="CQ4" s="95"/>
      <c r="CR4" s="95" t="n">
        <v>3</v>
      </c>
      <c r="CS4" s="95" t="n">
        <v>0</v>
      </c>
      <c r="CT4" s="95" t="n">
        <v>2</v>
      </c>
      <c r="CU4" s="95" t="n">
        <v>1</v>
      </c>
      <c r="CV4" s="95" t="n">
        <v>1</v>
      </c>
      <c r="CW4" s="95" t="n">
        <v>2</v>
      </c>
      <c r="CX4" s="95" t="n">
        <v>2</v>
      </c>
      <c r="CY4" s="95" t="n">
        <v>0</v>
      </c>
      <c r="CZ4" s="95"/>
      <c r="DA4" s="95"/>
      <c r="DB4" s="95"/>
      <c r="DC4" s="95"/>
      <c r="DD4" s="95"/>
      <c r="DE4" s="95"/>
      <c r="DF4" s="95"/>
      <c r="DG4" s="95"/>
      <c r="DL4" s="108"/>
      <c r="DM4" s="108"/>
      <c r="DN4" s="109" t="str">
        <f aca="false">"D6.scenario.defInput["""&amp;B4&amp;"""] = {  "&amp;E$2&amp;":"""&amp;E4&amp;""",  "&amp;C$2&amp;":"""&amp;CLEAN(SUBSTITUTE(C4,"""",""""))&amp;""",  "&amp;F$2&amp;":"""&amp;F4&amp;""",  "&amp;H$2&amp;":"""&amp;CLEAN(SUBSTITUTE(H4,"""",""""))&amp;""", "&amp;J$2&amp;":"""&amp;J4&amp;""", "&amp;L$2&amp;":"""&amp;L4&amp;""", "&amp;M$2&amp;":"""&amp;M4&amp;""", "&amp;N$2&amp;":"""&amp;N4&amp;""", "&amp;O$2&amp;":"""&amp;O4&amp;""", "&amp;P$2&amp;":"""&amp;P4&amp;""", "&amp;Q$2&amp;":"""&amp;Q4&amp;""", "&amp;R$2&amp;":"""&amp;R4&amp;""", d11t:"""&amp;CJ4&amp;""",d11p:"""&amp;CK4&amp;""",d12t:"""&amp;CL4&amp;""",d12p:"""&amp;CM4&amp;""",d13t:"""&amp;CN4&amp;""",d13p:"""&amp;CO4&amp;""",d1w:"""&amp;CP4&amp;""",d1d:"""&amp;CQ4&amp;""", d21t:"""&amp;CR4&amp;""",d21p:"""&amp;CS4&amp;""",d22t:"""&amp;CT4&amp;""",d22p:"""&amp;CU4&amp;""",d23t:"""&amp;CV4&amp;""",d23p:"""&amp;CW4&amp;""",d2w:"""&amp;CX4&amp;""",d2d:"""&amp;CY4&amp;""", d31t:"""&amp;CZ4&amp;""",d31p:"""&amp;DA4&amp;""",d32t:"""&amp;DB4&amp;""",d32p:"""&amp;DC4&amp;""",d33t:"""&amp;DD4&amp;""",d33p:"""&amp;DE4&amp;""",d3w:"""&amp;DF4&amp;""",d3d:"""&amp;DG4&amp;"""}; "</f>
        <v>D6.scenario.defInput["i010"] = {  cons:"consTotal",  title:"対策として重視する視点",  unit:"",  text:"どんな対策を優先的に表示しますか", inputType:"sel010", right:"", postfix:"", nodata:"", varType:"Number", min:"", max:"", defaultValue:"-1", d11t:"",d11p:"",d12t:"",d12p:"",d13t:"",d13p:"",d1w:"",d1d:"", d21t:"3",d21p:"0",d22t:"2",d22p:"1",d23t:"1",d23p:"2",d2w:"2",d2d:"0", d31t:"",d31p:"",d32t:"",d32p:"",d33t:"",d33p:"",d3w:"",d3d:""}; </v>
      </c>
      <c r="DO4" s="110"/>
      <c r="DP4" s="110"/>
      <c r="DQ4" s="111" t="str">
        <f aca="false">"D6.scenario.defSelectValue["""&amp;U4&amp;"""]= [ """&amp;CLEAN(V4)&amp;""", """&amp;CLEAN(W4)&amp;IF(X4="","",""", """&amp;CLEAN(X4))&amp;IF(Y4="","",""", """&amp;CLEAN(Y4))&amp;IF(Z4="","",""", """&amp;CLEAN(Z4))&amp;IF(AA4="","",""", """&amp;CLEAN(AA4))&amp;IF(AB4="","",""", """&amp;CLEAN(AB4))&amp;IF(AC4="","",""", """&amp;CLEAN(AC4))&amp;IF(AD4="","",""", """&amp;CLEAN(AD4))&amp;IF(AE4="","",""", """&amp;CLEAN(AE4))&amp;IF(AF4="","",""", """&amp;CLEAN(AF4))&amp;IF(AG4="","",""", """&amp;CLEAN(AG4))&amp;IF(AH4="","",""", """&amp;CLEAN(AH4))&amp;IF(AI4="","",""", """&amp;CLEAN(AI4))&amp;IF(AJ4="","",""", """&amp;CLEAN(AJ4))&amp;IF(AK4="","",""", """&amp;CLEAN(AK4))&amp;""" ];"</f>
        <v>D6.scenario.defSelectValue["sel010"]= [ "選んで下さい", "CO2削減優先", "光熱費削減優先", "取り組みやすさ考慮", "取り組みやすさ優先" ];</v>
      </c>
      <c r="DR4" s="112"/>
      <c r="DS4" s="112"/>
      <c r="DT4" s="112" t="str">
        <f aca="false">"D6.scenario.defSelectData['"&amp;U4&amp;"']= [ '"&amp;BC4&amp;"', '"&amp;BD4&amp;"', '"&amp;BE4&amp;IF(BF4="","","', '"&amp;BF4)&amp;IF(BG4="","","', '"&amp;BG4)&amp;IF(BH4="","","', '"&amp;BH4)&amp;IF(BI4="","","', '"&amp;BI4)&amp;IF(BJ4="","","', '"&amp;BJ4)&amp;IF(BK4="","","', '"&amp;BK4)&amp;IF(BL4="","","', '"&amp;BL4)&amp;IF(BM4="","","', '"&amp;BM4)&amp;IF(BN4="","","', '"&amp;BN4)&amp;IF(BO4="","","', '"&amp;BO4)&amp;IF(BP4="","","', '"&amp;BP4)&amp;IF(BQ4="","","', '"&amp;BQ4)&amp;IF(BR4="","","', '"&amp;BR4)&amp;"' ];"</f>
        <v>D6.scenario.defSelectData['sel010']= [ '-1', '1', '2', '3', '4' ];</v>
      </c>
    </row>
    <row r="5" s="88" customFormat="true" ht="43.5" hidden="false" customHeight="true" outlineLevel="0" collapsed="false">
      <c r="A5" s="66"/>
      <c r="B5" s="95" t="s">
        <v>984</v>
      </c>
      <c r="C5" s="103" t="s">
        <v>985</v>
      </c>
      <c r="D5" s="104" t="s">
        <v>985</v>
      </c>
      <c r="E5" s="95" t="s">
        <v>224</v>
      </c>
      <c r="F5" s="103" t="s">
        <v>986</v>
      </c>
      <c r="G5" s="104" t="s">
        <v>986</v>
      </c>
      <c r="H5" s="103" t="s">
        <v>987</v>
      </c>
      <c r="I5" s="104" t="s">
        <v>987</v>
      </c>
      <c r="J5" s="103" t="str">
        <f aca="false">IF(K5="","",K5)</f>
        <v>sel001</v>
      </c>
      <c r="K5" s="104" t="str">
        <f aca="false">"sel"&amp;MID($B5,2,5)</f>
        <v>sel001</v>
      </c>
      <c r="L5" s="105"/>
      <c r="M5" s="105"/>
      <c r="N5" s="105"/>
      <c r="O5" s="95" t="s">
        <v>931</v>
      </c>
      <c r="P5" s="105"/>
      <c r="Q5" s="105"/>
      <c r="R5" s="95" t="n">
        <v>-1</v>
      </c>
      <c r="S5" s="66"/>
      <c r="T5" s="66"/>
      <c r="U5" s="106" t="str">
        <f aca="false">J5</f>
        <v>sel001</v>
      </c>
      <c r="V5" s="103" t="s">
        <v>979</v>
      </c>
      <c r="W5" s="103" t="s">
        <v>988</v>
      </c>
      <c r="X5" s="103" t="s">
        <v>989</v>
      </c>
      <c r="Y5" s="103" t="s">
        <v>990</v>
      </c>
      <c r="Z5" s="103" t="s">
        <v>991</v>
      </c>
      <c r="AA5" s="103" t="s">
        <v>992</v>
      </c>
      <c r="AB5" s="103" t="s">
        <v>993</v>
      </c>
      <c r="AC5" s="103" t="s">
        <v>994</v>
      </c>
      <c r="AD5" s="103" t="s">
        <v>995</v>
      </c>
      <c r="AE5" s="103" t="s">
        <v>996</v>
      </c>
      <c r="AF5" s="103"/>
      <c r="AG5" s="103"/>
      <c r="AH5" s="103"/>
      <c r="AI5" s="103"/>
      <c r="AJ5" s="103"/>
      <c r="AK5" s="103"/>
      <c r="AL5" s="104" t="s">
        <v>979</v>
      </c>
      <c r="AM5" s="107" t="s">
        <v>988</v>
      </c>
      <c r="AN5" s="107" t="s">
        <v>989</v>
      </c>
      <c r="AO5" s="107" t="s">
        <v>990</v>
      </c>
      <c r="AP5" s="107" t="s">
        <v>991</v>
      </c>
      <c r="AQ5" s="104" t="s">
        <v>992</v>
      </c>
      <c r="AR5" s="104" t="s">
        <v>993</v>
      </c>
      <c r="AS5" s="104" t="s">
        <v>994</v>
      </c>
      <c r="AT5" s="104" t="s">
        <v>995</v>
      </c>
      <c r="AU5" s="104" t="s">
        <v>996</v>
      </c>
      <c r="AV5" s="104"/>
      <c r="AW5" s="104"/>
      <c r="AX5" s="104"/>
      <c r="AY5" s="104"/>
      <c r="AZ5" s="104"/>
      <c r="BA5" s="104"/>
      <c r="BB5" s="66"/>
      <c r="BC5" s="103" t="n">
        <v>-1</v>
      </c>
      <c r="BD5" s="103" t="n">
        <v>1</v>
      </c>
      <c r="BE5" s="103" t="n">
        <v>2</v>
      </c>
      <c r="BF5" s="103" t="n">
        <v>3</v>
      </c>
      <c r="BG5" s="103" t="n">
        <v>4</v>
      </c>
      <c r="BH5" s="103" t="n">
        <v>5</v>
      </c>
      <c r="BI5" s="103" t="n">
        <v>6</v>
      </c>
      <c r="BJ5" s="103" t="n">
        <v>7</v>
      </c>
      <c r="BK5" s="103" t="n">
        <v>8</v>
      </c>
      <c r="BL5" s="103" t="n">
        <v>9</v>
      </c>
      <c r="BM5" s="103"/>
      <c r="BN5" s="103"/>
      <c r="BO5" s="103"/>
      <c r="BP5" s="103"/>
      <c r="BQ5" s="103"/>
      <c r="BR5" s="103"/>
      <c r="BS5" s="104" t="n">
        <v>-1</v>
      </c>
      <c r="BT5" s="104" t="n">
        <v>1</v>
      </c>
      <c r="BU5" s="104" t="n">
        <v>2</v>
      </c>
      <c r="BV5" s="104" t="n">
        <v>3</v>
      </c>
      <c r="BW5" s="104" t="n">
        <v>4</v>
      </c>
      <c r="BX5" s="104" t="n">
        <v>5</v>
      </c>
      <c r="BY5" s="104" t="n">
        <v>6</v>
      </c>
      <c r="BZ5" s="104" t="n">
        <v>7</v>
      </c>
      <c r="CA5" s="104" t="n">
        <v>8</v>
      </c>
      <c r="CB5" s="104" t="n">
        <v>9</v>
      </c>
      <c r="CC5" s="104"/>
      <c r="CD5" s="104"/>
      <c r="CE5" s="104"/>
      <c r="CF5" s="104"/>
      <c r="CG5" s="104"/>
      <c r="CH5" s="104"/>
      <c r="CJ5" s="95" t="n">
        <v>3</v>
      </c>
      <c r="CK5" s="95" t="n">
        <v>2</v>
      </c>
      <c r="CL5" s="95" t="n">
        <v>2</v>
      </c>
      <c r="CM5" s="95" t="n">
        <v>1</v>
      </c>
      <c r="CN5" s="95" t="n">
        <v>1</v>
      </c>
      <c r="CO5" s="95" t="n">
        <v>0</v>
      </c>
      <c r="CP5" s="95" t="n">
        <v>2</v>
      </c>
      <c r="CQ5" s="95" t="n">
        <v>1</v>
      </c>
      <c r="CR5" s="95"/>
      <c r="CS5" s="95"/>
      <c r="CT5" s="95"/>
      <c r="CU5" s="95"/>
      <c r="CV5" s="95"/>
      <c r="CW5" s="95"/>
      <c r="CX5" s="95"/>
      <c r="CY5" s="95"/>
      <c r="CZ5" s="95"/>
      <c r="DA5" s="95"/>
      <c r="DB5" s="95"/>
      <c r="DC5" s="95"/>
      <c r="DD5" s="95"/>
      <c r="DE5" s="95"/>
      <c r="DF5" s="95"/>
      <c r="DG5" s="95"/>
      <c r="DL5" s="108"/>
      <c r="DM5" s="108"/>
      <c r="DN5" s="109" t="str">
        <f aca="false">"D6.scenario.defInput["""&amp;B5&amp;"""] = {  "&amp;E$2&amp;":"""&amp;E5&amp;""",  "&amp;C$2&amp;":"""&amp;CLEAN(SUBSTITUTE(C5,"""",""""))&amp;""",  "&amp;F$2&amp;":"""&amp;F5&amp;""",  "&amp;H$2&amp;":"""&amp;CLEAN(SUBSTITUTE(H5,"""",""""))&amp;""", "&amp;J$2&amp;":"""&amp;J5&amp;""", "&amp;L$2&amp;":"""&amp;L5&amp;""", "&amp;M$2&amp;":"""&amp;M5&amp;""", "&amp;N$2&amp;":"""&amp;N5&amp;""", "&amp;O$2&amp;":"""&amp;O5&amp;""", "&amp;P$2&amp;":"""&amp;P5&amp;""", "&amp;Q$2&amp;":"""&amp;Q5&amp;""", "&amp;R$2&amp;":"""&amp;R5&amp;""", d11t:"""&amp;CJ5&amp;""",d11p:"""&amp;CK5&amp;""",d12t:"""&amp;CL5&amp;""",d12p:"""&amp;CM5&amp;""",d13t:"""&amp;CN5&amp;""",d13p:"""&amp;CO5&amp;""",d1w:"""&amp;CP5&amp;""",d1d:"""&amp;CQ5&amp;""", d21t:"""&amp;CR5&amp;""",d21p:"""&amp;CS5&amp;""",d22t:"""&amp;CT5&amp;""",d22p:"""&amp;CU5&amp;""",d23t:"""&amp;CV5&amp;""",d23p:"""&amp;CW5&amp;""",d2w:"""&amp;CX5&amp;""",d2d:"""&amp;CY5&amp;""", d31t:"""&amp;CZ5&amp;""",d31p:"""&amp;DA5&amp;""",d32t:"""&amp;DB5&amp;""",d32p:"""&amp;DC5&amp;""",d33t:"""&amp;DD5&amp;""",d33p:"""&amp;DE5&amp;""",d3w:"""&amp;DF5&amp;""",d3d:"""&amp;DG5&amp;"""}; "</f>
        <v>D6.scenario.defInput["i001"] = {  cons:"consTotal",  title:"家族人数",  unit:"人",  text:"あなたを含めて、いっしょに住んでいる人数を選んで下さい。", inputType:"sel001", right:"", postfix:"", nodata:"", varType:"Number", min:"", max:"", defaultValue:"-1", d11t:"3",d11p:"2",d12t:"2",d12p:"1",d13t:"1",d13p:"0",d1w:"2",d1d:"1", d21t:"",d21p:"",d22t:"",d22p:"",d23t:"",d23p:"",d2w:"",d2d:"", d31t:"",d31p:"",d32t:"",d32p:"",d33t:"",d33p:"",d3w:"",d3d:""}; </v>
      </c>
      <c r="DO5" s="110"/>
      <c r="DP5" s="110"/>
      <c r="DQ5" s="111" t="str">
        <f aca="false">"D6.scenario.defSelectValue["""&amp;U5&amp;"""]= [ """&amp;CLEAN(V5)&amp;""", """&amp;CLEAN(W5)&amp;IF(X5="","",""", """&amp;CLEAN(X5))&amp;IF(Y5="","",""", """&amp;CLEAN(Y5))&amp;IF(Z5="","",""", """&amp;CLEAN(Z5))&amp;IF(AA5="","",""", """&amp;CLEAN(AA5))&amp;IF(AB5="","",""", """&amp;CLEAN(AB5))&amp;IF(AC5="","",""", """&amp;CLEAN(AC5))&amp;IF(AD5="","",""", """&amp;CLEAN(AD5))&amp;IF(AE5="","",""", """&amp;CLEAN(AE5))&amp;IF(AF5="","",""", """&amp;CLEAN(AF5))&amp;IF(AG5="","",""", """&amp;CLEAN(AG5))&amp;IF(AH5="","",""", """&amp;CLEAN(AH5))&amp;IF(AI5="","",""", """&amp;CLEAN(AI5))&amp;IF(AJ5="","",""", """&amp;CLEAN(AJ5))&amp;IF(AK5="","",""", """&amp;CLEAN(AK5))&amp;""" ];"</f>
        <v>D6.scenario.defSelectValue["sel001"]= [ "選んで下さい", "1人", "2人", "3人", "4人", "5人", "6人", "7人", "8人", "9人以上" ];</v>
      </c>
      <c r="DR5" s="112"/>
      <c r="DS5" s="112"/>
      <c r="DT5" s="112" t="str">
        <f aca="false">"D6.scenario.defSelectData['"&amp;U5&amp;"']= [ '"&amp;BC5&amp;"', '"&amp;BD5&amp;"', '"&amp;BE5&amp;IF(BF5="","","', '"&amp;BF5)&amp;IF(BG5="","","', '"&amp;BG5)&amp;IF(BH5="","","', '"&amp;BH5)&amp;IF(BI5="","","', '"&amp;BI5)&amp;IF(BJ5="","","', '"&amp;BJ5)&amp;IF(BK5="","","', '"&amp;BK5)&amp;IF(BL5="","","', '"&amp;BL5)&amp;IF(BM5="","","', '"&amp;BM5)&amp;IF(BN5="","","', '"&amp;BN5)&amp;IF(BO5="","","', '"&amp;BO5)&amp;IF(BP5="","","', '"&amp;BP5)&amp;IF(BQ5="","","', '"&amp;BQ5)&amp;IF(BR5="","","', '"&amp;BR5)&amp;"' ];"</f>
        <v>D6.scenario.defSelectData['sel001']= [ '-1', '1', '2', '3', '4', '5', '6', '7', '8', '9' ];</v>
      </c>
    </row>
    <row r="6" s="88" customFormat="true" ht="43.5" hidden="false" customHeight="true" outlineLevel="0" collapsed="false">
      <c r="A6" s="66"/>
      <c r="B6" s="95" t="s">
        <v>997</v>
      </c>
      <c r="C6" s="103" t="s">
        <v>998</v>
      </c>
      <c r="D6" s="104" t="s">
        <v>998</v>
      </c>
      <c r="E6" s="95" t="s">
        <v>224</v>
      </c>
      <c r="F6" s="103"/>
      <c r="G6" s="104"/>
      <c r="H6" s="103" t="s">
        <v>999</v>
      </c>
      <c r="I6" s="104" t="s">
        <v>999</v>
      </c>
      <c r="J6" s="103" t="str">
        <f aca="false">IF(K6="","",K6)</f>
        <v>sel002</v>
      </c>
      <c r="K6" s="104" t="str">
        <f aca="false">"sel"&amp;MID($B6,2,5)</f>
        <v>sel002</v>
      </c>
      <c r="L6" s="105"/>
      <c r="M6" s="105"/>
      <c r="N6" s="105"/>
      <c r="O6" s="95" t="s">
        <v>931</v>
      </c>
      <c r="P6" s="105"/>
      <c r="Q6" s="105"/>
      <c r="R6" s="95" t="n">
        <v>-1</v>
      </c>
      <c r="S6" s="66"/>
      <c r="T6" s="66"/>
      <c r="U6" s="106" t="str">
        <f aca="false">J6</f>
        <v>sel002</v>
      </c>
      <c r="V6" s="103" t="s">
        <v>979</v>
      </c>
      <c r="W6" s="103" t="s">
        <v>1000</v>
      </c>
      <c r="X6" s="103" t="s">
        <v>1001</v>
      </c>
      <c r="Y6" s="103"/>
      <c r="Z6" s="103"/>
      <c r="AA6" s="103"/>
      <c r="AB6" s="103"/>
      <c r="AC6" s="103"/>
      <c r="AD6" s="103"/>
      <c r="AE6" s="103"/>
      <c r="AF6" s="103"/>
      <c r="AG6" s="103"/>
      <c r="AH6" s="103"/>
      <c r="AI6" s="103"/>
      <c r="AJ6" s="103"/>
      <c r="AK6" s="103"/>
      <c r="AL6" s="104" t="s">
        <v>979</v>
      </c>
      <c r="AM6" s="107" t="s">
        <v>1000</v>
      </c>
      <c r="AN6" s="107" t="s">
        <v>1001</v>
      </c>
      <c r="AO6" s="104"/>
      <c r="AP6" s="104"/>
      <c r="AQ6" s="104"/>
      <c r="AR6" s="104"/>
      <c r="AS6" s="104"/>
      <c r="AT6" s="104"/>
      <c r="AU6" s="104"/>
      <c r="AV6" s="104"/>
      <c r="AW6" s="104"/>
      <c r="AX6" s="104"/>
      <c r="AY6" s="104"/>
      <c r="AZ6" s="104"/>
      <c r="BA6" s="104"/>
      <c r="BB6" s="66"/>
      <c r="BC6" s="103" t="n">
        <v>-1</v>
      </c>
      <c r="BD6" s="103" t="n">
        <v>1</v>
      </c>
      <c r="BE6" s="103" t="n">
        <v>2</v>
      </c>
      <c r="BF6" s="103"/>
      <c r="BG6" s="103"/>
      <c r="BH6" s="103"/>
      <c r="BI6" s="103"/>
      <c r="BJ6" s="103"/>
      <c r="BK6" s="103"/>
      <c r="BL6" s="103"/>
      <c r="BM6" s="103"/>
      <c r="BN6" s="103"/>
      <c r="BO6" s="103"/>
      <c r="BP6" s="103"/>
      <c r="BQ6" s="103"/>
      <c r="BR6" s="103"/>
      <c r="BS6" s="104" t="n">
        <v>-1</v>
      </c>
      <c r="BT6" s="104" t="n">
        <v>1</v>
      </c>
      <c r="BU6" s="104" t="n">
        <v>2</v>
      </c>
      <c r="BV6" s="104"/>
      <c r="BW6" s="104"/>
      <c r="BX6" s="104"/>
      <c r="BY6" s="104"/>
      <c r="BZ6" s="104"/>
      <c r="CA6" s="104"/>
      <c r="CB6" s="104"/>
      <c r="CC6" s="104"/>
      <c r="CD6" s="104"/>
      <c r="CE6" s="104"/>
      <c r="CF6" s="104"/>
      <c r="CG6" s="104"/>
      <c r="CH6" s="104"/>
      <c r="CJ6" s="95" t="n">
        <v>2</v>
      </c>
      <c r="CK6" s="95" t="n">
        <v>2</v>
      </c>
      <c r="CL6" s="95"/>
      <c r="CM6" s="95"/>
      <c r="CN6" s="95"/>
      <c r="CO6" s="95"/>
      <c r="CP6" s="95" t="n">
        <v>2</v>
      </c>
      <c r="CQ6" s="95" t="n">
        <v>1</v>
      </c>
      <c r="CR6" s="95"/>
      <c r="CS6" s="95"/>
      <c r="CT6" s="95"/>
      <c r="CU6" s="95"/>
      <c r="CV6" s="95"/>
      <c r="CW6" s="95"/>
      <c r="CX6" s="95"/>
      <c r="CY6" s="95"/>
      <c r="CZ6" s="95"/>
      <c r="DA6" s="95"/>
      <c r="DB6" s="95"/>
      <c r="DC6" s="95"/>
      <c r="DD6" s="95"/>
      <c r="DE6" s="95"/>
      <c r="DF6" s="95"/>
      <c r="DG6" s="95"/>
      <c r="DL6" s="108"/>
      <c r="DM6" s="108"/>
      <c r="DN6" s="109" t="str">
        <f aca="false">"D6.scenario.defInput["""&amp;B6&amp;"""] = {  "&amp;E$2&amp;":"""&amp;E6&amp;""",  "&amp;C$2&amp;":"""&amp;CLEAN(SUBSTITUTE(C6,"""",""""))&amp;""",  "&amp;F$2&amp;":"""&amp;F6&amp;""",  "&amp;H$2&amp;":"""&amp;CLEAN(SUBSTITUTE(H6,"""",""""))&amp;""", "&amp;J$2&amp;":"""&amp;J6&amp;""", "&amp;L$2&amp;":"""&amp;L6&amp;""", "&amp;M$2&amp;":"""&amp;M6&amp;""", "&amp;N$2&amp;":"""&amp;N6&amp;""", "&amp;O$2&amp;":"""&amp;O6&amp;""", "&amp;P$2&amp;":"""&amp;P6&amp;""", "&amp;Q$2&amp;":"""&amp;Q6&amp;""", "&amp;R$2&amp;":"""&amp;R6&amp;""", d11t:"""&amp;CJ6&amp;""",d11p:"""&amp;CK6&amp;""",d12t:"""&amp;CL6&amp;""",d12p:"""&amp;CM6&amp;""",d13t:"""&amp;CN6&amp;""",d13p:"""&amp;CO6&amp;""",d1w:"""&amp;CP6&amp;""",d1d:"""&amp;CQ6&amp;""", d21t:"""&amp;CR6&amp;""",d21p:"""&amp;CS6&amp;""",d22t:"""&amp;CT6&amp;""",d22p:"""&amp;CU6&amp;""",d23t:"""&amp;CV6&amp;""",d23p:"""&amp;CW6&amp;""",d2w:"""&amp;CX6&amp;""",d2d:"""&amp;CY6&amp;""", d31t:"""&amp;CZ6&amp;""",d31p:"""&amp;DA6&amp;""",d32t:"""&amp;DB6&amp;""",d32p:"""&amp;DC6&amp;""",d33t:"""&amp;DD6&amp;""",d33p:"""&amp;DE6&amp;""",d3w:"""&amp;DF6&amp;""",d3d:"""&amp;DG6&amp;"""}; "</f>
        <v>D6.scenario.defInput["i002"] = {  cons:"consTotal",  title:"集合戸建て",  unit:"",  text:"お住いは、戸建てですか、集合住宅ですか", inputType:"sel002", right:"", postfix:"", nodata:"", varType:"Number", min:"", max:"", defaultValue:"-1", d11t:"2",d11p:"2",d12t:"",d12p:"",d13t:"",d13p:"",d1w:"2",d1d:"1", d21t:"",d21p:"",d22t:"",d22p:"",d23t:"",d23p:"",d2w:"",d2d:"", d31t:"",d31p:"",d32t:"",d32p:"",d33t:"",d33p:"",d3w:"",d3d:""}; </v>
      </c>
      <c r="DO6" s="110"/>
      <c r="DP6" s="110"/>
      <c r="DQ6" s="111" t="str">
        <f aca="false">"D6.scenario.defSelectValue["""&amp;U6&amp;"""]= [ """&amp;CLEAN(V6)&amp;""", """&amp;CLEAN(W6)&amp;IF(X6="","",""", """&amp;CLEAN(X6))&amp;IF(Y6="","",""", """&amp;CLEAN(Y6))&amp;IF(Z6="","",""", """&amp;CLEAN(Z6))&amp;IF(AA6="","",""", """&amp;CLEAN(AA6))&amp;IF(AB6="","",""", """&amp;CLEAN(AB6))&amp;IF(AC6="","",""", """&amp;CLEAN(AC6))&amp;IF(AD6="","",""", """&amp;CLEAN(AD6))&amp;IF(AE6="","",""", """&amp;CLEAN(AE6))&amp;IF(AF6="","",""", """&amp;CLEAN(AF6))&amp;IF(AG6="","",""", """&amp;CLEAN(AG6))&amp;IF(AH6="","",""", """&amp;CLEAN(AH6))&amp;IF(AI6="","",""", """&amp;CLEAN(AI6))&amp;IF(AJ6="","",""", """&amp;CLEAN(AJ6))&amp;IF(AK6="","",""", """&amp;CLEAN(AK6))&amp;""" ];"</f>
        <v>D6.scenario.defSelectValue["sel002"]= [ "選んで下さい", "戸建て", "集合" ];</v>
      </c>
      <c r="DR6" s="112"/>
      <c r="DS6" s="112"/>
      <c r="DT6" s="112" t="str">
        <f aca="false">"D6.scenario.defSelectData['"&amp;U6&amp;"']= [ '"&amp;BC6&amp;"', '"&amp;BD6&amp;"', '"&amp;BE6&amp;IF(BF6="","","', '"&amp;BF6)&amp;IF(BG6="","","', '"&amp;BG6)&amp;IF(BH6="","","', '"&amp;BH6)&amp;IF(BI6="","","', '"&amp;BI6)&amp;IF(BJ6="","","', '"&amp;BJ6)&amp;IF(BK6="","","', '"&amp;BK6)&amp;IF(BL6="","","', '"&amp;BL6)&amp;IF(BM6="","","', '"&amp;BM6)&amp;IF(BN6="","","', '"&amp;BN6)&amp;IF(BO6="","","', '"&amp;BO6)&amp;IF(BP6="","","', '"&amp;BP6)&amp;IF(BQ6="","","', '"&amp;BQ6)&amp;IF(BR6="","","', '"&amp;BR6)&amp;"' ];"</f>
        <v>D6.scenario.defSelectData['sel002']= [ '-1', '1', '2' ];</v>
      </c>
    </row>
    <row r="7" s="88" customFormat="true" ht="43.5" hidden="false" customHeight="true" outlineLevel="0" collapsed="false">
      <c r="A7" s="66"/>
      <c r="B7" s="95" t="s">
        <v>1002</v>
      </c>
      <c r="C7" s="103" t="s">
        <v>1003</v>
      </c>
      <c r="D7" s="104" t="s">
        <v>1003</v>
      </c>
      <c r="E7" s="95" t="s">
        <v>224</v>
      </c>
      <c r="F7" s="103" t="s">
        <v>1004</v>
      </c>
      <c r="G7" s="104" t="s">
        <v>1004</v>
      </c>
      <c r="H7" s="103" t="s">
        <v>1005</v>
      </c>
      <c r="I7" s="104" t="s">
        <v>1005</v>
      </c>
      <c r="J7" s="103" t="str">
        <f aca="false">IF(K7="","",K7)</f>
        <v>sel003</v>
      </c>
      <c r="K7" s="104" t="str">
        <f aca="false">"sel"&amp;MID($B7,2,5)</f>
        <v>sel003</v>
      </c>
      <c r="L7" s="105"/>
      <c r="M7" s="105"/>
      <c r="N7" s="105"/>
      <c r="O7" s="95" t="s">
        <v>931</v>
      </c>
      <c r="P7" s="105"/>
      <c r="Q7" s="105"/>
      <c r="R7" s="95" t="n">
        <v>-1</v>
      </c>
      <c r="S7" s="66"/>
      <c r="T7" s="66"/>
      <c r="U7" s="106" t="str">
        <f aca="false">J7</f>
        <v>sel003</v>
      </c>
      <c r="V7" s="103" t="s">
        <v>979</v>
      </c>
      <c r="W7" s="103" t="s">
        <v>1006</v>
      </c>
      <c r="X7" s="103" t="s">
        <v>1007</v>
      </c>
      <c r="Y7" s="103" t="s">
        <v>1008</v>
      </c>
      <c r="Z7" s="103" t="s">
        <v>1009</v>
      </c>
      <c r="AA7" s="103" t="s">
        <v>1010</v>
      </c>
      <c r="AB7" s="103" t="s">
        <v>1011</v>
      </c>
      <c r="AC7" s="103" t="s">
        <v>1012</v>
      </c>
      <c r="AD7" s="103" t="s">
        <v>1013</v>
      </c>
      <c r="AE7" s="103"/>
      <c r="AF7" s="103"/>
      <c r="AG7" s="103"/>
      <c r="AH7" s="103"/>
      <c r="AI7" s="103"/>
      <c r="AJ7" s="103"/>
      <c r="AK7" s="103"/>
      <c r="AL7" s="104" t="s">
        <v>979</v>
      </c>
      <c r="AM7" s="104" t="s">
        <v>1006</v>
      </c>
      <c r="AN7" s="107" t="s">
        <v>1007</v>
      </c>
      <c r="AO7" s="107" t="s">
        <v>1008</v>
      </c>
      <c r="AP7" s="107" t="s">
        <v>1009</v>
      </c>
      <c r="AQ7" s="107" t="s">
        <v>1010</v>
      </c>
      <c r="AR7" s="107" t="s">
        <v>1011</v>
      </c>
      <c r="AS7" s="107" t="s">
        <v>1012</v>
      </c>
      <c r="AT7" s="104" t="s">
        <v>1013</v>
      </c>
      <c r="AU7" s="104"/>
      <c r="AV7" s="104"/>
      <c r="AW7" s="104"/>
      <c r="AX7" s="104"/>
      <c r="AY7" s="104"/>
      <c r="AZ7" s="104"/>
      <c r="BA7" s="104"/>
      <c r="BB7" s="66"/>
      <c r="BC7" s="103" t="n">
        <v>-1</v>
      </c>
      <c r="BD7" s="103" t="n">
        <v>15</v>
      </c>
      <c r="BE7" s="103" t="n">
        <v>30</v>
      </c>
      <c r="BF7" s="103" t="n">
        <v>50</v>
      </c>
      <c r="BG7" s="103" t="n">
        <v>70</v>
      </c>
      <c r="BH7" s="103" t="n">
        <v>100</v>
      </c>
      <c r="BI7" s="103" t="n">
        <v>120</v>
      </c>
      <c r="BJ7" s="103" t="n">
        <v>150</v>
      </c>
      <c r="BK7" s="103" t="n">
        <v>220</v>
      </c>
      <c r="BL7" s="103"/>
      <c r="BM7" s="103"/>
      <c r="BN7" s="103"/>
      <c r="BO7" s="103"/>
      <c r="BP7" s="103"/>
      <c r="BQ7" s="103"/>
      <c r="BR7" s="103"/>
      <c r="BS7" s="104" t="n">
        <v>-1</v>
      </c>
      <c r="BT7" s="104" t="n">
        <v>15</v>
      </c>
      <c r="BU7" s="104" t="n">
        <v>30</v>
      </c>
      <c r="BV7" s="104" t="n">
        <v>50</v>
      </c>
      <c r="BW7" s="104" t="n">
        <v>70</v>
      </c>
      <c r="BX7" s="104" t="n">
        <v>100</v>
      </c>
      <c r="BY7" s="104" t="n">
        <v>120</v>
      </c>
      <c r="BZ7" s="104" t="n">
        <v>150</v>
      </c>
      <c r="CA7" s="104" t="n">
        <v>220</v>
      </c>
      <c r="CB7" s="104"/>
      <c r="CC7" s="104"/>
      <c r="CD7" s="104"/>
      <c r="CE7" s="104"/>
      <c r="CF7" s="104"/>
      <c r="CG7" s="104"/>
      <c r="CH7" s="104"/>
      <c r="CJ7" s="95" t="n">
        <v>150</v>
      </c>
      <c r="CK7" s="95" t="n">
        <v>0</v>
      </c>
      <c r="CL7" s="95" t="n">
        <v>100</v>
      </c>
      <c r="CM7" s="95" t="n">
        <v>1</v>
      </c>
      <c r="CN7" s="95" t="n">
        <v>0</v>
      </c>
      <c r="CO7" s="95" t="n">
        <v>2</v>
      </c>
      <c r="CP7" s="95" t="n">
        <v>3</v>
      </c>
      <c r="CQ7" s="95" t="n">
        <v>1</v>
      </c>
      <c r="CR7" s="95"/>
      <c r="CS7" s="95"/>
      <c r="CT7" s="95"/>
      <c r="CU7" s="95"/>
      <c r="CV7" s="95"/>
      <c r="CW7" s="95"/>
      <c r="CX7" s="95"/>
      <c r="CY7" s="95"/>
      <c r="CZ7" s="95"/>
      <c r="DA7" s="95"/>
      <c r="DB7" s="95"/>
      <c r="DC7" s="95"/>
      <c r="DD7" s="95"/>
      <c r="DE7" s="95"/>
      <c r="DF7" s="95"/>
      <c r="DG7" s="95"/>
      <c r="DL7" s="108"/>
      <c r="DM7" s="108"/>
      <c r="DN7" s="109" t="str">
        <f aca="false">"D6.scenario.defInput["""&amp;B7&amp;"""] = {  "&amp;E$2&amp;":"""&amp;E7&amp;""",  "&amp;C$2&amp;":"""&amp;CLEAN(SUBSTITUTE(C7,"""",""""))&amp;""",  "&amp;F$2&amp;":"""&amp;F7&amp;""",  "&amp;H$2&amp;":"""&amp;CLEAN(SUBSTITUTE(H7,"""",""""))&amp;""", "&amp;J$2&amp;":"""&amp;J7&amp;""", "&amp;L$2&amp;":"""&amp;L7&amp;""", "&amp;M$2&amp;":"""&amp;M7&amp;""", "&amp;N$2&amp;":"""&amp;N7&amp;""", "&amp;O$2&amp;":"""&amp;O7&amp;""", "&amp;P$2&amp;":"""&amp;P7&amp;""", "&amp;Q$2&amp;":"""&amp;Q7&amp;""", "&amp;R$2&amp;":"""&amp;R7&amp;""", d11t:"""&amp;CJ7&amp;""",d11p:"""&amp;CK7&amp;""",d12t:"""&amp;CL7&amp;""",d12p:"""&amp;CM7&amp;""",d13t:"""&amp;CN7&amp;""",d13p:"""&amp;CO7&amp;""",d1w:"""&amp;CP7&amp;""",d1d:"""&amp;CQ7&amp;""", d21t:"""&amp;CR7&amp;""",d21p:"""&amp;CS7&amp;""",d22t:"""&amp;CT7&amp;""",d22p:"""&amp;CU7&amp;""",d23t:"""&amp;CV7&amp;""",d23p:"""&amp;CW7&amp;""",d2w:"""&amp;CX7&amp;""",d2d:"""&amp;CY7&amp;""", d31t:"""&amp;CZ7&amp;""",d31p:"""&amp;DA7&amp;""",d32t:"""&amp;DB7&amp;""",d32p:"""&amp;DC7&amp;""",d33t:"""&amp;DD7&amp;""",d33p:"""&amp;DE7&amp;""",d3w:"""&amp;DF7&amp;""",d3d:"""&amp;DG7&amp;"""}; "</f>
        <v>D6.scenario.defInput["i003"] = {  cons:"consTotal",  title:"家の広さ",  unit:"m2",  text:"家の延べ床面積で、いちばん近い数値を選んで下さい。", inputType:"sel003", right:"", postfix:"", nodata:"", varType:"Number", min:"", max:"", defaultValue:"-1", d11t:"150",d11p:"0",d12t:"100",d12p:"1",d13t:"0",d13p:"2",d1w:"3",d1d:"1", d21t:"",d21p:"",d22t:"",d22p:"",d23t:"",d23p:"",d2w:"",d2d:"", d31t:"",d31p:"",d32t:"",d32p:"",d33t:"",d33p:"",d3w:"",d3d:""}; </v>
      </c>
      <c r="DO7" s="110"/>
      <c r="DP7" s="110"/>
      <c r="DQ7" s="111" t="str">
        <f aca="false">"D6.scenario.defSelectValue["""&amp;U7&amp;"""]= [ """&amp;CLEAN(V7)&amp;""", """&amp;CLEAN(W7)&amp;IF(X7="","",""", """&amp;CLEAN(X7))&amp;IF(Y7="","",""", """&amp;CLEAN(Y7))&amp;IF(Z7="","",""", """&amp;CLEAN(Z7))&amp;IF(AA7="","",""", """&amp;CLEAN(AA7))&amp;IF(AB7="","",""", """&amp;CLEAN(AB7))&amp;IF(AC7="","",""", """&amp;CLEAN(AC7))&amp;IF(AD7="","",""", """&amp;CLEAN(AD7))&amp;IF(AE7="","",""", """&amp;CLEAN(AE7))&amp;IF(AF7="","",""", """&amp;CLEAN(AF7))&amp;IF(AG7="","",""", """&amp;CLEAN(AG7))&amp;IF(AH7="","",""", """&amp;CLEAN(AH7))&amp;IF(AI7="","",""", """&amp;CLEAN(AI7))&amp;IF(AJ7="","",""", """&amp;CLEAN(AJ7))&amp;IF(AK7="","",""", """&amp;CLEAN(AK7))&amp;""" ];"</f>
        <v>D6.scenario.defSelectValue["sel003"]= [ "選んで下さい", "15m2", "30m2", "50m2", "70m2", "100m2", "120m2", "150m2", "200m2以上" ];</v>
      </c>
      <c r="DR7" s="112"/>
      <c r="DS7" s="112"/>
      <c r="DT7" s="112" t="str">
        <f aca="false">"D6.scenario.defSelectData['"&amp;U7&amp;"']= [ '"&amp;BC7&amp;"', '"&amp;BD7&amp;"', '"&amp;BE7&amp;IF(BF7="","","', '"&amp;BF7)&amp;IF(BG7="","","', '"&amp;BG7)&amp;IF(BH7="","","', '"&amp;BH7)&amp;IF(BI7="","","', '"&amp;BI7)&amp;IF(BJ7="","","', '"&amp;BJ7)&amp;IF(BK7="","","', '"&amp;BK7)&amp;IF(BL7="","","', '"&amp;BL7)&amp;IF(BM7="","","', '"&amp;BM7)&amp;IF(BN7="","","', '"&amp;BN7)&amp;IF(BO7="","","', '"&amp;BO7)&amp;IF(BP7="","","', '"&amp;BP7)&amp;IF(BQ7="","","', '"&amp;BQ7)&amp;IF(BR7="","","', '"&amp;BR7)&amp;"' ];"</f>
        <v>D6.scenario.defSelectData['sel003']= [ '-1', '15', '30', '50', '70', '100', '120', '150', '220' ];</v>
      </c>
    </row>
    <row r="8" s="88" customFormat="true" ht="43.5" hidden="false" customHeight="true" outlineLevel="0" collapsed="false">
      <c r="A8" s="66"/>
      <c r="B8" s="95" t="s">
        <v>1014</v>
      </c>
      <c r="C8" s="103" t="s">
        <v>1015</v>
      </c>
      <c r="D8" s="104" t="s">
        <v>1015</v>
      </c>
      <c r="E8" s="95" t="s">
        <v>224</v>
      </c>
      <c r="F8" s="103"/>
      <c r="G8" s="104"/>
      <c r="H8" s="103" t="s">
        <v>1016</v>
      </c>
      <c r="I8" s="104" t="s">
        <v>1016</v>
      </c>
      <c r="J8" s="103" t="str">
        <f aca="false">IF(K8="","",K8)</f>
        <v>sel004</v>
      </c>
      <c r="K8" s="104" t="str">
        <f aca="false">"sel"&amp;MID($B8,2,5)</f>
        <v>sel004</v>
      </c>
      <c r="L8" s="105"/>
      <c r="M8" s="105"/>
      <c r="N8" s="105"/>
      <c r="O8" s="95" t="s">
        <v>931</v>
      </c>
      <c r="P8" s="105"/>
      <c r="Q8" s="105"/>
      <c r="R8" s="95" t="n">
        <v>-1</v>
      </c>
      <c r="S8" s="66"/>
      <c r="T8" s="66"/>
      <c r="U8" s="106" t="str">
        <f aca="false">J8</f>
        <v>sel004</v>
      </c>
      <c r="V8" s="103" t="s">
        <v>979</v>
      </c>
      <c r="W8" s="103" t="s">
        <v>1017</v>
      </c>
      <c r="X8" s="103" t="s">
        <v>1018</v>
      </c>
      <c r="Y8" s="103"/>
      <c r="Z8" s="103"/>
      <c r="AA8" s="103"/>
      <c r="AB8" s="103"/>
      <c r="AC8" s="103"/>
      <c r="AD8" s="103"/>
      <c r="AE8" s="103"/>
      <c r="AF8" s="103"/>
      <c r="AG8" s="103"/>
      <c r="AH8" s="103"/>
      <c r="AI8" s="103"/>
      <c r="AJ8" s="103"/>
      <c r="AK8" s="103"/>
      <c r="AL8" s="104" t="s">
        <v>979</v>
      </c>
      <c r="AM8" s="107" t="s">
        <v>1017</v>
      </c>
      <c r="AN8" s="107" t="s">
        <v>1018</v>
      </c>
      <c r="AO8" s="104"/>
      <c r="AP8" s="104"/>
      <c r="AQ8" s="104"/>
      <c r="AR8" s="104"/>
      <c r="AS8" s="104"/>
      <c r="AT8" s="104"/>
      <c r="AU8" s="104"/>
      <c r="AV8" s="104"/>
      <c r="AW8" s="104"/>
      <c r="AX8" s="104"/>
      <c r="AY8" s="104"/>
      <c r="AZ8" s="104"/>
      <c r="BA8" s="104"/>
      <c r="BB8" s="66"/>
      <c r="BC8" s="103" t="n">
        <v>-1</v>
      </c>
      <c r="BD8" s="103" t="n">
        <v>1</v>
      </c>
      <c r="BE8" s="103" t="n">
        <v>2</v>
      </c>
      <c r="BF8" s="103"/>
      <c r="BG8" s="103"/>
      <c r="BH8" s="103"/>
      <c r="BI8" s="103"/>
      <c r="BJ8" s="103"/>
      <c r="BK8" s="103"/>
      <c r="BL8" s="103"/>
      <c r="BM8" s="103"/>
      <c r="BN8" s="103"/>
      <c r="BO8" s="103"/>
      <c r="BP8" s="103"/>
      <c r="BQ8" s="103"/>
      <c r="BR8" s="103"/>
      <c r="BS8" s="104" t="n">
        <v>-1</v>
      </c>
      <c r="BT8" s="104" t="n">
        <v>1</v>
      </c>
      <c r="BU8" s="104" t="n">
        <v>2</v>
      </c>
      <c r="BV8" s="104"/>
      <c r="BW8" s="104"/>
      <c r="BX8" s="104"/>
      <c r="BY8" s="104"/>
      <c r="BZ8" s="104"/>
      <c r="CA8" s="104"/>
      <c r="CB8" s="104"/>
      <c r="CC8" s="104"/>
      <c r="CD8" s="104"/>
      <c r="CE8" s="104"/>
      <c r="CF8" s="104"/>
      <c r="CG8" s="104"/>
      <c r="CH8" s="104"/>
      <c r="CJ8" s="95"/>
      <c r="CK8" s="95"/>
      <c r="CL8" s="95"/>
      <c r="CM8" s="95"/>
      <c r="CN8" s="95"/>
      <c r="CO8" s="95"/>
      <c r="CP8" s="95"/>
      <c r="CQ8" s="95"/>
      <c r="CR8" s="95"/>
      <c r="CS8" s="95"/>
      <c r="CT8" s="95"/>
      <c r="CU8" s="95"/>
      <c r="CV8" s="95"/>
      <c r="CW8" s="95"/>
      <c r="CX8" s="95"/>
      <c r="CY8" s="95"/>
      <c r="CZ8" s="95"/>
      <c r="DA8" s="95"/>
      <c r="DB8" s="95"/>
      <c r="DC8" s="95"/>
      <c r="DD8" s="95"/>
      <c r="DE8" s="95"/>
      <c r="DF8" s="95"/>
      <c r="DG8" s="95"/>
      <c r="DL8" s="108"/>
      <c r="DM8" s="108"/>
      <c r="DN8" s="109" t="str">
        <f aca="false">"D6.scenario.defInput["""&amp;B8&amp;"""] = {  "&amp;E$2&amp;":"""&amp;E8&amp;""",  "&amp;C$2&amp;":"""&amp;CLEAN(SUBSTITUTE(C8,"""",""""))&amp;""",  "&amp;F$2&amp;":"""&amp;F8&amp;""",  "&amp;H$2&amp;":"""&amp;CLEAN(SUBSTITUTE(H8,"""",""""))&amp;""", "&amp;J$2&amp;":"""&amp;J8&amp;""", "&amp;L$2&amp;":"""&amp;L8&amp;""", "&amp;M$2&amp;":"""&amp;M8&amp;""", "&amp;N$2&amp;":"""&amp;N8&amp;""", "&amp;O$2&amp;":"""&amp;O8&amp;""", "&amp;P$2&amp;":"""&amp;P8&amp;""", "&amp;Q$2&amp;":"""&amp;Q8&amp;""", "&amp;R$2&amp;":"""&amp;R8&amp;""", d11t:"""&amp;CJ8&amp;""",d11p:"""&amp;CK8&amp;""",d12t:"""&amp;CL8&amp;""",d12p:"""&amp;CM8&amp;""",d13t:"""&amp;CN8&amp;""",d13p:"""&amp;CO8&amp;""",d1w:"""&amp;CP8&amp;""",d1d:"""&amp;CQ8&amp;""", d21t:"""&amp;CR8&amp;""",d21p:"""&amp;CS8&amp;""",d22t:"""&amp;CT8&amp;""",d22p:"""&amp;CU8&amp;""",d23t:"""&amp;CV8&amp;""",d23p:"""&amp;CW8&amp;""",d2w:"""&amp;CX8&amp;""",d2d:"""&amp;CY8&amp;""", d31t:"""&amp;CZ8&amp;""",d31p:"""&amp;DA8&amp;""",d32t:"""&amp;DB8&amp;""",d32p:"""&amp;DC8&amp;""",d33t:"""&amp;DD8&amp;""",d33p:"""&amp;DE8&amp;""",d3w:"""&amp;DF8&amp;""",d3d:"""&amp;DG8&amp;"""}; "</f>
        <v>D6.scenario.defInput["i004"] = {  cons:"consTotal",  title:"家の所有",  unit:"",  text:"持ち家ですか、賃貸ですか", inputType:"sel004", right:"", postfix:"", nodata:"", varType:"Number", min:"", max:"", defaultValue:"-1", d11t:"",d11p:"",d12t:"",d12p:"",d13t:"",d13p:"",d1w:"",d1d:"", d21t:"",d21p:"",d22t:"",d22p:"",d23t:"",d23p:"",d2w:"",d2d:"", d31t:"",d31p:"",d32t:"",d32p:"",d33t:"",d33p:"",d3w:"",d3d:""}; </v>
      </c>
      <c r="DO8" s="110"/>
      <c r="DP8" s="110"/>
      <c r="DQ8" s="111" t="str">
        <f aca="false">"D6.scenario.defSelectValue["""&amp;U8&amp;"""]= [ """&amp;CLEAN(V8)&amp;""", """&amp;CLEAN(W8)&amp;IF(X8="","",""", """&amp;CLEAN(X8))&amp;IF(Y8="","",""", """&amp;CLEAN(Y8))&amp;IF(Z8="","",""", """&amp;CLEAN(Z8))&amp;IF(AA8="","",""", """&amp;CLEAN(AA8))&amp;IF(AB8="","",""", """&amp;CLEAN(AB8))&amp;IF(AC8="","",""", """&amp;CLEAN(AC8))&amp;IF(AD8="","",""", """&amp;CLEAN(AD8))&amp;IF(AE8="","",""", """&amp;CLEAN(AE8))&amp;IF(AF8="","",""", """&amp;CLEAN(AF8))&amp;IF(AG8="","",""", """&amp;CLEAN(AG8))&amp;IF(AH8="","",""", """&amp;CLEAN(AH8))&amp;IF(AI8="","",""", """&amp;CLEAN(AI8))&amp;IF(AJ8="","",""", """&amp;CLEAN(AJ8))&amp;IF(AK8="","",""", """&amp;CLEAN(AK8))&amp;""" ];"</f>
        <v>D6.scenario.defSelectValue["sel004"]= [ "選んで下さい", "持ち家", "賃貸" ];</v>
      </c>
      <c r="DR8" s="112"/>
      <c r="DS8" s="112"/>
      <c r="DT8" s="112" t="str">
        <f aca="false">"D6.scenario.defSelectData['"&amp;U8&amp;"']= [ '"&amp;BC8&amp;"', '"&amp;BD8&amp;"', '"&amp;BE8&amp;IF(BF8="","","', '"&amp;BF8)&amp;IF(BG8="","","', '"&amp;BG8)&amp;IF(BH8="","","', '"&amp;BH8)&amp;IF(BI8="","","', '"&amp;BI8)&amp;IF(BJ8="","","', '"&amp;BJ8)&amp;IF(BK8="","","', '"&amp;BK8)&amp;IF(BL8="","","', '"&amp;BL8)&amp;IF(BM8="","","', '"&amp;BM8)&amp;IF(BN8="","","', '"&amp;BN8)&amp;IF(BO8="","","', '"&amp;BO8)&amp;IF(BP8="","","', '"&amp;BP8)&amp;IF(BQ8="","","', '"&amp;BQ8)&amp;IF(BR8="","","', '"&amp;BR8)&amp;"' ];"</f>
        <v>D6.scenario.defSelectData['sel004']= [ '-1', '1', '2' ];</v>
      </c>
    </row>
    <row r="9" s="88" customFormat="true" ht="43.5" hidden="false" customHeight="true" outlineLevel="0" collapsed="false">
      <c r="A9" s="66"/>
      <c r="B9" s="95" t="s">
        <v>1019</v>
      </c>
      <c r="C9" s="103" t="s">
        <v>1020</v>
      </c>
      <c r="D9" s="104" t="s">
        <v>1021</v>
      </c>
      <c r="E9" s="95" t="s">
        <v>224</v>
      </c>
      <c r="F9" s="103"/>
      <c r="G9" s="104"/>
      <c r="H9" s="103" t="s">
        <v>1022</v>
      </c>
      <c r="I9" s="104" t="s">
        <v>1023</v>
      </c>
      <c r="J9" s="103" t="str">
        <f aca="false">IF(K9="","",K9)</f>
        <v>sel005</v>
      </c>
      <c r="K9" s="104" t="str">
        <f aca="false">"sel"&amp;MID($B9,2,5)</f>
        <v>sel005</v>
      </c>
      <c r="L9" s="105"/>
      <c r="M9" s="105"/>
      <c r="N9" s="105"/>
      <c r="O9" s="95" t="s">
        <v>931</v>
      </c>
      <c r="P9" s="105"/>
      <c r="Q9" s="105"/>
      <c r="R9" s="95" t="n">
        <v>-1</v>
      </c>
      <c r="S9" s="66"/>
      <c r="T9" s="66"/>
      <c r="U9" s="106" t="str">
        <f aca="false">J9</f>
        <v>sel005</v>
      </c>
      <c r="V9" s="103" t="s">
        <v>979</v>
      </c>
      <c r="W9" s="103" t="s">
        <v>1024</v>
      </c>
      <c r="X9" s="103" t="s">
        <v>1025</v>
      </c>
      <c r="Y9" s="103" t="s">
        <v>1026</v>
      </c>
      <c r="Z9" s="103"/>
      <c r="AA9" s="103"/>
      <c r="AB9" s="103"/>
      <c r="AC9" s="103"/>
      <c r="AD9" s="103"/>
      <c r="AE9" s="103"/>
      <c r="AF9" s="103"/>
      <c r="AG9" s="103"/>
      <c r="AH9" s="103"/>
      <c r="AI9" s="103"/>
      <c r="AJ9" s="103"/>
      <c r="AK9" s="103"/>
      <c r="AL9" s="104" t="s">
        <v>979</v>
      </c>
      <c r="AM9" s="107" t="s">
        <v>1024</v>
      </c>
      <c r="AN9" s="107" t="s">
        <v>1025</v>
      </c>
      <c r="AO9" s="107" t="s">
        <v>1026</v>
      </c>
      <c r="AP9" s="104"/>
      <c r="AQ9" s="104"/>
      <c r="AR9" s="104"/>
      <c r="AS9" s="104"/>
      <c r="AT9" s="104"/>
      <c r="AU9" s="104"/>
      <c r="AV9" s="104"/>
      <c r="AW9" s="104"/>
      <c r="AX9" s="104"/>
      <c r="AY9" s="104"/>
      <c r="AZ9" s="104"/>
      <c r="BA9" s="104"/>
      <c r="BB9" s="66"/>
      <c r="BC9" s="103" t="n">
        <v>-1</v>
      </c>
      <c r="BD9" s="103" t="n">
        <v>1</v>
      </c>
      <c r="BE9" s="103" t="n">
        <v>2</v>
      </c>
      <c r="BF9" s="103" t="n">
        <v>3</v>
      </c>
      <c r="BG9" s="103"/>
      <c r="BH9" s="103"/>
      <c r="BI9" s="103"/>
      <c r="BJ9" s="103"/>
      <c r="BK9" s="103"/>
      <c r="BL9" s="103"/>
      <c r="BM9" s="103"/>
      <c r="BN9" s="103"/>
      <c r="BO9" s="103"/>
      <c r="BP9" s="103"/>
      <c r="BQ9" s="103"/>
      <c r="BR9" s="103"/>
      <c r="BS9" s="104" t="n">
        <v>-1</v>
      </c>
      <c r="BT9" s="104" t="n">
        <v>1</v>
      </c>
      <c r="BU9" s="104" t="n">
        <v>2</v>
      </c>
      <c r="BV9" s="104" t="n">
        <v>3</v>
      </c>
      <c r="BW9" s="104"/>
      <c r="BX9" s="104"/>
      <c r="BY9" s="104"/>
      <c r="BZ9" s="104"/>
      <c r="CA9" s="104"/>
      <c r="CB9" s="104"/>
      <c r="CC9" s="104"/>
      <c r="CD9" s="104"/>
      <c r="CE9" s="104"/>
      <c r="CF9" s="104"/>
      <c r="CG9" s="104"/>
      <c r="CH9" s="104"/>
      <c r="CJ9" s="95"/>
      <c r="CK9" s="95"/>
      <c r="CL9" s="95"/>
      <c r="CM9" s="95"/>
      <c r="CN9" s="95"/>
      <c r="CO9" s="95"/>
      <c r="CP9" s="95"/>
      <c r="CQ9" s="95"/>
      <c r="CR9" s="95"/>
      <c r="CS9" s="95"/>
      <c r="CT9" s="95"/>
      <c r="CU9" s="95"/>
      <c r="CV9" s="95"/>
      <c r="CW9" s="95"/>
      <c r="CX9" s="95"/>
      <c r="CY9" s="95"/>
      <c r="CZ9" s="95"/>
      <c r="DA9" s="95"/>
      <c r="DB9" s="95"/>
      <c r="DC9" s="95"/>
      <c r="DD9" s="95"/>
      <c r="DE9" s="95"/>
      <c r="DF9" s="95"/>
      <c r="DG9" s="95"/>
      <c r="DL9" s="108"/>
      <c r="DM9" s="108"/>
      <c r="DN9" s="109" t="str">
        <f aca="false">"D6.scenario.defInput["""&amp;B9&amp;"""] = {  "&amp;E$2&amp;":"""&amp;E9&amp;""",  "&amp;C$2&amp;":"""&amp;CLEAN(SUBSTITUTE(C9,"""",""""))&amp;""",  "&amp;F$2&amp;":"""&amp;F9&amp;""",  "&amp;H$2&amp;":"""&amp;CLEAN(SUBSTITUTE(H9,"""",""""))&amp;""", "&amp;J$2&amp;":"""&amp;J9&amp;""", "&amp;L$2&amp;":"""&amp;L9&amp;""", "&amp;M$2&amp;":"""&amp;M9&amp;""", "&amp;N$2&amp;":"""&amp;N9&amp;""", "&amp;O$2&amp;":"""&amp;O9&amp;""", "&amp;P$2&amp;":"""&amp;P9&amp;""", "&amp;Q$2&amp;":"""&amp;Q9&amp;""", "&amp;R$2&amp;":"""&amp;R9&amp;""", d11t:"""&amp;CJ9&amp;""",d11p:"""&amp;CK9&amp;""",d12t:"""&amp;CL9&amp;""",d12p:"""&amp;CM9&amp;""",d13t:"""&amp;CN9&amp;""",d13p:"""&amp;CO9&amp;""",d1w:"""&amp;CP9&amp;""",d1d:"""&amp;CQ9&amp;""", d21t:"""&amp;CR9&amp;""",d21p:"""&amp;CS9&amp;""",d22t:"""&amp;CT9&amp;""",d22p:"""&amp;CU9&amp;""",d23t:"""&amp;CV9&amp;""",d23p:"""&amp;CW9&amp;""",d2w:"""&amp;CX9&amp;""",d2d:"""&amp;CY9&amp;""", d31t:"""&amp;CZ9&amp;""",d31p:"""&amp;DA9&amp;""",d32t:"""&amp;DB9&amp;""",d32p:"""&amp;DC9&amp;""",d33t:"""&amp;DD9&amp;""",d33p:"""&amp;DE9&amp;""",d3w:"""&amp;DF9&amp;""",d3d:"""&amp;DG9&amp;"""}; "</f>
        <v>D6.scenario.defInput["i005"] = {  cons:"consTotal",  title:"家の階数",  unit:"",  text:"何階建てですか、集合住宅の場合は建物の何階ですか", inputType:"sel005", right:"", postfix:"", nodata:"", varType:"Number", min:"", max:"", defaultValue:"-1", d11t:"",d11p:"",d12t:"",d12p:"",d13t:"",d13p:"",d1w:"",d1d:"", d21t:"",d21p:"",d22t:"",d22p:"",d23t:"",d23p:"",d2w:"",d2d:"", d31t:"",d31p:"",d32t:"",d32p:"",d33t:"",d33p:"",d3w:"",d3d:""}; </v>
      </c>
      <c r="DO9" s="110"/>
      <c r="DP9" s="110"/>
      <c r="DQ9" s="111" t="str">
        <f aca="false">"D6.scenario.defSelectValue["""&amp;U9&amp;"""]= [ """&amp;CLEAN(V9)&amp;""", """&amp;CLEAN(W9)&amp;IF(X9="","",""", """&amp;CLEAN(X9))&amp;IF(Y9="","",""", """&amp;CLEAN(Y9))&amp;IF(Z9="","",""", """&amp;CLEAN(Z9))&amp;IF(AA9="","",""", """&amp;CLEAN(AA9))&amp;IF(AB9="","",""", """&amp;CLEAN(AB9))&amp;IF(AC9="","",""", """&amp;CLEAN(AC9))&amp;IF(AD9="","",""", """&amp;CLEAN(AD9))&amp;IF(AE9="","",""", """&amp;CLEAN(AE9))&amp;IF(AF9="","",""", """&amp;CLEAN(AF9))&amp;IF(AG9="","",""", """&amp;CLEAN(AG9))&amp;IF(AH9="","",""", """&amp;CLEAN(AH9))&amp;IF(AI9="","",""", """&amp;CLEAN(AI9))&amp;IF(AJ9="","",""", """&amp;CLEAN(AJ9))&amp;IF(AK9="","",""", """&amp;CLEAN(AK9))&amp;""" ];"</f>
        <v>D6.scenario.defSelectValue["sel005"]= [ "選んで下さい", "平屋建て", "2階建て", "3階以上" ];</v>
      </c>
      <c r="DR9" s="112"/>
      <c r="DS9" s="112"/>
      <c r="DT9" s="112" t="str">
        <f aca="false">"D6.scenario.defSelectData['"&amp;U9&amp;"']= [ '"&amp;BC9&amp;"', '"&amp;BD9&amp;"', '"&amp;BE9&amp;IF(BF9="","","', '"&amp;BF9)&amp;IF(BG9="","","', '"&amp;BG9)&amp;IF(BH9="","","', '"&amp;BH9)&amp;IF(BI9="","","', '"&amp;BI9)&amp;IF(BJ9="","","', '"&amp;BJ9)&amp;IF(BK9="","","', '"&amp;BK9)&amp;IF(BL9="","","', '"&amp;BL9)&amp;IF(BM9="","","', '"&amp;BM9)&amp;IF(BN9="","","', '"&amp;BN9)&amp;IF(BO9="","","', '"&amp;BO9)&amp;IF(BP9="","","', '"&amp;BP9)&amp;IF(BQ9="","","', '"&amp;BQ9)&amp;IF(BR9="","","', '"&amp;BR9)&amp;"' ];"</f>
        <v>D6.scenario.defSelectData['sel005']= [ '-1', '1', '2', '3' ];</v>
      </c>
    </row>
    <row r="10" s="88" customFormat="true" ht="43.5" hidden="false" customHeight="true" outlineLevel="0" collapsed="false">
      <c r="A10" s="66"/>
      <c r="B10" s="95" t="s">
        <v>1027</v>
      </c>
      <c r="C10" s="103" t="s">
        <v>1028</v>
      </c>
      <c r="D10" s="104" t="s">
        <v>1028</v>
      </c>
      <c r="E10" s="95" t="s">
        <v>224</v>
      </c>
      <c r="F10" s="103"/>
      <c r="G10" s="104"/>
      <c r="H10" s="103" t="s">
        <v>1029</v>
      </c>
      <c r="I10" s="104" t="s">
        <v>1030</v>
      </c>
      <c r="J10" s="103" t="str">
        <f aca="false">IF(K10="","",K10)</f>
        <v>sel006</v>
      </c>
      <c r="K10" s="104" t="str">
        <f aca="false">"sel"&amp;MID($B10,2,5)</f>
        <v>sel006</v>
      </c>
      <c r="L10" s="105"/>
      <c r="M10" s="105"/>
      <c r="N10" s="105"/>
      <c r="O10" s="95" t="s">
        <v>931</v>
      </c>
      <c r="P10" s="105"/>
      <c r="Q10" s="105"/>
      <c r="R10" s="95" t="n">
        <v>-1</v>
      </c>
      <c r="S10" s="66"/>
      <c r="T10" s="66"/>
      <c r="U10" s="106" t="str">
        <f aca="false">J10</f>
        <v>sel006</v>
      </c>
      <c r="V10" s="103" t="s">
        <v>979</v>
      </c>
      <c r="W10" s="103" t="s">
        <v>1031</v>
      </c>
      <c r="X10" s="103" t="s">
        <v>1032</v>
      </c>
      <c r="Y10" s="103"/>
      <c r="Z10" s="103"/>
      <c r="AA10" s="103"/>
      <c r="AB10" s="103"/>
      <c r="AC10" s="103"/>
      <c r="AD10" s="103"/>
      <c r="AE10" s="103"/>
      <c r="AF10" s="103"/>
      <c r="AG10" s="103"/>
      <c r="AH10" s="103"/>
      <c r="AI10" s="103"/>
      <c r="AJ10" s="103"/>
      <c r="AK10" s="103"/>
      <c r="AL10" s="104" t="s">
        <v>979</v>
      </c>
      <c r="AM10" s="107" t="s">
        <v>1031</v>
      </c>
      <c r="AN10" s="107" t="s">
        <v>1032</v>
      </c>
      <c r="AO10" s="104"/>
      <c r="AP10" s="104"/>
      <c r="AQ10" s="104"/>
      <c r="AR10" s="104"/>
      <c r="AS10" s="104"/>
      <c r="AT10" s="104"/>
      <c r="AU10" s="104"/>
      <c r="AV10" s="104"/>
      <c r="AW10" s="104"/>
      <c r="AX10" s="104"/>
      <c r="AY10" s="104"/>
      <c r="AZ10" s="104"/>
      <c r="BA10" s="104"/>
      <c r="BB10" s="66"/>
      <c r="BC10" s="103" t="n">
        <v>-1</v>
      </c>
      <c r="BD10" s="103" t="n">
        <v>1</v>
      </c>
      <c r="BE10" s="103" t="n">
        <v>2</v>
      </c>
      <c r="BF10" s="103"/>
      <c r="BG10" s="103"/>
      <c r="BH10" s="103"/>
      <c r="BI10" s="103"/>
      <c r="BJ10" s="103"/>
      <c r="BK10" s="103"/>
      <c r="BL10" s="103"/>
      <c r="BM10" s="103"/>
      <c r="BN10" s="103"/>
      <c r="BO10" s="103"/>
      <c r="BP10" s="103"/>
      <c r="BQ10" s="103"/>
      <c r="BR10" s="103"/>
      <c r="BS10" s="104" t="n">
        <v>-1</v>
      </c>
      <c r="BT10" s="104" t="n">
        <v>1</v>
      </c>
      <c r="BU10" s="104" t="n">
        <v>2</v>
      </c>
      <c r="BV10" s="104"/>
      <c r="BW10" s="104"/>
      <c r="BX10" s="104"/>
      <c r="BY10" s="104"/>
      <c r="BZ10" s="104"/>
      <c r="CA10" s="104"/>
      <c r="CB10" s="104"/>
      <c r="CC10" s="104"/>
      <c r="CD10" s="104"/>
      <c r="CE10" s="104"/>
      <c r="CF10" s="104"/>
      <c r="CG10" s="104"/>
      <c r="CH10" s="104"/>
      <c r="CJ10" s="95"/>
      <c r="CK10" s="95"/>
      <c r="CL10" s="95"/>
      <c r="CM10" s="95"/>
      <c r="CN10" s="95"/>
      <c r="CO10" s="95"/>
      <c r="CP10" s="95"/>
      <c r="CQ10" s="95"/>
      <c r="CR10" s="95"/>
      <c r="CS10" s="95"/>
      <c r="CT10" s="95"/>
      <c r="CU10" s="95"/>
      <c r="CV10" s="95"/>
      <c r="CW10" s="95"/>
      <c r="CX10" s="95"/>
      <c r="CY10" s="95"/>
      <c r="CZ10" s="95"/>
      <c r="DA10" s="95"/>
      <c r="DB10" s="95"/>
      <c r="DC10" s="95"/>
      <c r="DD10" s="95"/>
      <c r="DE10" s="95"/>
      <c r="DF10" s="95"/>
      <c r="DG10" s="95"/>
      <c r="DL10" s="108"/>
      <c r="DM10" s="108"/>
      <c r="DN10" s="109" t="str">
        <f aca="false">"D6.scenario.defInput["""&amp;B10&amp;"""] = {  "&amp;E$2&amp;":"""&amp;E10&amp;""",  "&amp;C$2&amp;":"""&amp;CLEAN(SUBSTITUTE(C10,"""",""""))&amp;""",  "&amp;F$2&amp;":"""&amp;F10&amp;""",  "&amp;H$2&amp;":"""&amp;CLEAN(SUBSTITUTE(H10,"""",""""))&amp;""", "&amp;J$2&amp;":"""&amp;J10&amp;""", "&amp;L$2&amp;":"""&amp;L10&amp;""", "&amp;M$2&amp;":"""&amp;M10&amp;""", "&amp;N$2&amp;":"""&amp;N10&amp;""", "&amp;O$2&amp;":"""&amp;O10&amp;""", "&amp;P$2&amp;":"""&amp;P10&amp;""", "&amp;Q$2&amp;":"""&amp;Q10&amp;""", "&amp;R$2&amp;":"""&amp;R10&amp;""", d11t:"""&amp;CJ10&amp;""",d11p:"""&amp;CK10&amp;""",d12t:"""&amp;CL10&amp;""",d12p:"""&amp;CM10&amp;""",d13t:"""&amp;CN10&amp;""",d13p:"""&amp;CO10&amp;""",d1w:"""&amp;CP10&amp;""",d1d:"""&amp;CQ10&amp;""", d21t:"""&amp;CR10&amp;""",d21p:"""&amp;CS10&amp;""",d22t:"""&amp;CT10&amp;""",d22p:"""&amp;CU10&amp;""",d23t:"""&amp;CV10&amp;""",d23p:"""&amp;CW10&amp;""",d2w:"""&amp;CX10&amp;""",d2d:"""&amp;CY10&amp;""", d31t:"""&amp;CZ10&amp;""",d31p:"""&amp;DA10&amp;""",d32t:"""&amp;DB10&amp;""",d32p:"""&amp;DC10&amp;""",d33t:"""&amp;DD10&amp;""",d33p:"""&amp;DE10&amp;""",d3w:"""&amp;DF10&amp;""",d3d:"""&amp;DG10&amp;"""}; "</f>
        <v>D6.scenario.defInput["i006"] = {  cons:"consTotal",  title:"天井が屋根面（最上階）か",  unit:"",  text:"集合住宅の場合、天井が屋根面（最上階）ですか", inputType:"sel006", right:"", postfix:"", nodata:"", varType:"Number", min:"", max:"", defaultValue:"-1", d11t:"",d11p:"",d12t:"",d12p:"",d13t:"",d13p:"",d1w:"",d1d:"", d21t:"",d21p:"",d22t:"",d22p:"",d23t:"",d23p:"",d2w:"",d2d:"", d31t:"",d31p:"",d32t:"",d32p:"",d33t:"",d33p:"",d3w:"",d3d:""}; </v>
      </c>
      <c r="DO10" s="110"/>
      <c r="DP10" s="110"/>
      <c r="DQ10" s="111" t="str">
        <f aca="false">"D6.scenario.defSelectValue["""&amp;U10&amp;"""]= [ """&amp;CLEAN(V10)&amp;""", """&amp;CLEAN(W10)&amp;IF(X10="","",""", """&amp;CLEAN(X10))&amp;IF(Y10="","",""", """&amp;CLEAN(Y10))&amp;IF(Z10="","",""", """&amp;CLEAN(Z10))&amp;IF(AA10="","",""", """&amp;CLEAN(AA10))&amp;IF(AB10="","",""", """&amp;CLEAN(AB10))&amp;IF(AC10="","",""", """&amp;CLEAN(AC10))&amp;IF(AD10="","",""", """&amp;CLEAN(AD10))&amp;IF(AE10="","",""", """&amp;CLEAN(AE10))&amp;IF(AF10="","",""", """&amp;CLEAN(AF10))&amp;IF(AG10="","",""", """&amp;CLEAN(AG10))&amp;IF(AH10="","",""", """&amp;CLEAN(AH10))&amp;IF(AI10="","",""", """&amp;CLEAN(AI10))&amp;IF(AJ10="","",""", """&amp;CLEAN(AJ10))&amp;IF(AK10="","",""", """&amp;CLEAN(AK10))&amp;""" ];"</f>
        <v>D6.scenario.defSelectValue["sel006"]= [ "選んで下さい", "最上階（上は屋根）", "最上階でない（上に部屋がある）" ];</v>
      </c>
      <c r="DR10" s="112"/>
      <c r="DS10" s="112"/>
      <c r="DT10" s="112" t="str">
        <f aca="false">"D6.scenario.defSelectData['"&amp;U10&amp;"']= [ '"&amp;BC10&amp;"', '"&amp;BD10&amp;"', '"&amp;BE10&amp;IF(BF10="","","', '"&amp;BF10)&amp;IF(BG10="","","', '"&amp;BG10)&amp;IF(BH10="","","', '"&amp;BH10)&amp;IF(BI10="","","', '"&amp;BI10)&amp;IF(BJ10="","","', '"&amp;BJ10)&amp;IF(BK10="","","', '"&amp;BK10)&amp;IF(BL10="","","', '"&amp;BL10)&amp;IF(BM10="","","', '"&amp;BM10)&amp;IF(BN10="","","', '"&amp;BN10)&amp;IF(BO10="","","', '"&amp;BO10)&amp;IF(BP10="","","', '"&amp;BP10)&amp;IF(BQ10="","","', '"&amp;BQ10)&amp;IF(BR10="","","', '"&amp;BR10)&amp;"' ];"</f>
        <v>D6.scenario.defSelectData['sel006']= [ '-1', '1', '2' ];</v>
      </c>
    </row>
    <row r="11" s="88" customFormat="true" ht="43.5" hidden="false" customHeight="true" outlineLevel="0" collapsed="false">
      <c r="A11" s="66"/>
      <c r="B11" s="95" t="s">
        <v>1033</v>
      </c>
      <c r="C11" s="103" t="s">
        <v>1034</v>
      </c>
      <c r="D11" s="104" t="s">
        <v>1034</v>
      </c>
      <c r="E11" s="95" t="s">
        <v>224</v>
      </c>
      <c r="F11" s="103"/>
      <c r="G11" s="104"/>
      <c r="H11" s="103" t="s">
        <v>1035</v>
      </c>
      <c r="I11" s="104" t="s">
        <v>1035</v>
      </c>
      <c r="J11" s="103" t="str">
        <f aca="false">IF(K11="","",K11)</f>
        <v>sel007</v>
      </c>
      <c r="K11" s="104" t="str">
        <f aca="false">"sel"&amp;MID($B11,2,5)</f>
        <v>sel007</v>
      </c>
      <c r="L11" s="105"/>
      <c r="M11" s="105"/>
      <c r="N11" s="105"/>
      <c r="O11" s="95" t="s">
        <v>931</v>
      </c>
      <c r="P11" s="105"/>
      <c r="Q11" s="105"/>
      <c r="R11" s="95" t="n">
        <v>-1</v>
      </c>
      <c r="S11" s="66"/>
      <c r="T11" s="66"/>
      <c r="U11" s="106" t="str">
        <f aca="false">J11</f>
        <v>sel007</v>
      </c>
      <c r="V11" s="103" t="s">
        <v>979</v>
      </c>
      <c r="W11" s="103" t="s">
        <v>1036</v>
      </c>
      <c r="X11" s="103" t="s">
        <v>1037</v>
      </c>
      <c r="Y11" s="103" t="s">
        <v>1038</v>
      </c>
      <c r="Z11" s="103" t="s">
        <v>1039</v>
      </c>
      <c r="AA11" s="103"/>
      <c r="AB11" s="103"/>
      <c r="AC11" s="103"/>
      <c r="AD11" s="103"/>
      <c r="AE11" s="103"/>
      <c r="AF11" s="103"/>
      <c r="AG11" s="103"/>
      <c r="AH11" s="103"/>
      <c r="AI11" s="103"/>
      <c r="AJ11" s="103"/>
      <c r="AK11" s="103"/>
      <c r="AL11" s="104" t="s">
        <v>979</v>
      </c>
      <c r="AM11" s="107" t="s">
        <v>1036</v>
      </c>
      <c r="AN11" s="107" t="s">
        <v>1037</v>
      </c>
      <c r="AO11" s="107" t="s">
        <v>1038</v>
      </c>
      <c r="AP11" s="107" t="s">
        <v>1039</v>
      </c>
      <c r="AQ11" s="104"/>
      <c r="AR11" s="104"/>
      <c r="AS11" s="104"/>
      <c r="AT11" s="104"/>
      <c r="AU11" s="104"/>
      <c r="AV11" s="104"/>
      <c r="AW11" s="104"/>
      <c r="AX11" s="104"/>
      <c r="AY11" s="104"/>
      <c r="AZ11" s="104"/>
      <c r="BA11" s="104"/>
      <c r="BB11" s="66"/>
      <c r="BC11" s="103" t="n">
        <v>-1</v>
      </c>
      <c r="BD11" s="103" t="n">
        <v>1</v>
      </c>
      <c r="BE11" s="103" t="n">
        <v>2</v>
      </c>
      <c r="BF11" s="103" t="n">
        <v>3</v>
      </c>
      <c r="BG11" s="103" t="n">
        <v>4</v>
      </c>
      <c r="BH11" s="103"/>
      <c r="BI11" s="103"/>
      <c r="BJ11" s="103"/>
      <c r="BK11" s="103"/>
      <c r="BL11" s="103"/>
      <c r="BM11" s="103"/>
      <c r="BN11" s="103"/>
      <c r="BO11" s="103"/>
      <c r="BP11" s="103"/>
      <c r="BQ11" s="103"/>
      <c r="BR11" s="103"/>
      <c r="BS11" s="104" t="n">
        <v>-1</v>
      </c>
      <c r="BT11" s="104" t="n">
        <v>1</v>
      </c>
      <c r="BU11" s="104" t="n">
        <v>2</v>
      </c>
      <c r="BV11" s="104" t="n">
        <v>3</v>
      </c>
      <c r="BW11" s="104" t="n">
        <v>4</v>
      </c>
      <c r="BX11" s="104"/>
      <c r="BY11" s="104"/>
      <c r="BZ11" s="104"/>
      <c r="CA11" s="104"/>
      <c r="CB11" s="104"/>
      <c r="CC11" s="104"/>
      <c r="CD11" s="104"/>
      <c r="CE11" s="104"/>
      <c r="CF11" s="104"/>
      <c r="CG11" s="104"/>
      <c r="CH11" s="104"/>
      <c r="CJ11" s="95" t="n">
        <v>3</v>
      </c>
      <c r="CK11" s="95" t="n">
        <v>0</v>
      </c>
      <c r="CL11" s="95" t="n">
        <v>2</v>
      </c>
      <c r="CM11" s="95" t="n">
        <v>1</v>
      </c>
      <c r="CN11" s="95" t="n">
        <v>1</v>
      </c>
      <c r="CO11" s="95" t="n">
        <v>2</v>
      </c>
      <c r="CP11" s="95" t="n">
        <v>3</v>
      </c>
      <c r="CQ11" s="95" t="n">
        <v>1</v>
      </c>
      <c r="CR11" s="95"/>
      <c r="CS11" s="95"/>
      <c r="CT11" s="95"/>
      <c r="CU11" s="95"/>
      <c r="CV11" s="95"/>
      <c r="CW11" s="95"/>
      <c r="CX11" s="95"/>
      <c r="CY11" s="95"/>
      <c r="CZ11" s="95"/>
      <c r="DA11" s="95"/>
      <c r="DB11" s="95"/>
      <c r="DC11" s="95"/>
      <c r="DD11" s="95"/>
      <c r="DE11" s="95"/>
      <c r="DF11" s="95"/>
      <c r="DG11" s="95"/>
      <c r="DL11" s="108"/>
      <c r="DM11" s="108"/>
      <c r="DN11" s="109" t="str">
        <f aca="false">"D6.scenario.defInput["""&amp;B11&amp;"""] = {  "&amp;E$2&amp;":"""&amp;E11&amp;""",  "&amp;C$2&amp;":"""&amp;CLEAN(SUBSTITUTE(C11,"""",""""))&amp;""",  "&amp;F$2&amp;":"""&amp;F11&amp;""",  "&amp;H$2&amp;":"""&amp;CLEAN(SUBSTITUTE(H11,"""",""""))&amp;""", "&amp;J$2&amp;":"""&amp;J11&amp;""", "&amp;L$2&amp;":"""&amp;L11&amp;""", "&amp;M$2&amp;":"""&amp;M11&amp;""", "&amp;N$2&amp;":"""&amp;N11&amp;""", "&amp;O$2&amp;":"""&amp;O11&amp;""", "&amp;P$2&amp;":"""&amp;P11&amp;""", "&amp;Q$2&amp;":"""&amp;Q11&amp;""", "&amp;R$2&amp;":"""&amp;R11&amp;""", d11t:"""&amp;CJ11&amp;""",d11p:"""&amp;CK11&amp;""",d12t:"""&amp;CL11&amp;""",d12p:"""&amp;CM11&amp;""",d13t:"""&amp;CN11&amp;""",d13p:"""&amp;CO11&amp;""",d1w:"""&amp;CP11&amp;""",d1d:"""&amp;CQ11&amp;""", d21t:"""&amp;CR11&amp;""",d21p:"""&amp;CS11&amp;""",d22t:"""&amp;CT11&amp;""",d22p:"""&amp;CU11&amp;""",d23t:"""&amp;CV11&amp;""",d23p:"""&amp;CW11&amp;""",d2w:"""&amp;CX11&amp;""",d2d:"""&amp;CY11&amp;""", d31t:"""&amp;CZ11&amp;""",d31p:"""&amp;DA11&amp;""",d32t:"""&amp;DB11&amp;""",d32p:"""&amp;DC11&amp;""",d33t:"""&amp;DD11&amp;""",d33p:"""&amp;DE11&amp;""",d3w:"""&amp;DF11&amp;""",d3d:"""&amp;DG11&amp;"""}; "</f>
        <v>D6.scenario.defInput["i007"] = {  cons:"consTotal",  title:"屋根の日当たり",  unit:"",  text:"屋根の日当たりはいいですか", inputType:"sel007", right:"", postfix:"", nodata:"", varType:"Number", min:"", max:"", defaultValue:"-1", d11t:"3",d11p:"0",d12t:"2",d12p:"1",d13t:"1",d13p:"2",d1w:"3",d1d:"1", d21t:"",d21p:"",d22t:"",d22p:"",d23t:"",d23p:"",d2w:"",d2d:"", d31t:"",d31p:"",d32t:"",d32p:"",d33t:"",d33p:"",d3w:"",d3d:""}; </v>
      </c>
      <c r="DO11" s="110"/>
      <c r="DP11" s="110"/>
      <c r="DQ11" s="111" t="str">
        <f aca="false">"D6.scenario.defSelectValue["""&amp;U11&amp;"""]= [ """&amp;CLEAN(V11)&amp;""", """&amp;CLEAN(W11)&amp;IF(X11="","",""", """&amp;CLEAN(X11))&amp;IF(Y11="","",""", """&amp;CLEAN(Y11))&amp;IF(Z11="","",""", """&amp;CLEAN(Z11))&amp;IF(AA11="","",""", """&amp;CLEAN(AA11))&amp;IF(AB11="","",""", """&amp;CLEAN(AB11))&amp;IF(AC11="","",""", """&amp;CLEAN(AC11))&amp;IF(AD11="","",""", """&amp;CLEAN(AD11))&amp;IF(AE11="","",""", """&amp;CLEAN(AE11))&amp;IF(AF11="","",""", """&amp;CLEAN(AF11))&amp;IF(AG11="","",""", """&amp;CLEAN(AG11))&amp;IF(AH11="","",""", """&amp;CLEAN(AH11))&amp;IF(AI11="","",""", """&amp;CLEAN(AI11))&amp;IF(AJ11="","",""", """&amp;CLEAN(AJ11))&amp;IF(AK11="","",""", """&amp;CLEAN(AK11))&amp;""" ];"</f>
        <v>D6.scenario.defSelectValue["sel007"]= [ "選んで下さい", "とてもよい", "よい", "ときどき陰る", "よくない" ];</v>
      </c>
      <c r="DR11" s="112"/>
      <c r="DS11" s="112"/>
      <c r="DT11" s="112" t="str">
        <f aca="false">"D6.scenario.defSelectData['"&amp;U11&amp;"']= [ '"&amp;BC11&amp;"', '"&amp;BD11&amp;"', '"&amp;BE11&amp;IF(BF11="","","', '"&amp;BF11)&amp;IF(BG11="","","', '"&amp;BG11)&amp;IF(BH11="","","', '"&amp;BH11)&amp;IF(BI11="","","', '"&amp;BI11)&amp;IF(BJ11="","","', '"&amp;BJ11)&amp;IF(BK11="","","', '"&amp;BK11)&amp;IF(BL11="","","', '"&amp;BL11)&amp;IF(BM11="","","', '"&amp;BM11)&amp;IF(BN11="","","', '"&amp;BN11)&amp;IF(BO11="","","', '"&amp;BO11)&amp;IF(BP11="","","', '"&amp;BP11)&amp;IF(BQ11="","","', '"&amp;BQ11)&amp;IF(BR11="","","', '"&amp;BR11)&amp;"' ];"</f>
        <v>D6.scenario.defSelectData['sel007']= [ '-1', '1', '2', '3', '4' ];</v>
      </c>
    </row>
    <row r="12" s="88" customFormat="true" ht="43.5" hidden="false" customHeight="true" outlineLevel="0" collapsed="false">
      <c r="A12" s="66"/>
      <c r="B12" s="95" t="s">
        <v>1040</v>
      </c>
      <c r="C12" s="103" t="s">
        <v>1041</v>
      </c>
      <c r="D12" s="104" t="s">
        <v>1041</v>
      </c>
      <c r="E12" s="95" t="s">
        <v>224</v>
      </c>
      <c r="F12" s="103" t="s">
        <v>1042</v>
      </c>
      <c r="G12" s="104" t="s">
        <v>1042</v>
      </c>
      <c r="H12" s="103" t="s">
        <v>1043</v>
      </c>
      <c r="I12" s="104" t="s">
        <v>1044</v>
      </c>
      <c r="J12" s="103" t="str">
        <f aca="false">IF(K12="","",K12)</f>
        <v>sel008</v>
      </c>
      <c r="K12" s="104" t="str">
        <f aca="false">"sel"&amp;MID($B12,2,5)</f>
        <v>sel008</v>
      </c>
      <c r="L12" s="105"/>
      <c r="M12" s="105"/>
      <c r="N12" s="105"/>
      <c r="O12" s="95" t="s">
        <v>931</v>
      </c>
      <c r="P12" s="105"/>
      <c r="Q12" s="105"/>
      <c r="R12" s="95" t="n">
        <v>-1</v>
      </c>
      <c r="S12" s="66"/>
      <c r="T12" s="66"/>
      <c r="U12" s="106" t="str">
        <f aca="false">J12</f>
        <v>sel008</v>
      </c>
      <c r="V12" s="103" t="s">
        <v>979</v>
      </c>
      <c r="W12" s="103" t="s">
        <v>1045</v>
      </c>
      <c r="X12" s="103" t="s">
        <v>1046</v>
      </c>
      <c r="Y12" s="103" t="s">
        <v>1047</v>
      </c>
      <c r="Z12" s="103" t="s">
        <v>1048</v>
      </c>
      <c r="AA12" s="103" t="s">
        <v>1049</v>
      </c>
      <c r="AB12" s="103" t="s">
        <v>1050</v>
      </c>
      <c r="AC12" s="103" t="s">
        <v>1051</v>
      </c>
      <c r="AD12" s="103" t="s">
        <v>1052</v>
      </c>
      <c r="AE12" s="103"/>
      <c r="AF12" s="103"/>
      <c r="AG12" s="103"/>
      <c r="AH12" s="103"/>
      <c r="AI12" s="103"/>
      <c r="AJ12" s="103"/>
      <c r="AK12" s="103"/>
      <c r="AL12" s="104" t="s">
        <v>979</v>
      </c>
      <c r="AM12" s="107" t="s">
        <v>1045</v>
      </c>
      <c r="AN12" s="107" t="s">
        <v>1046</v>
      </c>
      <c r="AO12" s="107" t="s">
        <v>1047</v>
      </c>
      <c r="AP12" s="107" t="s">
        <v>1048</v>
      </c>
      <c r="AQ12" s="107" t="s">
        <v>1049</v>
      </c>
      <c r="AR12" s="107" t="s">
        <v>1050</v>
      </c>
      <c r="AS12" s="104" t="s">
        <v>1051</v>
      </c>
      <c r="AT12" s="104" t="s">
        <v>1052</v>
      </c>
      <c r="AU12" s="104"/>
      <c r="AV12" s="104"/>
      <c r="AW12" s="104"/>
      <c r="AX12" s="104"/>
      <c r="AY12" s="104"/>
      <c r="AZ12" s="104"/>
      <c r="BA12" s="104"/>
      <c r="BB12" s="66"/>
      <c r="BC12" s="103" t="n">
        <v>-1</v>
      </c>
      <c r="BD12" s="103" t="n">
        <v>1</v>
      </c>
      <c r="BE12" s="103" t="n">
        <v>2</v>
      </c>
      <c r="BF12" s="103" t="n">
        <v>3</v>
      </c>
      <c r="BG12" s="103" t="n">
        <v>4</v>
      </c>
      <c r="BH12" s="103" t="n">
        <v>5</v>
      </c>
      <c r="BI12" s="103" t="n">
        <v>6</v>
      </c>
      <c r="BJ12" s="103" t="n">
        <v>7</v>
      </c>
      <c r="BK12" s="103" t="n">
        <v>8</v>
      </c>
      <c r="BL12" s="103"/>
      <c r="BM12" s="103"/>
      <c r="BN12" s="103"/>
      <c r="BO12" s="103"/>
      <c r="BP12" s="103"/>
      <c r="BQ12" s="103"/>
      <c r="BR12" s="103"/>
      <c r="BS12" s="104" t="n">
        <v>-1</v>
      </c>
      <c r="BT12" s="104" t="n">
        <v>1</v>
      </c>
      <c r="BU12" s="104" t="n">
        <v>2</v>
      </c>
      <c r="BV12" s="104" t="n">
        <v>3</v>
      </c>
      <c r="BW12" s="104" t="n">
        <v>4</v>
      </c>
      <c r="BX12" s="104" t="n">
        <v>5</v>
      </c>
      <c r="BY12" s="104" t="n">
        <v>6</v>
      </c>
      <c r="BZ12" s="104" t="n">
        <v>7</v>
      </c>
      <c r="CA12" s="104" t="n">
        <v>8</v>
      </c>
      <c r="CB12" s="104"/>
      <c r="CC12" s="104"/>
      <c r="CD12" s="104"/>
      <c r="CE12" s="104"/>
      <c r="CF12" s="104"/>
      <c r="CG12" s="104"/>
      <c r="CH12" s="104"/>
      <c r="CJ12" s="95" t="n">
        <v>8</v>
      </c>
      <c r="CK12" s="95" t="n">
        <v>0</v>
      </c>
      <c r="CL12" s="95" t="n">
        <v>5</v>
      </c>
      <c r="CM12" s="95" t="n">
        <v>1</v>
      </c>
      <c r="CN12" s="95" t="n">
        <v>1</v>
      </c>
      <c r="CO12" s="95" t="n">
        <v>2</v>
      </c>
      <c r="CP12" s="95" t="n">
        <v>2</v>
      </c>
      <c r="CQ12" s="95" t="n">
        <v>1</v>
      </c>
      <c r="CR12" s="95"/>
      <c r="CS12" s="95"/>
      <c r="CT12" s="95"/>
      <c r="CU12" s="95"/>
      <c r="CV12" s="95"/>
      <c r="CW12" s="95"/>
      <c r="CX12" s="95"/>
      <c r="CY12" s="95"/>
      <c r="CZ12" s="95"/>
      <c r="DA12" s="95"/>
      <c r="DB12" s="95"/>
      <c r="DC12" s="95"/>
      <c r="DD12" s="95"/>
      <c r="DE12" s="95"/>
      <c r="DF12" s="95"/>
      <c r="DG12" s="95"/>
      <c r="DL12" s="108"/>
      <c r="DM12" s="108"/>
      <c r="DN12" s="109" t="str">
        <f aca="false">"D6.scenario.defInput["""&amp;B12&amp;"""] = {  "&amp;E$2&amp;":"""&amp;E12&amp;""",  "&amp;C$2&amp;":"""&amp;CLEAN(SUBSTITUTE(C12,"""",""""))&amp;""",  "&amp;F$2&amp;":"""&amp;F12&amp;""",  "&amp;H$2&amp;":"""&amp;CLEAN(SUBSTITUTE(H12,"""",""""))&amp;""", "&amp;J$2&amp;":"""&amp;J12&amp;""", "&amp;L$2&amp;":"""&amp;L12&amp;""", "&amp;M$2&amp;":"""&amp;M12&amp;""", "&amp;N$2&amp;":"""&amp;N12&amp;""", "&amp;O$2&amp;":"""&amp;O12&amp;""", "&amp;P$2&amp;":"""&amp;P12&amp;""", "&amp;Q$2&amp;":"""&amp;Q12&amp;""", "&amp;R$2&amp;":"""&amp;R12&amp;""", d11t:"""&amp;CJ12&amp;""",d11p:"""&amp;CK12&amp;""",d12t:"""&amp;CL12&amp;""",d12p:"""&amp;CM12&amp;""",d13t:"""&amp;CN12&amp;""",d13p:"""&amp;CO12&amp;""",d1w:"""&amp;CP12&amp;""",d1d:"""&amp;CQ12&amp;""", d21t:"""&amp;CR12&amp;""",d21p:"""&amp;CS12&amp;""",d22t:"""&amp;CT12&amp;""",d22p:"""&amp;CU12&amp;""",d23t:"""&amp;CV12&amp;""",d23p:"""&amp;CW12&amp;""",d2w:"""&amp;CX12&amp;""",d2d:"""&amp;CY12&amp;""", d31t:"""&amp;CZ12&amp;""",d31p:"""&amp;DA12&amp;""",d32t:"""&amp;DB12&amp;""",d32p:"""&amp;DC12&amp;""",d33t:"""&amp;DD12&amp;""",d33p:"""&amp;DE12&amp;""",d3w:"""&amp;DF12&amp;""",d3d:"""&amp;DG12&amp;"""}; "</f>
        <v>D6.scenario.defInput["i008"] = {  cons:"consTotal",  title:"居室数",  unit:"部屋",  text:"家に居室は何部屋ありますか。トイレ、風呂などは含みません。", inputType:"sel008", right:"", postfix:"", nodata:"", varType:"Number", min:"", max:"", defaultValue:"-1", d11t:"8",d11p:"0",d12t:"5",d12p:"1",d13t:"1",d13p:"2",d1w:"2",d1d:"1", d21t:"",d21p:"",d22t:"",d22p:"",d23t:"",d23p:"",d2w:"",d2d:"", d31t:"",d31p:"",d32t:"",d32p:"",d33t:"",d33p:"",d3w:"",d3d:""}; </v>
      </c>
      <c r="DO12" s="110"/>
      <c r="DP12" s="110"/>
      <c r="DQ12" s="111" t="str">
        <f aca="false">"D6.scenario.defSelectValue["""&amp;U12&amp;"""]= [ """&amp;CLEAN(V12)&amp;""", """&amp;CLEAN(W12)&amp;IF(X12="","",""", """&amp;CLEAN(X12))&amp;IF(Y12="","",""", """&amp;CLEAN(Y12))&amp;IF(Z12="","",""", """&amp;CLEAN(Z12))&amp;IF(AA12="","",""", """&amp;CLEAN(AA12))&amp;IF(AB12="","",""", """&amp;CLEAN(AB12))&amp;IF(AC12="","",""", """&amp;CLEAN(AC12))&amp;IF(AD12="","",""", """&amp;CLEAN(AD12))&amp;IF(AE12="","",""", """&amp;CLEAN(AE12))&amp;IF(AF12="","",""", """&amp;CLEAN(AF12))&amp;IF(AG12="","",""", """&amp;CLEAN(AG12))&amp;IF(AH12="","",""", """&amp;CLEAN(AH12))&amp;IF(AI12="","",""", """&amp;CLEAN(AI12))&amp;IF(AJ12="","",""", """&amp;CLEAN(AJ12))&amp;IF(AK12="","",""", """&amp;CLEAN(AK12))&amp;""" ];"</f>
        <v>D6.scenario.defSelectValue["sel008"]= [ "選んで下さい", "1部屋", "2部屋", "3部屋", "4部屋", "5部屋", "6部屋", "7部屋", "8部屋以上" ];</v>
      </c>
      <c r="DR12" s="112"/>
      <c r="DS12" s="112"/>
      <c r="DT12" s="112" t="str">
        <f aca="false">"D6.scenario.defSelectData['"&amp;U12&amp;"']= [ '"&amp;BC12&amp;"', '"&amp;BD12&amp;"', '"&amp;BE12&amp;IF(BF12="","","', '"&amp;BF12)&amp;IF(BG12="","","', '"&amp;BG12)&amp;IF(BH12="","","', '"&amp;BH12)&amp;IF(BI12="","","', '"&amp;BI12)&amp;IF(BJ12="","","', '"&amp;BJ12)&amp;IF(BK12="","","', '"&amp;BK12)&amp;IF(BL12="","","', '"&amp;BL12)&amp;IF(BM12="","","', '"&amp;BM12)&amp;IF(BN12="","","', '"&amp;BN12)&amp;IF(BO12="","","', '"&amp;BO12)&amp;IF(BP12="","","', '"&amp;BP12)&amp;IF(BQ12="","","', '"&amp;BQ12)&amp;IF(BR12="","","', '"&amp;BR12)&amp;"' ];"</f>
        <v>D6.scenario.defSelectData['sel008']= [ '-1', '1', '2', '3', '4', '5', '6', '7', '8' ];</v>
      </c>
    </row>
    <row r="13" s="88" customFormat="true" ht="43.5" hidden="false" customHeight="true" outlineLevel="0" collapsed="false">
      <c r="A13" s="66"/>
      <c r="B13" s="95" t="s">
        <v>1053</v>
      </c>
      <c r="C13" s="103" t="s">
        <v>1054</v>
      </c>
      <c r="D13" s="104" t="s">
        <v>1054</v>
      </c>
      <c r="E13" s="95" t="s">
        <v>224</v>
      </c>
      <c r="F13" s="103" t="s">
        <v>1055</v>
      </c>
      <c r="G13" s="104" t="s">
        <v>1055</v>
      </c>
      <c r="H13" s="103" t="s">
        <v>1056</v>
      </c>
      <c r="I13" s="104" t="s">
        <v>1057</v>
      </c>
      <c r="J13" s="103" t="str">
        <f aca="false">IF(K13="","",K13)</f>
        <v>sel009</v>
      </c>
      <c r="K13" s="104" t="str">
        <f aca="false">"sel"&amp;MID($B13,2,5)</f>
        <v>sel009</v>
      </c>
      <c r="L13" s="105"/>
      <c r="M13" s="105"/>
      <c r="N13" s="105"/>
      <c r="O13" s="95" t="s">
        <v>931</v>
      </c>
      <c r="P13" s="105"/>
      <c r="Q13" s="105"/>
      <c r="R13" s="95" t="n">
        <v>-1</v>
      </c>
      <c r="S13" s="66"/>
      <c r="T13" s="66"/>
      <c r="U13" s="106" t="str">
        <f aca="false">J13</f>
        <v>sel009</v>
      </c>
      <c r="V13" s="103" t="s">
        <v>979</v>
      </c>
      <c r="W13" s="103" t="s">
        <v>1058</v>
      </c>
      <c r="X13" s="103" t="s">
        <v>1059</v>
      </c>
      <c r="Y13" s="103" t="s">
        <v>1060</v>
      </c>
      <c r="Z13" s="103" t="s">
        <v>1061</v>
      </c>
      <c r="AA13" s="103" t="s">
        <v>1062</v>
      </c>
      <c r="AB13" s="103"/>
      <c r="AC13" s="103"/>
      <c r="AD13" s="103"/>
      <c r="AE13" s="103"/>
      <c r="AF13" s="103"/>
      <c r="AG13" s="103"/>
      <c r="AH13" s="103"/>
      <c r="AI13" s="103"/>
      <c r="AJ13" s="103"/>
      <c r="AK13" s="103"/>
      <c r="AL13" s="104" t="s">
        <v>979</v>
      </c>
      <c r="AM13" s="107" t="s">
        <v>1058</v>
      </c>
      <c r="AN13" s="107" t="s">
        <v>1059</v>
      </c>
      <c r="AO13" s="107" t="s">
        <v>1060</v>
      </c>
      <c r="AP13" s="107" t="s">
        <v>1061</v>
      </c>
      <c r="AQ13" s="107" t="s">
        <v>1062</v>
      </c>
      <c r="AR13" s="104"/>
      <c r="AS13" s="104"/>
      <c r="AT13" s="104"/>
      <c r="AU13" s="104"/>
      <c r="AV13" s="104"/>
      <c r="AW13" s="104"/>
      <c r="AX13" s="104"/>
      <c r="AY13" s="104"/>
      <c r="AZ13" s="104"/>
      <c r="BA13" s="104"/>
      <c r="BB13" s="66"/>
      <c r="BC13" s="103" t="n">
        <v>-1</v>
      </c>
      <c r="BD13" s="103" t="n">
        <v>3</v>
      </c>
      <c r="BE13" s="103" t="n">
        <v>7</v>
      </c>
      <c r="BF13" s="103" t="n">
        <v>13</v>
      </c>
      <c r="BG13" s="103" t="n">
        <v>30</v>
      </c>
      <c r="BH13" s="103" t="n">
        <v>20</v>
      </c>
      <c r="BI13" s="103"/>
      <c r="BJ13" s="103"/>
      <c r="BK13" s="103"/>
      <c r="BL13" s="103"/>
      <c r="BM13" s="103"/>
      <c r="BN13" s="103"/>
      <c r="BO13" s="103"/>
      <c r="BP13" s="103"/>
      <c r="BQ13" s="103"/>
      <c r="BR13" s="103"/>
      <c r="BS13" s="104" t="n">
        <v>-1</v>
      </c>
      <c r="BT13" s="104" t="n">
        <v>3</v>
      </c>
      <c r="BU13" s="104" t="n">
        <v>7</v>
      </c>
      <c r="BV13" s="104" t="n">
        <v>13</v>
      </c>
      <c r="BW13" s="104" t="n">
        <v>30</v>
      </c>
      <c r="BX13" s="104"/>
      <c r="BY13" s="104"/>
      <c r="BZ13" s="104"/>
      <c r="CA13" s="104"/>
      <c r="CB13" s="104"/>
      <c r="CC13" s="104"/>
      <c r="CD13" s="104"/>
      <c r="CE13" s="104"/>
      <c r="CF13" s="104"/>
      <c r="CG13" s="104"/>
      <c r="CH13" s="104"/>
      <c r="CJ13" s="95"/>
      <c r="CK13" s="95"/>
      <c r="CL13" s="95"/>
      <c r="CM13" s="95"/>
      <c r="CN13" s="95"/>
      <c r="CO13" s="95"/>
      <c r="CP13" s="95"/>
      <c r="CQ13" s="95"/>
      <c r="CR13" s="95"/>
      <c r="CS13" s="95"/>
      <c r="CT13" s="95"/>
      <c r="CU13" s="95"/>
      <c r="CV13" s="95"/>
      <c r="CW13" s="95"/>
      <c r="CX13" s="95"/>
      <c r="CY13" s="95"/>
      <c r="CZ13" s="95"/>
      <c r="DA13" s="95"/>
      <c r="DB13" s="95"/>
      <c r="DC13" s="95"/>
      <c r="DD13" s="95"/>
      <c r="DE13" s="95"/>
      <c r="DF13" s="95"/>
      <c r="DG13" s="95"/>
      <c r="DL13" s="108"/>
      <c r="DM13" s="108"/>
      <c r="DN13" s="109" t="str">
        <f aca="false">"D6.scenario.defInput["""&amp;B13&amp;"""] = {  "&amp;E$2&amp;":"""&amp;E13&amp;""",  "&amp;C$2&amp;":"""&amp;CLEAN(SUBSTITUTE(C13,"""",""""))&amp;""",  "&amp;F$2&amp;":"""&amp;F13&amp;""",  "&amp;H$2&amp;":"""&amp;CLEAN(SUBSTITUTE(H13,"""",""""))&amp;""", "&amp;J$2&amp;":"""&amp;J13&amp;""", "&amp;L$2&amp;":"""&amp;L13&amp;""", "&amp;M$2&amp;":"""&amp;M13&amp;""", "&amp;N$2&amp;":"""&amp;N13&amp;""", "&amp;O$2&amp;":"""&amp;O13&amp;""", "&amp;P$2&amp;":"""&amp;P13&amp;""", "&amp;Q$2&amp;":"""&amp;Q13&amp;""", "&amp;R$2&amp;":"""&amp;R13&amp;""", d11t:"""&amp;CJ13&amp;""",d11p:"""&amp;CK13&amp;""",d12t:"""&amp;CL13&amp;""",d12p:"""&amp;CM13&amp;""",d13t:"""&amp;CN13&amp;""",d13p:"""&amp;CO13&amp;""",d1w:"""&amp;CP13&amp;""",d1d:"""&amp;CQ13&amp;""", d21t:"""&amp;CR13&amp;""",d21p:"""&amp;CS13&amp;""",d22t:"""&amp;CT13&amp;""",d22p:"""&amp;CU13&amp;""",d23t:"""&amp;CV13&amp;""",d23p:"""&amp;CW13&amp;""",d2w:"""&amp;CX13&amp;""",d2d:"""&amp;CY13&amp;""", d31t:"""&amp;CZ13&amp;""",d31p:"""&amp;DA13&amp;""",d32t:"""&amp;DB13&amp;""",d32p:"""&amp;DC13&amp;""",d33t:"""&amp;DD13&amp;""",d33p:"""&amp;DE13&amp;""",d3w:"""&amp;DF13&amp;""",d3d:"""&amp;DG13&amp;"""}; "</f>
        <v>D6.scenario.defInput["i009"] = {  cons:"consTotal",  title:"築年数",  unit:"年",  text:"家を建ててからおよそ何年ですか", inputType:"sel009", right:"", postfix:"", nodata:"", varType:"Number", min:"", max:"", defaultValue:"-1", d11t:"",d11p:"",d12t:"",d12p:"",d13t:"",d13p:"",d1w:"",d1d:"", d21t:"",d21p:"",d22t:"",d22p:"",d23t:"",d23p:"",d2w:"",d2d:"", d31t:"",d31p:"",d32t:"",d32p:"",d33t:"",d33p:"",d3w:"",d3d:""}; </v>
      </c>
      <c r="DO13" s="110"/>
      <c r="DP13" s="110"/>
      <c r="DQ13" s="111" t="str">
        <f aca="false">"D6.scenario.defSelectValue["""&amp;U13&amp;"""]= [ """&amp;CLEAN(V13)&amp;""", """&amp;CLEAN(W13)&amp;IF(X13="","",""", """&amp;CLEAN(X13))&amp;IF(Y13="","",""", """&amp;CLEAN(Y13))&amp;IF(Z13="","",""", """&amp;CLEAN(Z13))&amp;IF(AA13="","",""", """&amp;CLEAN(AA13))&amp;IF(AB13="","",""", """&amp;CLEAN(AB13))&amp;IF(AC13="","",""", """&amp;CLEAN(AC13))&amp;IF(AD13="","",""", """&amp;CLEAN(AD13))&amp;IF(AE13="","",""", """&amp;CLEAN(AE13))&amp;IF(AF13="","",""", """&amp;CLEAN(AF13))&amp;IF(AG13="","",""", """&amp;CLEAN(AG13))&amp;IF(AH13="","",""", """&amp;CLEAN(AH13))&amp;IF(AI13="","",""", """&amp;CLEAN(AI13))&amp;IF(AJ13="","",""", """&amp;CLEAN(AJ13))&amp;IF(AK13="","",""", """&amp;CLEAN(AK13))&amp;""" ];"</f>
        <v>D6.scenario.defSelectValue["sel009"]= [ "選んで下さい", "5年未満", "5-10年未満", "10-20年未満", "20年以上", "わからない" ];</v>
      </c>
      <c r="DR13" s="112"/>
      <c r="DS13" s="112"/>
      <c r="DT13" s="112" t="str">
        <f aca="false">"D6.scenario.defSelectData['"&amp;U13&amp;"']= [ '"&amp;BC13&amp;"', '"&amp;BD13&amp;"', '"&amp;BE13&amp;IF(BF13="","","', '"&amp;BF13)&amp;IF(BG13="","","', '"&amp;BG13)&amp;IF(BH13="","","', '"&amp;BH13)&amp;IF(BI13="","","', '"&amp;BI13)&amp;IF(BJ13="","","', '"&amp;BJ13)&amp;IF(BK13="","","', '"&amp;BK13)&amp;IF(BL13="","","', '"&amp;BL13)&amp;IF(BM13="","","', '"&amp;BM13)&amp;IF(BN13="","","', '"&amp;BN13)&amp;IF(BO13="","","', '"&amp;BO13)&amp;IF(BP13="","","', '"&amp;BP13)&amp;IF(BQ13="","","', '"&amp;BQ13)&amp;IF(BR13="","","', '"&amp;BR13)&amp;"' ];"</f>
        <v>D6.scenario.defSelectData['sel009']= [ '-1', '3', '7', '13', '30', '20' ];</v>
      </c>
    </row>
    <row r="14" s="88" customFormat="true" ht="43.5" hidden="false" customHeight="true" outlineLevel="0" collapsed="false">
      <c r="A14" s="66"/>
      <c r="B14" s="95" t="s">
        <v>1063</v>
      </c>
      <c r="C14" s="103" t="s">
        <v>1064</v>
      </c>
      <c r="D14" s="104" t="s">
        <v>1064</v>
      </c>
      <c r="E14" s="95" t="s">
        <v>224</v>
      </c>
      <c r="F14" s="113"/>
      <c r="G14" s="114"/>
      <c r="H14" s="103" t="s">
        <v>1065</v>
      </c>
      <c r="I14" s="104" t="s">
        <v>1065</v>
      </c>
      <c r="J14" s="103" t="str">
        <f aca="false">IF(K14="","",K14)</f>
        <v>sel021</v>
      </c>
      <c r="K14" s="104" t="str">
        <f aca="false">"sel"&amp;MID($B14,2,5)</f>
        <v>sel021</v>
      </c>
      <c r="L14" s="105"/>
      <c r="M14" s="105"/>
      <c r="N14" s="105"/>
      <c r="O14" s="95" t="s">
        <v>931</v>
      </c>
      <c r="P14" s="105"/>
      <c r="Q14" s="105"/>
      <c r="R14" s="95" t="n">
        <v>-1</v>
      </c>
      <c r="S14" s="66"/>
      <c r="T14" s="66"/>
      <c r="U14" s="106"/>
      <c r="V14" s="103"/>
      <c r="W14" s="103"/>
      <c r="X14" s="103"/>
      <c r="Y14" s="103"/>
      <c r="Z14" s="103"/>
      <c r="AA14" s="103"/>
      <c r="AB14" s="103"/>
      <c r="AC14" s="103"/>
      <c r="AD14" s="103"/>
      <c r="AE14" s="103"/>
      <c r="AF14" s="103"/>
      <c r="AG14" s="103"/>
      <c r="AH14" s="103"/>
      <c r="AI14" s="103"/>
      <c r="AJ14" s="103"/>
      <c r="AK14" s="103"/>
      <c r="AL14" s="104"/>
      <c r="AM14" s="104"/>
      <c r="AN14" s="104"/>
      <c r="AO14" s="104"/>
      <c r="AP14" s="104"/>
      <c r="AQ14" s="104"/>
      <c r="AR14" s="104"/>
      <c r="AS14" s="104"/>
      <c r="AT14" s="104"/>
      <c r="AU14" s="104"/>
      <c r="AV14" s="104"/>
      <c r="AW14" s="104"/>
      <c r="AX14" s="104"/>
      <c r="AY14" s="104"/>
      <c r="AZ14" s="104"/>
      <c r="BA14" s="104"/>
      <c r="BB14" s="66"/>
      <c r="BC14" s="103"/>
      <c r="BD14" s="103"/>
      <c r="BE14" s="103"/>
      <c r="BF14" s="103"/>
      <c r="BG14" s="103"/>
      <c r="BH14" s="103"/>
      <c r="BI14" s="103"/>
      <c r="BJ14" s="103"/>
      <c r="BK14" s="103"/>
      <c r="BL14" s="103"/>
      <c r="BM14" s="103"/>
      <c r="BN14" s="103"/>
      <c r="BO14" s="103"/>
      <c r="BP14" s="103"/>
      <c r="BQ14" s="103"/>
      <c r="BR14" s="103"/>
      <c r="BS14" s="104"/>
      <c r="BT14" s="104"/>
      <c r="BU14" s="104"/>
      <c r="BV14" s="104"/>
      <c r="BW14" s="104"/>
      <c r="BX14" s="104"/>
      <c r="BY14" s="104"/>
      <c r="BZ14" s="104"/>
      <c r="CA14" s="104"/>
      <c r="CB14" s="104"/>
      <c r="CC14" s="104"/>
      <c r="CD14" s="104"/>
      <c r="CE14" s="104"/>
      <c r="CF14" s="104"/>
      <c r="CG14" s="104"/>
      <c r="CH14" s="104"/>
      <c r="CJ14" s="95"/>
      <c r="CK14" s="95"/>
      <c r="CL14" s="95"/>
      <c r="CM14" s="95"/>
      <c r="CN14" s="95"/>
      <c r="CO14" s="95"/>
      <c r="CP14" s="95"/>
      <c r="CQ14" s="95"/>
      <c r="CR14" s="95"/>
      <c r="CS14" s="95"/>
      <c r="CT14" s="95"/>
      <c r="CU14" s="95"/>
      <c r="CV14" s="95"/>
      <c r="CW14" s="95"/>
      <c r="CX14" s="95"/>
      <c r="CY14" s="95"/>
      <c r="CZ14" s="95"/>
      <c r="DA14" s="95"/>
      <c r="DB14" s="95"/>
      <c r="DC14" s="95"/>
      <c r="DD14" s="95"/>
      <c r="DE14" s="95"/>
      <c r="DF14" s="95"/>
      <c r="DG14" s="95"/>
      <c r="DL14" s="108"/>
      <c r="DM14" s="108"/>
      <c r="DN14" s="109" t="str">
        <f aca="false">"D6.scenario.defInput["""&amp;B14&amp;"""] = {  "&amp;E$2&amp;":"""&amp;E14&amp;""",  "&amp;C$2&amp;":"""&amp;CLEAN(SUBSTITUTE(C14,"""",""""))&amp;""",  "&amp;F$2&amp;":"""&amp;F14&amp;""",  "&amp;H$2&amp;":"""&amp;CLEAN(SUBSTITUTE(H14,"""",""""))&amp;""", "&amp;J$2&amp;":"""&amp;J14&amp;""", "&amp;L$2&amp;":"""&amp;L14&amp;""", "&amp;M$2&amp;":"""&amp;M14&amp;""", "&amp;N$2&amp;":"""&amp;N14&amp;""", "&amp;O$2&amp;":"""&amp;O14&amp;""", "&amp;P$2&amp;":"""&amp;P14&amp;""", "&amp;Q$2&amp;":"""&amp;Q14&amp;""", "&amp;R$2&amp;":"""&amp;R14&amp;""", d11t:"""&amp;CJ14&amp;""",d11p:"""&amp;CK14&amp;""",d12t:"""&amp;CL14&amp;""",d12p:"""&amp;CM14&amp;""",d13t:"""&amp;CN14&amp;""",d13p:"""&amp;CO14&amp;""",d1w:"""&amp;CP14&amp;""",d1d:"""&amp;CQ14&amp;""", d21t:"""&amp;CR14&amp;""",d21p:"""&amp;CS14&amp;""",d22t:"""&amp;CT14&amp;""",d22p:"""&amp;CU14&amp;""",d23t:"""&amp;CV14&amp;""",d23p:"""&amp;CW14&amp;""",d2w:"""&amp;CX14&amp;""",d2d:"""&amp;CY14&amp;""", d31t:"""&amp;CZ14&amp;""",d31p:"""&amp;DA14&amp;""",d32t:"""&amp;DB14&amp;""",d32p:"""&amp;DC14&amp;""",d33t:"""&amp;DD14&amp;""",d33p:"""&amp;DE14&amp;""",d3w:"""&amp;DF14&amp;""",d3d:"""&amp;DG14&amp;"""}; "</f>
        <v>D6.scenario.defInput["i021"] = {  cons:"consTotal",  title:"都道府県",  unit:"",  text:"お住まいの都道府県を選んで下さい。", inputType:"sel021", right:"", postfix:"", nodata:"", varType:"Number", min:"", max:"", defaultValue:"-1", d11t:"",d11p:"",d12t:"",d12p:"",d13t:"",d13p:"",d1w:"",d1d:"", d21t:"",d21p:"",d22t:"",d22p:"",d23t:"",d23p:"",d2w:"",d2d:"", d31t:"",d31p:"",d32t:"",d32p:"",d33t:"",d33p:"",d3w:"",d3d:""}; </v>
      </c>
      <c r="DO14" s="110"/>
      <c r="DP14" s="110"/>
      <c r="DQ14" s="111" t="str">
        <f aca="false">"D6.scenario.defSelectValue["""&amp;U14&amp;"""]= [ """&amp;CLEAN(V14)&amp;""", """&amp;CLEAN(W14)&amp;IF(X14="","",""", """&amp;CLEAN(X14))&amp;IF(Y14="","",""", """&amp;CLEAN(Y14))&amp;IF(Z14="","",""", """&amp;CLEAN(Z14))&amp;IF(AA14="","",""", """&amp;CLEAN(AA14))&amp;IF(AB14="","",""", """&amp;CLEAN(AB14))&amp;IF(AC14="","",""", """&amp;CLEAN(AC14))&amp;IF(AD14="","",""", """&amp;CLEAN(AD14))&amp;IF(AE14="","",""", """&amp;CLEAN(AE14))&amp;IF(AF14="","",""", """&amp;CLEAN(AF14))&amp;IF(AG14="","",""", """&amp;CLEAN(AG14))&amp;IF(AH14="","",""", """&amp;CLEAN(AH14))&amp;IF(AI14="","",""", """&amp;CLEAN(AI14))&amp;IF(AJ14="","",""", """&amp;CLEAN(AJ14))&amp;IF(AK14="","",""", """&amp;CLEAN(AK14))&amp;""" ];"</f>
        <v>D6.scenario.defSelectValue[""]= [ "", "" ];</v>
      </c>
      <c r="DR14" s="112"/>
      <c r="DS14" s="112"/>
      <c r="DT14" s="112" t="str">
        <f aca="false">"D6.scenario.defSelectData['"&amp;U14&amp;"']= [ '"&amp;BC14&amp;"', '"&amp;BD14&amp;"', '"&amp;BE14&amp;IF(BF14="","","', '"&amp;BF14)&amp;IF(BG14="","","', '"&amp;BG14)&amp;IF(BH14="","","', '"&amp;BH14)&amp;IF(BI14="","","', '"&amp;BI14)&amp;IF(BJ14="","","', '"&amp;BJ14)&amp;IF(BK14="","","', '"&amp;BK14)&amp;IF(BL14="","","', '"&amp;BL14)&amp;IF(BM14="","","', '"&amp;BM14)&amp;IF(BN14="","","', '"&amp;BN14)&amp;IF(BO14="","","', '"&amp;BO14)&amp;IF(BP14="","","', '"&amp;BP14)&amp;IF(BQ14="","","', '"&amp;BQ14)&amp;IF(BR14="","","', '"&amp;BR14)&amp;"' ];"</f>
        <v>D6.scenario.defSelectData['']= [ '', '', '' ];</v>
      </c>
    </row>
    <row r="15" s="88" customFormat="true" ht="43.5" hidden="false" customHeight="true" outlineLevel="0" collapsed="false">
      <c r="A15" s="66"/>
      <c r="B15" s="95" t="s">
        <v>1066</v>
      </c>
      <c r="C15" s="103" t="s">
        <v>1067</v>
      </c>
      <c r="D15" s="104" t="s">
        <v>1067</v>
      </c>
      <c r="E15" s="95" t="s">
        <v>224</v>
      </c>
      <c r="F15" s="113"/>
      <c r="G15" s="114"/>
      <c r="H15" s="103" t="s">
        <v>1068</v>
      </c>
      <c r="I15" s="104" t="s">
        <v>1068</v>
      </c>
      <c r="J15" s="103" t="str">
        <f aca="false">IF(K15="","",K15)</f>
        <v>sel022</v>
      </c>
      <c r="K15" s="104" t="str">
        <f aca="false">"sel"&amp;MID($B15,2,5)</f>
        <v>sel022</v>
      </c>
      <c r="L15" s="105"/>
      <c r="M15" s="105"/>
      <c r="N15" s="105"/>
      <c r="O15" s="95" t="s">
        <v>931</v>
      </c>
      <c r="P15" s="105"/>
      <c r="Q15" s="105"/>
      <c r="R15" s="95" t="n">
        <v>-1</v>
      </c>
      <c r="S15" s="66"/>
      <c r="T15" s="66"/>
      <c r="U15" s="106"/>
      <c r="V15" s="103"/>
      <c r="W15" s="103"/>
      <c r="X15" s="103"/>
      <c r="Y15" s="103"/>
      <c r="Z15" s="103"/>
      <c r="AA15" s="103"/>
      <c r="AB15" s="103"/>
      <c r="AC15" s="103"/>
      <c r="AD15" s="103"/>
      <c r="AE15" s="103"/>
      <c r="AF15" s="103"/>
      <c r="AG15" s="103"/>
      <c r="AH15" s="103"/>
      <c r="AI15" s="103"/>
      <c r="AJ15" s="103"/>
      <c r="AK15" s="103"/>
      <c r="AL15" s="104"/>
      <c r="AM15" s="104"/>
      <c r="AN15" s="104"/>
      <c r="AO15" s="104"/>
      <c r="AP15" s="104"/>
      <c r="AQ15" s="104"/>
      <c r="AR15" s="104"/>
      <c r="AS15" s="104"/>
      <c r="AT15" s="104"/>
      <c r="AU15" s="104"/>
      <c r="AV15" s="104"/>
      <c r="AW15" s="104"/>
      <c r="AX15" s="104"/>
      <c r="AY15" s="104"/>
      <c r="AZ15" s="104"/>
      <c r="BA15" s="104"/>
      <c r="BB15" s="66"/>
      <c r="BC15" s="103"/>
      <c r="BD15" s="103"/>
      <c r="BE15" s="103"/>
      <c r="BF15" s="103"/>
      <c r="BG15" s="103"/>
      <c r="BH15" s="103"/>
      <c r="BI15" s="103"/>
      <c r="BJ15" s="103"/>
      <c r="BK15" s="103"/>
      <c r="BL15" s="103"/>
      <c r="BM15" s="103"/>
      <c r="BN15" s="103"/>
      <c r="BO15" s="103"/>
      <c r="BP15" s="103"/>
      <c r="BQ15" s="103"/>
      <c r="BR15" s="103"/>
      <c r="BS15" s="104"/>
      <c r="BT15" s="104"/>
      <c r="BU15" s="104"/>
      <c r="BV15" s="104"/>
      <c r="BW15" s="104"/>
      <c r="BX15" s="104"/>
      <c r="BY15" s="104"/>
      <c r="BZ15" s="104"/>
      <c r="CA15" s="104"/>
      <c r="CB15" s="104"/>
      <c r="CC15" s="104"/>
      <c r="CD15" s="104"/>
      <c r="CE15" s="104"/>
      <c r="CF15" s="104"/>
      <c r="CG15" s="104"/>
      <c r="CH15" s="104"/>
      <c r="CJ15" s="95"/>
      <c r="CK15" s="95"/>
      <c r="CL15" s="95"/>
      <c r="CM15" s="95"/>
      <c r="CN15" s="95"/>
      <c r="CO15" s="95"/>
      <c r="CP15" s="95"/>
      <c r="CQ15" s="95"/>
      <c r="CR15" s="95"/>
      <c r="CS15" s="95"/>
      <c r="CT15" s="95"/>
      <c r="CU15" s="95"/>
      <c r="CV15" s="95"/>
      <c r="CW15" s="95"/>
      <c r="CX15" s="95"/>
      <c r="CY15" s="95"/>
      <c r="CZ15" s="95"/>
      <c r="DA15" s="95"/>
      <c r="DB15" s="95"/>
      <c r="DC15" s="95"/>
      <c r="DD15" s="95"/>
      <c r="DE15" s="95"/>
      <c r="DF15" s="95"/>
      <c r="DG15" s="95"/>
      <c r="DL15" s="108"/>
      <c r="DM15" s="108"/>
      <c r="DN15" s="109" t="str">
        <f aca="false">"D6.scenario.defInput["""&amp;B15&amp;"""] = {  "&amp;E$2&amp;":"""&amp;E15&amp;""",  "&amp;C$2&amp;":"""&amp;CLEAN(SUBSTITUTE(C15,"""",""""))&amp;""",  "&amp;F$2&amp;":"""&amp;F15&amp;""",  "&amp;H$2&amp;":"""&amp;CLEAN(SUBSTITUTE(H15,"""",""""))&amp;""", "&amp;J$2&amp;":"""&amp;J15&amp;""", "&amp;L$2&amp;":"""&amp;L15&amp;""", "&amp;M$2&amp;":"""&amp;M15&amp;""", "&amp;N$2&amp;":"""&amp;N15&amp;""", "&amp;O$2&amp;":"""&amp;O15&amp;""", "&amp;P$2&amp;":"""&amp;P15&amp;""", "&amp;Q$2&amp;":"""&amp;Q15&amp;""", "&amp;R$2&amp;":"""&amp;R15&amp;""", d11t:"""&amp;CJ15&amp;""",d11p:"""&amp;CK15&amp;""",d12t:"""&amp;CL15&amp;""",d12p:"""&amp;CM15&amp;""",d13t:"""&amp;CN15&amp;""",d13p:"""&amp;CO15&amp;""",d1w:"""&amp;CP15&amp;""",d1d:"""&amp;CQ15&amp;""", d21t:"""&amp;CR15&amp;""",d21p:"""&amp;CS15&amp;""",d22t:"""&amp;CT15&amp;""",d22p:"""&amp;CU15&amp;""",d23t:"""&amp;CV15&amp;""",d23p:"""&amp;CW15&amp;""",d2w:"""&amp;CX15&amp;""",d2d:"""&amp;CY15&amp;""", d31t:"""&amp;CZ15&amp;""",d31p:"""&amp;DA15&amp;""",d32t:"""&amp;DB15&amp;""",d32p:"""&amp;DC15&amp;""",d33t:"""&amp;DD15&amp;""",d33p:"""&amp;DE15&amp;""",d3w:"""&amp;DF15&amp;""",d3d:"""&amp;DG15&amp;"""}; "</f>
        <v>D6.scenario.defInput["i022"] = {  cons:"consTotal",  title:"詳細地域",  unit:"",  text:"都道府県内の気候が違う場合の地域", inputType:"sel022", right:"", postfix:"", nodata:"", varType:"Number", min:"", max:"", defaultValue:"-1", d11t:"",d11p:"",d12t:"",d12p:"",d13t:"",d13p:"",d1w:"",d1d:"", d21t:"",d21p:"",d22t:"",d22p:"",d23t:"",d23p:"",d2w:"",d2d:"", d31t:"",d31p:"",d32t:"",d32p:"",d33t:"",d33p:"",d3w:"",d3d:""}; </v>
      </c>
      <c r="DO15" s="110"/>
      <c r="DP15" s="110"/>
      <c r="DQ15" s="111" t="str">
        <f aca="false">"D6.scenario.defSelectValue["""&amp;U15&amp;"""]= [ """&amp;CLEAN(V15)&amp;""", """&amp;CLEAN(W15)&amp;IF(X15="","",""", """&amp;CLEAN(X15))&amp;IF(Y15="","",""", """&amp;CLEAN(Y15))&amp;IF(Z15="","",""", """&amp;CLEAN(Z15))&amp;IF(AA15="","",""", """&amp;CLEAN(AA15))&amp;IF(AB15="","",""", """&amp;CLEAN(AB15))&amp;IF(AC15="","",""", """&amp;CLEAN(AC15))&amp;IF(AD15="","",""", """&amp;CLEAN(AD15))&amp;IF(AE15="","",""", """&amp;CLEAN(AE15))&amp;IF(AF15="","",""", """&amp;CLEAN(AF15))&amp;IF(AG15="","",""", """&amp;CLEAN(AG15))&amp;IF(AH15="","",""", """&amp;CLEAN(AH15))&amp;IF(AI15="","",""", """&amp;CLEAN(AI15))&amp;IF(AJ15="","",""", """&amp;CLEAN(AJ15))&amp;IF(AK15="","",""", """&amp;CLEAN(AK15))&amp;""" ];"</f>
        <v>D6.scenario.defSelectValue[""]= [ "", "" ];</v>
      </c>
      <c r="DR15" s="112"/>
      <c r="DS15" s="112"/>
      <c r="DT15" s="112" t="str">
        <f aca="false">"D6.scenario.defSelectData['"&amp;U15&amp;"']= [ '"&amp;BC15&amp;"', '"&amp;BD15&amp;"', '"&amp;BE15&amp;IF(BF15="","","', '"&amp;BF15)&amp;IF(BG15="","","', '"&amp;BG15)&amp;IF(BH15="","","', '"&amp;BH15)&amp;IF(BI15="","","', '"&amp;BI15)&amp;IF(BJ15="","","', '"&amp;BJ15)&amp;IF(BK15="","","', '"&amp;BK15)&amp;IF(BL15="","","', '"&amp;BL15)&amp;IF(BM15="","","', '"&amp;BM15)&amp;IF(BN15="","","', '"&amp;BN15)&amp;IF(BO15="","","', '"&amp;BO15)&amp;IF(BP15="","","', '"&amp;BP15)&amp;IF(BQ15="","","', '"&amp;BQ15)&amp;IF(BR15="","","', '"&amp;BR15)&amp;"' ];"</f>
        <v>D6.scenario.defSelectData['']= [ '', '', '' ];</v>
      </c>
    </row>
    <row r="16" s="88" customFormat="true" ht="43.5" hidden="false" customHeight="true" outlineLevel="0" collapsed="false">
      <c r="A16" s="66"/>
      <c r="B16" s="95" t="s">
        <v>1069</v>
      </c>
      <c r="C16" s="103" t="s">
        <v>1070</v>
      </c>
      <c r="D16" s="104" t="s">
        <v>1070</v>
      </c>
      <c r="E16" s="95" t="s">
        <v>224</v>
      </c>
      <c r="F16" s="113"/>
      <c r="G16" s="114"/>
      <c r="H16" s="103" t="s">
        <v>1071</v>
      </c>
      <c r="I16" s="104" t="s">
        <v>1071</v>
      </c>
      <c r="J16" s="103" t="str">
        <f aca="false">IF(K16="","",K16)</f>
        <v>sel023</v>
      </c>
      <c r="K16" s="104" t="str">
        <f aca="false">"sel"&amp;MID($B16,2,5)</f>
        <v>sel023</v>
      </c>
      <c r="L16" s="105"/>
      <c r="M16" s="105"/>
      <c r="N16" s="105"/>
      <c r="O16" s="95" t="s">
        <v>931</v>
      </c>
      <c r="P16" s="105"/>
      <c r="Q16" s="105"/>
      <c r="R16" s="95" t="n">
        <v>-1</v>
      </c>
      <c r="S16" s="66"/>
      <c r="T16" s="66"/>
      <c r="U16" s="106" t="str">
        <f aca="false">J16</f>
        <v>sel023</v>
      </c>
      <c r="V16" s="103" t="s">
        <v>979</v>
      </c>
      <c r="W16" s="103" t="s">
        <v>1072</v>
      </c>
      <c r="X16" s="103" t="s">
        <v>1073</v>
      </c>
      <c r="Y16" s="103" t="s">
        <v>1074</v>
      </c>
      <c r="Z16" s="103" t="s">
        <v>1075</v>
      </c>
      <c r="AA16" s="103"/>
      <c r="AB16" s="103"/>
      <c r="AC16" s="103"/>
      <c r="AD16" s="103"/>
      <c r="AE16" s="103"/>
      <c r="AF16" s="103"/>
      <c r="AG16" s="103"/>
      <c r="AH16" s="103"/>
      <c r="AI16" s="103"/>
      <c r="AJ16" s="103"/>
      <c r="AK16" s="103"/>
      <c r="AL16" s="104" t="s">
        <v>979</v>
      </c>
      <c r="AM16" s="107" t="s">
        <v>1072</v>
      </c>
      <c r="AN16" s="107" t="s">
        <v>1073</v>
      </c>
      <c r="AO16" s="107" t="s">
        <v>1074</v>
      </c>
      <c r="AP16" s="107" t="s">
        <v>1075</v>
      </c>
      <c r="AQ16" s="104"/>
      <c r="AR16" s="104"/>
      <c r="AS16" s="104"/>
      <c r="AT16" s="104"/>
      <c r="AU16" s="104"/>
      <c r="AV16" s="104"/>
      <c r="AW16" s="104"/>
      <c r="AX16" s="104"/>
      <c r="AY16" s="104"/>
      <c r="AZ16" s="104"/>
      <c r="BA16" s="104"/>
      <c r="BB16" s="66"/>
      <c r="BC16" s="103" t="n">
        <v>-1</v>
      </c>
      <c r="BD16" s="103" t="n">
        <v>1</v>
      </c>
      <c r="BE16" s="103" t="n">
        <v>2</v>
      </c>
      <c r="BF16" s="103" t="n">
        <v>3</v>
      </c>
      <c r="BG16" s="103" t="n">
        <v>4</v>
      </c>
      <c r="BH16" s="103"/>
      <c r="BI16" s="103"/>
      <c r="BJ16" s="103"/>
      <c r="BK16" s="103"/>
      <c r="BL16" s="103"/>
      <c r="BM16" s="103"/>
      <c r="BN16" s="103"/>
      <c r="BO16" s="103"/>
      <c r="BP16" s="103"/>
      <c r="BQ16" s="103"/>
      <c r="BR16" s="103"/>
      <c r="BS16" s="104" t="n">
        <v>-1</v>
      </c>
      <c r="BT16" s="104" t="n">
        <v>1</v>
      </c>
      <c r="BU16" s="104" t="n">
        <v>2</v>
      </c>
      <c r="BV16" s="104" t="n">
        <v>3</v>
      </c>
      <c r="BW16" s="104" t="n">
        <v>4</v>
      </c>
      <c r="BX16" s="104"/>
      <c r="BY16" s="104"/>
      <c r="BZ16" s="104"/>
      <c r="CA16" s="104"/>
      <c r="CB16" s="104"/>
      <c r="CC16" s="104"/>
      <c r="CD16" s="104"/>
      <c r="CE16" s="104"/>
      <c r="CF16" s="104"/>
      <c r="CG16" s="104"/>
      <c r="CH16" s="104"/>
      <c r="CJ16" s="95"/>
      <c r="CK16" s="95"/>
      <c r="CL16" s="95"/>
      <c r="CM16" s="95"/>
      <c r="CN16" s="95"/>
      <c r="CO16" s="95"/>
      <c r="CP16" s="95"/>
      <c r="CQ16" s="95"/>
      <c r="CR16" s="95"/>
      <c r="CS16" s="95"/>
      <c r="CT16" s="95"/>
      <c r="CU16" s="95"/>
      <c r="CV16" s="95"/>
      <c r="CW16" s="95"/>
      <c r="CX16" s="95"/>
      <c r="CY16" s="95"/>
      <c r="CZ16" s="95"/>
      <c r="DA16" s="95"/>
      <c r="DB16" s="95"/>
      <c r="DC16" s="95"/>
      <c r="DD16" s="95"/>
      <c r="DE16" s="95"/>
      <c r="DF16" s="95"/>
      <c r="DG16" s="95"/>
      <c r="DL16" s="108"/>
      <c r="DM16" s="108"/>
      <c r="DN16" s="109" t="str">
        <f aca="false">"D6.scenario.defInput["""&amp;B16&amp;"""] = {  "&amp;E$2&amp;":"""&amp;E16&amp;""",  "&amp;C$2&amp;":"""&amp;CLEAN(SUBSTITUTE(C16,"""",""""))&amp;""",  "&amp;F$2&amp;":"""&amp;F16&amp;""",  "&amp;H$2&amp;":"""&amp;CLEAN(SUBSTITUTE(H16,"""",""""))&amp;""", "&amp;J$2&amp;":"""&amp;J16&amp;""", "&amp;L$2&amp;":"""&amp;L16&amp;""", "&amp;M$2&amp;":"""&amp;M16&amp;""", "&amp;N$2&amp;":"""&amp;N16&amp;""", "&amp;O$2&amp;":"""&amp;O16&amp;""", "&amp;P$2&amp;":"""&amp;P16&amp;""", "&amp;Q$2&amp;":"""&amp;Q16&amp;""", "&amp;R$2&amp;":"""&amp;R16&amp;""", d11t:"""&amp;CJ16&amp;""",d11p:"""&amp;CK16&amp;""",d12t:"""&amp;CL16&amp;""",d12p:"""&amp;CM16&amp;""",d13t:"""&amp;CN16&amp;""",d13p:"""&amp;CO16&amp;""",d1w:"""&amp;CP16&amp;""",d1d:"""&amp;CQ16&amp;""", d21t:"""&amp;CR16&amp;""",d21p:"""&amp;CS16&amp;""",d22t:"""&amp;CT16&amp;""",d22p:"""&amp;CU16&amp;""",d23t:"""&amp;CV16&amp;""",d23p:"""&amp;CW16&amp;""",d2w:"""&amp;CX16&amp;""",d2d:"""&amp;CY16&amp;""", d31t:"""&amp;CZ16&amp;""",d31p:"""&amp;DA16&amp;""",d32t:"""&amp;DB16&amp;""",d32p:"""&amp;DC16&amp;""",d33t:"""&amp;DD16&amp;""",d33p:"""&amp;DE16&amp;""",d3w:"""&amp;DF16&amp;""",d3d:"""&amp;DG16&amp;"""}; "</f>
        <v>D6.scenario.defInput["i023"] = {  cons:"consTotal",  title:"公共交通の便利さ",  unit:"",  text:"お住いは公共交通の便はいい地域ですか", inputType:"sel023", right:"", postfix:"", nodata:"", varType:"Number", min:"", max:"", defaultValue:"-1", d11t:"",d11p:"",d12t:"",d12p:"",d13t:"",d13p:"",d1w:"",d1d:"", d21t:"",d21p:"",d22t:"",d22p:"",d23t:"",d23p:"",d2w:"",d2d:"", d31t:"",d31p:"",d32t:"",d32p:"",d33t:"",d33p:"",d3w:"",d3d:""}; </v>
      </c>
      <c r="DO16" s="110"/>
      <c r="DP16" s="110"/>
      <c r="DQ16" s="111" t="str">
        <f aca="false">"D6.scenario.defSelectValue["""&amp;U16&amp;"""]= [ """&amp;CLEAN(V16)&amp;""", """&amp;CLEAN(W16)&amp;IF(X16="","",""", """&amp;CLEAN(X16))&amp;IF(Y16="","",""", """&amp;CLEAN(Y16))&amp;IF(Z16="","",""", """&amp;CLEAN(Z16))&amp;IF(AA16="","",""", """&amp;CLEAN(AA16))&amp;IF(AB16="","",""", """&amp;CLEAN(AB16))&amp;IF(AC16="","",""", """&amp;CLEAN(AC16))&amp;IF(AD16="","",""", """&amp;CLEAN(AD16))&amp;IF(AE16="","",""", """&amp;CLEAN(AE16))&amp;IF(AF16="","",""", """&amp;CLEAN(AF16))&amp;IF(AG16="","",""", """&amp;CLEAN(AG16))&amp;IF(AH16="","",""", """&amp;CLEAN(AH16))&amp;IF(AI16="","",""", """&amp;CLEAN(AI16))&amp;IF(AJ16="","",""", """&amp;CLEAN(AJ16))&amp;IF(AK16="","",""", """&amp;CLEAN(AK16))&amp;""" ];"</f>
        <v>D6.scenario.defSelectValue["sel023"]= [ "選んで下さい", "便利", "どちらかと言えば便利", "どちらかといえば不便", "不便" ];</v>
      </c>
      <c r="DR16" s="112"/>
      <c r="DS16" s="112"/>
      <c r="DT16" s="112" t="str">
        <f aca="false">"D6.scenario.defSelectData['"&amp;U16&amp;"']= [ '"&amp;BC16&amp;"', '"&amp;BD16&amp;"', '"&amp;BE16&amp;IF(BF16="","","', '"&amp;BF16)&amp;IF(BG16="","","', '"&amp;BG16)&amp;IF(BH16="","","', '"&amp;BH16)&amp;IF(BI16="","","', '"&amp;BI16)&amp;IF(BJ16="","","', '"&amp;BJ16)&amp;IF(BK16="","","', '"&amp;BK16)&amp;IF(BL16="","","', '"&amp;BL16)&amp;IF(BM16="","","', '"&amp;BM16)&amp;IF(BN16="","","', '"&amp;BN16)&amp;IF(BO16="","","', '"&amp;BO16)&amp;IF(BP16="","","', '"&amp;BP16)&amp;IF(BQ16="","","', '"&amp;BQ16)&amp;IF(BR16="","","', '"&amp;BR16)&amp;"' ];"</f>
        <v>D6.scenario.defSelectData['sel023']= [ '-1', '1', '2', '3', '4' ];</v>
      </c>
    </row>
    <row r="17" s="88" customFormat="true" ht="43.5" hidden="false" customHeight="true" outlineLevel="0" collapsed="false">
      <c r="A17" s="66"/>
      <c r="B17" s="95" t="s">
        <v>1076</v>
      </c>
      <c r="C17" s="103" t="s">
        <v>1077</v>
      </c>
      <c r="D17" s="104" t="s">
        <v>1077</v>
      </c>
      <c r="E17" s="95" t="s">
        <v>224</v>
      </c>
      <c r="F17" s="103"/>
      <c r="G17" s="104"/>
      <c r="H17" s="103" t="s">
        <v>1078</v>
      </c>
      <c r="I17" s="104" t="s">
        <v>1077</v>
      </c>
      <c r="J17" s="103" t="str">
        <f aca="false">IF(K17="","",K17)</f>
        <v>sel041</v>
      </c>
      <c r="K17" s="104" t="str">
        <f aca="false">"sel"&amp;MID($B17,2,5)</f>
        <v>sel041</v>
      </c>
      <c r="L17" s="105"/>
      <c r="M17" s="105"/>
      <c r="N17" s="105"/>
      <c r="O17" s="95" t="s">
        <v>931</v>
      </c>
      <c r="P17" s="105"/>
      <c r="Q17" s="105"/>
      <c r="R17" s="95" t="n">
        <v>-1</v>
      </c>
      <c r="S17" s="66"/>
      <c r="T17" s="66"/>
      <c r="U17" s="106" t="str">
        <f aca="false">J17</f>
        <v>sel041</v>
      </c>
      <c r="V17" s="103" t="s">
        <v>979</v>
      </c>
      <c r="W17" s="103" t="s">
        <v>1079</v>
      </c>
      <c r="X17" s="103" t="s">
        <v>715</v>
      </c>
      <c r="Y17" s="103" t="s">
        <v>1080</v>
      </c>
      <c r="Z17" s="103" t="s">
        <v>1081</v>
      </c>
      <c r="AA17" s="103" t="s">
        <v>1082</v>
      </c>
      <c r="AB17" s="103" t="s">
        <v>1062</v>
      </c>
      <c r="AC17" s="103"/>
      <c r="AD17" s="103"/>
      <c r="AE17" s="103"/>
      <c r="AF17" s="103"/>
      <c r="AG17" s="103"/>
      <c r="AH17" s="103"/>
      <c r="AI17" s="103"/>
      <c r="AJ17" s="103"/>
      <c r="AK17" s="103"/>
      <c r="AL17" s="104" t="s">
        <v>979</v>
      </c>
      <c r="AM17" s="104" t="s">
        <v>1079</v>
      </c>
      <c r="AN17" s="107" t="s">
        <v>715</v>
      </c>
      <c r="AO17" s="107" t="s">
        <v>1080</v>
      </c>
      <c r="AP17" s="107" t="s">
        <v>1081</v>
      </c>
      <c r="AQ17" s="107" t="s">
        <v>1082</v>
      </c>
      <c r="AR17" s="107" t="s">
        <v>1062</v>
      </c>
      <c r="AS17" s="104"/>
      <c r="AT17" s="104"/>
      <c r="AU17" s="104"/>
      <c r="AV17" s="104"/>
      <c r="AW17" s="104"/>
      <c r="AX17" s="104"/>
      <c r="AY17" s="104"/>
      <c r="AZ17" s="104"/>
      <c r="BA17" s="104"/>
      <c r="BB17" s="66"/>
      <c r="BC17" s="103" t="n">
        <v>-1</v>
      </c>
      <c r="BD17" s="103" t="n">
        <v>1</v>
      </c>
      <c r="BE17" s="103" t="n">
        <v>2</v>
      </c>
      <c r="BF17" s="103" t="n">
        <v>3</v>
      </c>
      <c r="BG17" s="103" t="n">
        <v>4</v>
      </c>
      <c r="BH17" s="103" t="n">
        <v>5</v>
      </c>
      <c r="BI17" s="103" t="n">
        <v>6</v>
      </c>
      <c r="BJ17" s="103"/>
      <c r="BK17" s="103"/>
      <c r="BL17" s="103"/>
      <c r="BM17" s="103"/>
      <c r="BN17" s="103"/>
      <c r="BO17" s="103"/>
      <c r="BP17" s="103"/>
      <c r="BQ17" s="103"/>
      <c r="BR17" s="103"/>
      <c r="BS17" s="104" t="n">
        <v>-1</v>
      </c>
      <c r="BT17" s="104" t="n">
        <v>1</v>
      </c>
      <c r="BU17" s="104" t="n">
        <v>2</v>
      </c>
      <c r="BV17" s="104" t="n">
        <v>3</v>
      </c>
      <c r="BW17" s="104" t="n">
        <v>4</v>
      </c>
      <c r="BX17" s="104" t="n">
        <v>5</v>
      </c>
      <c r="BY17" s="104" t="n">
        <v>6</v>
      </c>
      <c r="BZ17" s="104"/>
      <c r="CA17" s="104"/>
      <c r="CB17" s="104"/>
      <c r="CC17" s="104"/>
      <c r="CD17" s="104"/>
      <c r="CE17" s="104"/>
      <c r="CF17" s="104"/>
      <c r="CG17" s="104"/>
      <c r="CH17" s="104"/>
      <c r="CJ17" s="95"/>
      <c r="CK17" s="95"/>
      <c r="CL17" s="95"/>
      <c r="CM17" s="95"/>
      <c r="CN17" s="95"/>
      <c r="CO17" s="95"/>
      <c r="CP17" s="95"/>
      <c r="CQ17" s="95"/>
      <c r="CR17" s="95" t="n">
        <v>5</v>
      </c>
      <c r="CS17" s="95" t="n">
        <v>0</v>
      </c>
      <c r="CT17" s="95" t="n">
        <v>4</v>
      </c>
      <c r="CU17" s="95" t="n">
        <v>1</v>
      </c>
      <c r="CV17" s="95" t="n">
        <v>0</v>
      </c>
      <c r="CW17" s="95" t="n">
        <v>2</v>
      </c>
      <c r="CX17" s="95" t="n">
        <v>2</v>
      </c>
      <c r="CY17" s="95" t="n">
        <v>0</v>
      </c>
      <c r="CZ17" s="95"/>
      <c r="DA17" s="95"/>
      <c r="DB17" s="95"/>
      <c r="DC17" s="95"/>
      <c r="DD17" s="95"/>
      <c r="DE17" s="95"/>
      <c r="DF17" s="95"/>
      <c r="DG17" s="95"/>
      <c r="DL17" s="108"/>
      <c r="DM17" s="108"/>
      <c r="DN17" s="109" t="str">
        <f aca="false">"D6.scenario.defInput["""&amp;B17&amp;"""] = {  "&amp;E$2&amp;":"""&amp;E17&amp;""",  "&amp;C$2&amp;":"""&amp;CLEAN(SUBSTITUTE(C17,"""",""""))&amp;""",  "&amp;F$2&amp;":"""&amp;F17&amp;""",  "&amp;H$2&amp;":"""&amp;CLEAN(SUBSTITUTE(H17,"""",""""))&amp;""", "&amp;J$2&amp;":"""&amp;J17&amp;""", "&amp;L$2&amp;":"""&amp;L17&amp;""", "&amp;M$2&amp;":"""&amp;M17&amp;""", "&amp;N$2&amp;":"""&amp;N17&amp;""", "&amp;O$2&amp;":"""&amp;O17&amp;""", "&amp;P$2&amp;":"""&amp;P17&amp;""", "&amp;Q$2&amp;":"""&amp;Q17&amp;""", "&amp;R$2&amp;":"""&amp;R17&amp;""", d11t:"""&amp;CJ17&amp;""",d11p:"""&amp;CK17&amp;""",d12t:"""&amp;CL17&amp;""",d12p:"""&amp;CM17&amp;""",d13t:"""&amp;CN17&amp;""",d13p:"""&amp;CO17&amp;""",d1w:"""&amp;CP17&amp;""",d1d:"""&amp;CQ17&amp;""", d21t:"""&amp;CR17&amp;""",d21p:"""&amp;CS17&amp;""",d22t:"""&amp;CT17&amp;""",d22p:"""&amp;CU17&amp;""",d23t:"""&amp;CV17&amp;""",d23p:"""&amp;CW17&amp;""",d2w:"""&amp;CX17&amp;""",d2d:"""&amp;CY17&amp;""", d31t:"""&amp;CZ17&amp;""",d31p:"""&amp;DA17&amp;""",d32t:"""&amp;DB17&amp;""",d32p:"""&amp;DC17&amp;""",d33t:"""&amp;DD17&amp;""",d33p:"""&amp;DE17&amp;""",d3w:"""&amp;DF17&amp;""",d3d:"""&amp;DG17&amp;"""}; "</f>
        <v>D6.scenario.defInput["i041"] = {  cons:"consTotal",  title:"窓の断熱性能",  unit:"",  text:"窓はどのような種類ですか", inputType:"sel041", right:"", postfix:"", nodata:"", varType:"Number", min:"", max:"", defaultValue:"-1", d11t:"",d11p:"",d12t:"",d12p:"",d13t:"",d13p:"",d1w:"",d1d:"", d21t:"5",d21p:"0",d22t:"4",d22p:"1",d23t:"0",d23p:"2",d2w:"2",d2d:"0", d31t:"",d31p:"",d32t:"",d32p:"",d33t:"",d33p:"",d3w:"",d3d:""}; </v>
      </c>
      <c r="DO17" s="110"/>
      <c r="DP17" s="110"/>
      <c r="DQ17" s="111" t="str">
        <f aca="false">"D6.scenario.defSelectValue["""&amp;U17&amp;"""]= [ """&amp;CLEAN(V17)&amp;""", """&amp;CLEAN(W17)&amp;IF(X17="","",""", """&amp;CLEAN(X17))&amp;IF(Y17="","",""", """&amp;CLEAN(Y17))&amp;IF(Z17="","",""", """&amp;CLEAN(Z17))&amp;IF(AA17="","",""", """&amp;CLEAN(AA17))&amp;IF(AB17="","",""", """&amp;CLEAN(AB17))&amp;IF(AC17="","",""", """&amp;CLEAN(AC17))&amp;IF(AD17="","",""", """&amp;CLEAN(AD17))&amp;IF(AE17="","",""", """&amp;CLEAN(AE17))&amp;IF(AF17="","",""", """&amp;CLEAN(AF17))&amp;IF(AG17="","",""", """&amp;CLEAN(AG17))&amp;IF(AH17="","",""", """&amp;CLEAN(AH17))&amp;IF(AI17="","",""", """&amp;CLEAN(AI17))&amp;IF(AJ17="","",""", """&amp;CLEAN(AJ17))&amp;IF(AK17="","",""", """&amp;CLEAN(AK17))&amp;""" ];"</f>
        <v>D6.scenario.defSelectValue["sel041"]= [ "選んで下さい", "樹脂枠三重ガラス", "樹脂枠low-Eガラス", "樹脂アルミ複合/樹脂枠二重ガラス", "アルミ枠二重ガラス", "アルミ枠単板ガラス", "わからない" ];</v>
      </c>
      <c r="DR17" s="112"/>
      <c r="DS17" s="112"/>
      <c r="DT17" s="112" t="str">
        <f aca="false">"D6.scenario.defSelectData['"&amp;U17&amp;"']= [ '"&amp;BC17&amp;"', '"&amp;BD17&amp;"', '"&amp;BE17&amp;IF(BF17="","","', '"&amp;BF17)&amp;IF(BG17="","","', '"&amp;BG17)&amp;IF(BH17="","","', '"&amp;BH17)&amp;IF(BI17="","","', '"&amp;BI17)&amp;IF(BJ17="","","', '"&amp;BJ17)&amp;IF(BK17="","","', '"&amp;BK17)&amp;IF(BL17="","","', '"&amp;BL17)&amp;IF(BM17="","","', '"&amp;BM17)&amp;IF(BN17="","","', '"&amp;BN17)&amp;IF(BO17="","","', '"&amp;BO17)&amp;IF(BP17="","","', '"&amp;BP17)&amp;IF(BQ17="","","', '"&amp;BQ17)&amp;IF(BR17="","","', '"&amp;BR17)&amp;"' ];"</f>
        <v>D6.scenario.defSelectData['sel041']= [ '-1', '1', '2', '3', '4', '5', '6' ];</v>
      </c>
    </row>
    <row r="18" s="88" customFormat="true" ht="43.5" hidden="false" customHeight="true" outlineLevel="0" collapsed="false">
      <c r="A18" s="66"/>
      <c r="B18" s="95" t="s">
        <v>1083</v>
      </c>
      <c r="C18" s="103" t="s">
        <v>1084</v>
      </c>
      <c r="D18" s="104" t="s">
        <v>1084</v>
      </c>
      <c r="E18" s="95" t="s">
        <v>224</v>
      </c>
      <c r="F18" s="103"/>
      <c r="G18" s="104"/>
      <c r="H18" s="103" t="s">
        <v>1085</v>
      </c>
      <c r="I18" s="104" t="s">
        <v>1086</v>
      </c>
      <c r="J18" s="103" t="str">
        <f aca="false">IF(K18="","",K18)</f>
        <v>sel042</v>
      </c>
      <c r="K18" s="104" t="str">
        <f aca="false">"sel"&amp;MID($B18,2,5)</f>
        <v>sel042</v>
      </c>
      <c r="L18" s="105"/>
      <c r="M18" s="105"/>
      <c r="N18" s="105"/>
      <c r="O18" s="95" t="s">
        <v>931</v>
      </c>
      <c r="P18" s="105"/>
      <c r="Q18" s="105"/>
      <c r="R18" s="95" t="n">
        <v>-1</v>
      </c>
      <c r="S18" s="66"/>
      <c r="T18" s="66"/>
      <c r="U18" s="106" t="str">
        <f aca="false">J18</f>
        <v>sel042</v>
      </c>
      <c r="V18" s="103" t="s">
        <v>979</v>
      </c>
      <c r="W18" s="103" t="s">
        <v>1087</v>
      </c>
      <c r="X18" s="103" t="s">
        <v>1088</v>
      </c>
      <c r="Y18" s="103" t="s">
        <v>1089</v>
      </c>
      <c r="Z18" s="103" t="s">
        <v>1090</v>
      </c>
      <c r="AA18" s="103" t="s">
        <v>1091</v>
      </c>
      <c r="AB18" s="103" t="s">
        <v>1092</v>
      </c>
      <c r="AC18" s="103" t="s">
        <v>1062</v>
      </c>
      <c r="AD18" s="103"/>
      <c r="AE18" s="103"/>
      <c r="AF18" s="103"/>
      <c r="AG18" s="103"/>
      <c r="AH18" s="103"/>
      <c r="AI18" s="103"/>
      <c r="AJ18" s="103"/>
      <c r="AK18" s="103"/>
      <c r="AL18" s="104" t="s">
        <v>979</v>
      </c>
      <c r="AM18" s="104" t="s">
        <v>1087</v>
      </c>
      <c r="AN18" s="104" t="s">
        <v>1088</v>
      </c>
      <c r="AO18" s="107" t="s">
        <v>1089</v>
      </c>
      <c r="AP18" s="107" t="s">
        <v>1090</v>
      </c>
      <c r="AQ18" s="107" t="s">
        <v>1091</v>
      </c>
      <c r="AR18" s="107" t="s">
        <v>1092</v>
      </c>
      <c r="AS18" s="107" t="s">
        <v>1062</v>
      </c>
      <c r="AT18" s="104"/>
      <c r="AU18" s="104"/>
      <c r="AV18" s="104"/>
      <c r="AW18" s="104"/>
      <c r="AX18" s="104"/>
      <c r="AY18" s="104"/>
      <c r="AZ18" s="104"/>
      <c r="BA18" s="104"/>
      <c r="BB18" s="66"/>
      <c r="BC18" s="103" t="n">
        <v>-1</v>
      </c>
      <c r="BD18" s="103" t="n">
        <v>200</v>
      </c>
      <c r="BE18" s="103" t="n">
        <v>150</v>
      </c>
      <c r="BF18" s="103" t="n">
        <v>100</v>
      </c>
      <c r="BG18" s="103" t="n">
        <v>50</v>
      </c>
      <c r="BH18" s="103" t="n">
        <v>30</v>
      </c>
      <c r="BI18" s="103" t="n">
        <v>10</v>
      </c>
      <c r="BJ18" s="103" t="n">
        <v>-1</v>
      </c>
      <c r="BK18" s="103"/>
      <c r="BL18" s="103"/>
      <c r="BM18" s="103"/>
      <c r="BN18" s="103"/>
      <c r="BO18" s="103"/>
      <c r="BP18" s="103"/>
      <c r="BQ18" s="103"/>
      <c r="BR18" s="103"/>
      <c r="BS18" s="104" t="n">
        <v>-1</v>
      </c>
      <c r="BT18" s="104" t="n">
        <v>200</v>
      </c>
      <c r="BU18" s="104" t="n">
        <v>150</v>
      </c>
      <c r="BV18" s="104" t="n">
        <v>100</v>
      </c>
      <c r="BW18" s="104" t="n">
        <v>50</v>
      </c>
      <c r="BX18" s="104" t="n">
        <v>30</v>
      </c>
      <c r="BY18" s="104" t="n">
        <v>10</v>
      </c>
      <c r="BZ18" s="104" t="n">
        <v>-1</v>
      </c>
      <c r="CA18" s="104"/>
      <c r="CB18" s="104"/>
      <c r="CC18" s="104"/>
      <c r="CD18" s="104"/>
      <c r="CE18" s="104"/>
      <c r="CF18" s="104"/>
      <c r="CG18" s="104"/>
      <c r="CH18" s="104"/>
      <c r="CJ18" s="95" t="n">
        <v>100</v>
      </c>
      <c r="CK18" s="95" t="n">
        <v>2</v>
      </c>
      <c r="CL18" s="95" t="n">
        <v>50</v>
      </c>
      <c r="CM18" s="95" t="n">
        <v>1</v>
      </c>
      <c r="CN18" s="95"/>
      <c r="CO18" s="95"/>
      <c r="CP18" s="95" t="n">
        <v>2</v>
      </c>
      <c r="CQ18" s="95" t="n">
        <v>1</v>
      </c>
      <c r="CR18" s="95" t="n">
        <v>100</v>
      </c>
      <c r="CS18" s="95" t="n">
        <v>2</v>
      </c>
      <c r="CT18" s="95" t="n">
        <v>50</v>
      </c>
      <c r="CU18" s="95" t="n">
        <v>1</v>
      </c>
      <c r="CV18" s="95"/>
      <c r="CW18" s="95"/>
      <c r="CX18" s="95" t="n">
        <v>3</v>
      </c>
      <c r="CY18" s="95" t="n">
        <v>1</v>
      </c>
      <c r="CZ18" s="95"/>
      <c r="DA18" s="95"/>
      <c r="DB18" s="95"/>
      <c r="DC18" s="95"/>
      <c r="DD18" s="95"/>
      <c r="DE18" s="95"/>
      <c r="DF18" s="95"/>
      <c r="DG18" s="95"/>
      <c r="DL18" s="108"/>
      <c r="DM18" s="108"/>
      <c r="DN18" s="109" t="str">
        <f aca="false">"D6.scenario.defInput["""&amp;B18&amp;"""] = {  "&amp;E$2&amp;":"""&amp;E18&amp;""",  "&amp;C$2&amp;":"""&amp;CLEAN(SUBSTITUTE(C18,"""",""""))&amp;""",  "&amp;F$2&amp;":"""&amp;F18&amp;""",  "&amp;H$2&amp;":"""&amp;CLEAN(SUBSTITUTE(H18,"""",""""))&amp;""", "&amp;J$2&amp;":"""&amp;J18&amp;""", "&amp;L$2&amp;":"""&amp;L18&amp;""", "&amp;M$2&amp;":"""&amp;M18&amp;""", "&amp;N$2&amp;":"""&amp;N18&amp;""", "&amp;O$2&amp;":"""&amp;O18&amp;""", "&amp;P$2&amp;":"""&amp;P18&amp;""", "&amp;Q$2&amp;":"""&amp;Q18&amp;""", "&amp;R$2&amp;":"""&amp;R18&amp;""", d11t:"""&amp;CJ18&amp;""",d11p:"""&amp;CK18&amp;""",d12t:"""&amp;CL18&amp;""",d12p:"""&amp;CM18&amp;""",d13t:"""&amp;CN18&amp;""",d13p:"""&amp;CO18&amp;""",d1w:"""&amp;CP18&amp;""",d1d:"""&amp;CQ18&amp;""", d21t:"""&amp;CR18&amp;""",d21p:"""&amp;CS18&amp;""",d22t:"""&amp;CT18&amp;""",d22p:"""&amp;CU18&amp;""",d23t:"""&amp;CV18&amp;""",d23p:"""&amp;CW18&amp;""",d2w:"""&amp;CX18&amp;""",d2d:"""&amp;CY18&amp;""", d31t:"""&amp;CZ18&amp;""",d31p:"""&amp;DA18&amp;""",d32t:"""&amp;DB18&amp;""",d32p:"""&amp;DC18&amp;""",d33t:"""&amp;DD18&amp;""",d33p:"""&amp;DE18&amp;""",d3w:"""&amp;DF18&amp;""",d3d:"""&amp;DG18&amp;"""}; "</f>
        <v>D6.scenario.defInput["i042"] = {  cons:"consTotal",  title:"壁面の断熱材の厚さ",  unit:"",  text:"断熱材の厚さはどの程度ですか（グラスウール以外は換算してください）", inputType:"sel042", right:"", postfix:"", nodata:"", varType:"Number", min:"", max:"", defaultValue:"-1", d11t:"100",d11p:"2",d12t:"50",d12p:"1",d13t:"",d13p:"",d1w:"2",d1d:"1", d21t:"100",d21p:"2",d22t:"50",d22p:"1",d23t:"",d23p:"",d2w:"3",d2d:"1", d31t:"",d31p:"",d32t:"",d32p:"",d33t:"",d33p:"",d3w:"",d3d:""}; </v>
      </c>
      <c r="DO18" s="110"/>
      <c r="DP18" s="110"/>
      <c r="DQ18" s="111" t="str">
        <f aca="false">"D6.scenario.defSelectValue["""&amp;U18&amp;"""]= [ """&amp;CLEAN(V18)&amp;""", """&amp;CLEAN(W18)&amp;IF(X18="","",""", """&amp;CLEAN(X18))&amp;IF(Y18="","",""", """&amp;CLEAN(Y18))&amp;IF(Z18="","",""", """&amp;CLEAN(Z18))&amp;IF(AA18="","",""", """&amp;CLEAN(AA18))&amp;IF(AB18="","",""", """&amp;CLEAN(AB18))&amp;IF(AC18="","",""", """&amp;CLEAN(AC18))&amp;IF(AD18="","",""", """&amp;CLEAN(AD18))&amp;IF(AE18="","",""", """&amp;CLEAN(AE18))&amp;IF(AF18="","",""", """&amp;CLEAN(AF18))&amp;IF(AG18="","",""", """&amp;CLEAN(AG18))&amp;IF(AH18="","",""", """&amp;CLEAN(AH18))&amp;IF(AI18="","",""", """&amp;CLEAN(AI18))&amp;IF(AJ18="","",""", """&amp;CLEAN(AJ18))&amp;IF(AK18="","",""", """&amp;CLEAN(AK18))&amp;""" ];"</f>
        <v>D6.scenario.defSelectValue["sel042"]= [ "選んで下さい", "グラスウール200mm相当", "グラスウール150mm相当", "グラスウール100mm相当", "グラスウール50mm相当", "グラスウール30mm相当", "入っていない", "わからない" ];</v>
      </c>
      <c r="DR18" s="112"/>
      <c r="DS18" s="112"/>
      <c r="DT18" s="112" t="str">
        <f aca="false">"D6.scenario.defSelectData['"&amp;U18&amp;"']= [ '"&amp;BC18&amp;"', '"&amp;BD18&amp;"', '"&amp;BE18&amp;IF(BF18="","","', '"&amp;BF18)&amp;IF(BG18="","","', '"&amp;BG18)&amp;IF(BH18="","","', '"&amp;BH18)&amp;IF(BI18="","","', '"&amp;BI18)&amp;IF(BJ18="","","', '"&amp;BJ18)&amp;IF(BK18="","","', '"&amp;BK18)&amp;IF(BL18="","","', '"&amp;BL18)&amp;IF(BM18="","","', '"&amp;BM18)&amp;IF(BN18="","","', '"&amp;BN18)&amp;IF(BO18="","","', '"&amp;BO18)&amp;IF(BP18="","","', '"&amp;BP18)&amp;IF(BQ18="","","', '"&amp;BQ18)&amp;IF(BR18="","","', '"&amp;BR18)&amp;"' ];"</f>
        <v>D6.scenario.defSelectData['sel042']= [ '-1', '200', '150', '100', '50', '30', '10', '-1' ];</v>
      </c>
    </row>
    <row r="19" s="88" customFormat="true" ht="43.5" hidden="false" customHeight="true" outlineLevel="0" collapsed="false">
      <c r="A19" s="66"/>
      <c r="B19" s="95" t="s">
        <v>1093</v>
      </c>
      <c r="C19" s="103" t="s">
        <v>1094</v>
      </c>
      <c r="D19" s="104" t="s">
        <v>1094</v>
      </c>
      <c r="E19" s="95" t="s">
        <v>224</v>
      </c>
      <c r="F19" s="103"/>
      <c r="G19" s="104"/>
      <c r="H19" s="103" t="s">
        <v>1095</v>
      </c>
      <c r="I19" s="104" t="s">
        <v>1095</v>
      </c>
      <c r="J19" s="103" t="str">
        <f aca="false">IF(K19="","",K19)</f>
        <v>sel043</v>
      </c>
      <c r="K19" s="104" t="str">
        <f aca="false">"sel"&amp;MID($B19,2,5)</f>
        <v>sel043</v>
      </c>
      <c r="L19" s="105"/>
      <c r="M19" s="105"/>
      <c r="N19" s="105"/>
      <c r="O19" s="95" t="s">
        <v>931</v>
      </c>
      <c r="P19" s="105"/>
      <c r="Q19" s="105"/>
      <c r="R19" s="95" t="n">
        <v>-1</v>
      </c>
      <c r="S19" s="66"/>
      <c r="T19" s="66"/>
      <c r="U19" s="106" t="str">
        <f aca="false">J19</f>
        <v>sel043</v>
      </c>
      <c r="V19" s="103" t="s">
        <v>979</v>
      </c>
      <c r="W19" s="103" t="s">
        <v>1096</v>
      </c>
      <c r="X19" s="103" t="s">
        <v>1097</v>
      </c>
      <c r="Y19" s="103" t="s">
        <v>1098</v>
      </c>
      <c r="Z19" s="103"/>
      <c r="AA19" s="103"/>
      <c r="AB19" s="103"/>
      <c r="AC19" s="103"/>
      <c r="AD19" s="103"/>
      <c r="AE19" s="103"/>
      <c r="AF19" s="103"/>
      <c r="AG19" s="103"/>
      <c r="AH19" s="103"/>
      <c r="AI19" s="103"/>
      <c r="AJ19" s="103"/>
      <c r="AK19" s="103"/>
      <c r="AL19" s="104" t="s">
        <v>979</v>
      </c>
      <c r="AM19" s="104" t="s">
        <v>1096</v>
      </c>
      <c r="AN19" s="107" t="s">
        <v>1097</v>
      </c>
      <c r="AO19" s="107" t="s">
        <v>1098</v>
      </c>
      <c r="AP19" s="104"/>
      <c r="AQ19" s="104"/>
      <c r="AR19" s="104"/>
      <c r="AS19" s="104"/>
      <c r="AT19" s="104"/>
      <c r="AU19" s="104"/>
      <c r="AV19" s="104"/>
      <c r="AW19" s="104"/>
      <c r="AX19" s="104"/>
      <c r="AY19" s="104"/>
      <c r="AZ19" s="104"/>
      <c r="BA19" s="104"/>
      <c r="BB19" s="66"/>
      <c r="BC19" s="103" t="n">
        <v>-1</v>
      </c>
      <c r="BD19" s="103" t="n">
        <v>1</v>
      </c>
      <c r="BE19" s="103" t="n">
        <v>2</v>
      </c>
      <c r="BF19" s="103" t="n">
        <v>3</v>
      </c>
      <c r="BG19" s="103"/>
      <c r="BH19" s="103"/>
      <c r="BI19" s="103"/>
      <c r="BJ19" s="103"/>
      <c r="BK19" s="103"/>
      <c r="BL19" s="103"/>
      <c r="BM19" s="103"/>
      <c r="BN19" s="103"/>
      <c r="BO19" s="103"/>
      <c r="BP19" s="103"/>
      <c r="BQ19" s="103"/>
      <c r="BR19" s="103"/>
      <c r="BS19" s="104" t="n">
        <v>-1</v>
      </c>
      <c r="BT19" s="104" t="n">
        <v>1</v>
      </c>
      <c r="BU19" s="104" t="n">
        <v>2</v>
      </c>
      <c r="BV19" s="104" t="n">
        <v>3</v>
      </c>
      <c r="BW19" s="104"/>
      <c r="BX19" s="104"/>
      <c r="BY19" s="104"/>
      <c r="BZ19" s="104"/>
      <c r="CA19" s="104"/>
      <c r="CB19" s="104"/>
      <c r="CC19" s="104"/>
      <c r="CD19" s="104"/>
      <c r="CE19" s="104"/>
      <c r="CF19" s="104"/>
      <c r="CG19" s="104"/>
      <c r="CH19" s="104"/>
      <c r="CJ19" s="95"/>
      <c r="CK19" s="95"/>
      <c r="CL19" s="95"/>
      <c r="CM19" s="95"/>
      <c r="CN19" s="95"/>
      <c r="CO19" s="95"/>
      <c r="CP19" s="95"/>
      <c r="CQ19" s="95"/>
      <c r="CR19" s="95" t="n">
        <v>1</v>
      </c>
      <c r="CS19" s="95" t="n">
        <v>2</v>
      </c>
      <c r="CT19" s="95" t="n">
        <v>2</v>
      </c>
      <c r="CU19" s="95" t="n">
        <v>1</v>
      </c>
      <c r="CV19" s="95"/>
      <c r="CW19" s="95"/>
      <c r="CX19" s="95" t="n">
        <v>2</v>
      </c>
      <c r="CY19" s="95" t="n">
        <v>0</v>
      </c>
      <c r="CZ19" s="95"/>
      <c r="DA19" s="95"/>
      <c r="DB19" s="95"/>
      <c r="DC19" s="95"/>
      <c r="DD19" s="95"/>
      <c r="DE19" s="95"/>
      <c r="DF19" s="95"/>
      <c r="DG19" s="95"/>
      <c r="DL19" s="108"/>
      <c r="DM19" s="108"/>
      <c r="DN19" s="109" t="str">
        <f aca="false">"D6.scenario.defInput["""&amp;B19&amp;"""] = {  "&amp;E$2&amp;":"""&amp;E19&amp;""",  "&amp;C$2&amp;":"""&amp;CLEAN(SUBSTITUTE(C19,"""",""""))&amp;""",  "&amp;F$2&amp;":"""&amp;F19&amp;""",  "&amp;H$2&amp;":"""&amp;CLEAN(SUBSTITUTE(H19,"""",""""))&amp;""", "&amp;J$2&amp;":"""&amp;J19&amp;""", "&amp;L$2&amp;":"""&amp;L19&amp;""", "&amp;M$2&amp;":"""&amp;M19&amp;""", "&amp;N$2&amp;":"""&amp;N19&amp;""", "&amp;O$2&amp;":"""&amp;O19&amp;""", "&amp;P$2&amp;":"""&amp;P19&amp;""", "&amp;Q$2&amp;":"""&amp;Q19&amp;""", "&amp;R$2&amp;":"""&amp;R19&amp;""", d11t:"""&amp;CJ19&amp;""",d11p:"""&amp;CK19&amp;""",d12t:"""&amp;CL19&amp;""",d12p:"""&amp;CM19&amp;""",d13t:"""&amp;CN19&amp;""",d13p:"""&amp;CO19&amp;""",d1w:"""&amp;CP19&amp;""",d1d:"""&amp;CQ19&amp;""", d21t:"""&amp;CR19&amp;""",d21p:"""&amp;CS19&amp;""",d22t:"""&amp;CT19&amp;""",d22p:"""&amp;CU19&amp;""",d23t:"""&amp;CV19&amp;""",d23p:"""&amp;CW19&amp;""",d2w:"""&amp;CX19&amp;""",d2d:"""&amp;CY19&amp;""", d31t:"""&amp;CZ19&amp;""",d31p:"""&amp;DA19&amp;""",d32t:"""&amp;DB19&amp;""",d32p:"""&amp;DC19&amp;""",d33t:"""&amp;DD19&amp;""",d33p:"""&amp;DE19&amp;""",d3w:"""&amp;DF19&amp;""",d3d:"""&amp;DG19&amp;"""}; "</f>
        <v>D6.scenario.defInput["i043"] = {  cons:"consTotal",  title:"窓の断熱リフォーム",  unit:"",  text:"窓の断熱リフォームをしましかたか", inputType:"sel043", right:"", postfix:"", nodata:"", varType:"Number", min:"", max:"", defaultValue:"-1", d11t:"",d11p:"",d12t:"",d12p:"",d13t:"",d13p:"",d1w:"",d1d:"", d21t:"1",d21p:"2",d22t:"2",d22p:"1",d23t:"",d23p:"",d2w:"2",d2d:"0", d31t:"",d31p:"",d32t:"",d32p:"",d33t:"",d33p:"",d3w:"",d3d:""}; </v>
      </c>
      <c r="DO19" s="110"/>
      <c r="DP19" s="110"/>
      <c r="DQ19" s="111" t="str">
        <f aca="false">"D6.scenario.defSelectValue["""&amp;U19&amp;"""]= [ """&amp;CLEAN(V19)&amp;""", """&amp;CLEAN(W19)&amp;IF(X19="","",""", """&amp;CLEAN(X19))&amp;IF(Y19="","",""", """&amp;CLEAN(Y19))&amp;IF(Z19="","",""", """&amp;CLEAN(Z19))&amp;IF(AA19="","",""", """&amp;CLEAN(AA19))&amp;IF(AB19="","",""", """&amp;CLEAN(AB19))&amp;IF(AC19="","",""", """&amp;CLEAN(AC19))&amp;IF(AD19="","",""", """&amp;CLEAN(AD19))&amp;IF(AE19="","",""", """&amp;CLEAN(AE19))&amp;IF(AF19="","",""", """&amp;CLEAN(AF19))&amp;IF(AG19="","",""", """&amp;CLEAN(AG19))&amp;IF(AH19="","",""", """&amp;CLEAN(AH19))&amp;IF(AI19="","",""", """&amp;CLEAN(AI19))&amp;IF(AJ19="","",""", """&amp;CLEAN(AJ19))&amp;IF(AK19="","",""", """&amp;CLEAN(AK19))&amp;""" ];"</f>
        <v>D6.scenario.defSelectValue["sel043"]= [ "選んで下さい", "全面的にした", "一部した", "していない" ];</v>
      </c>
      <c r="DR19" s="112"/>
      <c r="DS19" s="112"/>
      <c r="DT19" s="112" t="str">
        <f aca="false">"D6.scenario.defSelectData['"&amp;U19&amp;"']= [ '"&amp;BC19&amp;"', '"&amp;BD19&amp;"', '"&amp;BE19&amp;IF(BF19="","","', '"&amp;BF19)&amp;IF(BG19="","","', '"&amp;BG19)&amp;IF(BH19="","","', '"&amp;BH19)&amp;IF(BI19="","","', '"&amp;BI19)&amp;IF(BJ19="","","', '"&amp;BJ19)&amp;IF(BK19="","","', '"&amp;BK19)&amp;IF(BL19="","","', '"&amp;BL19)&amp;IF(BM19="","","', '"&amp;BM19)&amp;IF(BN19="","","', '"&amp;BN19)&amp;IF(BO19="","","', '"&amp;BO19)&amp;IF(BP19="","","', '"&amp;BP19)&amp;IF(BQ19="","","', '"&amp;BQ19)&amp;IF(BR19="","","', '"&amp;BR19)&amp;"' ];"</f>
        <v>D6.scenario.defSelectData['sel043']= [ '-1', '1', '2', '3' ];</v>
      </c>
    </row>
    <row r="20" s="88" customFormat="true" ht="43.5" hidden="false" customHeight="true" outlineLevel="0" collapsed="false">
      <c r="A20" s="66"/>
      <c r="B20" s="95" t="s">
        <v>1099</v>
      </c>
      <c r="C20" s="103" t="s">
        <v>1100</v>
      </c>
      <c r="D20" s="104" t="s">
        <v>1100</v>
      </c>
      <c r="E20" s="95" t="s">
        <v>224</v>
      </c>
      <c r="F20" s="103"/>
      <c r="G20" s="104"/>
      <c r="H20" s="103" t="s">
        <v>1101</v>
      </c>
      <c r="I20" s="104" t="s">
        <v>1101</v>
      </c>
      <c r="J20" s="103" t="str">
        <f aca="false">IF(K20="","",K20)</f>
        <v>sel044</v>
      </c>
      <c r="K20" s="104" t="str">
        <f aca="false">"sel"&amp;MID($B20,2,5)</f>
        <v>sel044</v>
      </c>
      <c r="L20" s="105"/>
      <c r="M20" s="105"/>
      <c r="N20" s="105"/>
      <c r="O20" s="95" t="s">
        <v>931</v>
      </c>
      <c r="P20" s="105"/>
      <c r="Q20" s="105"/>
      <c r="R20" s="95" t="n">
        <v>-1</v>
      </c>
      <c r="S20" s="66"/>
      <c r="T20" s="66"/>
      <c r="U20" s="106" t="str">
        <f aca="false">J20</f>
        <v>sel044</v>
      </c>
      <c r="V20" s="103" t="s">
        <v>979</v>
      </c>
      <c r="W20" s="103" t="s">
        <v>1096</v>
      </c>
      <c r="X20" s="103" t="s">
        <v>1097</v>
      </c>
      <c r="Y20" s="103" t="s">
        <v>1098</v>
      </c>
      <c r="Z20" s="103"/>
      <c r="AA20" s="103"/>
      <c r="AB20" s="103"/>
      <c r="AC20" s="103"/>
      <c r="AD20" s="103"/>
      <c r="AE20" s="103"/>
      <c r="AF20" s="103"/>
      <c r="AG20" s="103"/>
      <c r="AH20" s="103"/>
      <c r="AI20" s="103"/>
      <c r="AJ20" s="103"/>
      <c r="AK20" s="103"/>
      <c r="AL20" s="104" t="s">
        <v>979</v>
      </c>
      <c r="AM20" s="104" t="s">
        <v>1096</v>
      </c>
      <c r="AN20" s="104" t="s">
        <v>1097</v>
      </c>
      <c r="AO20" s="107" t="s">
        <v>1098</v>
      </c>
      <c r="AP20" s="104"/>
      <c r="AQ20" s="104"/>
      <c r="AR20" s="104"/>
      <c r="AS20" s="104"/>
      <c r="AT20" s="104"/>
      <c r="AU20" s="104"/>
      <c r="AV20" s="104"/>
      <c r="AW20" s="104"/>
      <c r="AX20" s="104"/>
      <c r="AY20" s="104"/>
      <c r="AZ20" s="104"/>
      <c r="BA20" s="104"/>
      <c r="BB20" s="66"/>
      <c r="BC20" s="103" t="n">
        <v>-1</v>
      </c>
      <c r="BD20" s="103" t="n">
        <v>1</v>
      </c>
      <c r="BE20" s="103" t="n">
        <v>2</v>
      </c>
      <c r="BF20" s="103" t="n">
        <v>3</v>
      </c>
      <c r="BG20" s="103"/>
      <c r="BH20" s="103"/>
      <c r="BI20" s="103"/>
      <c r="BJ20" s="103"/>
      <c r="BK20" s="103"/>
      <c r="BL20" s="103"/>
      <c r="BM20" s="103"/>
      <c r="BN20" s="103"/>
      <c r="BO20" s="103"/>
      <c r="BP20" s="103"/>
      <c r="BQ20" s="103"/>
      <c r="BR20" s="103"/>
      <c r="BS20" s="104" t="n">
        <v>-1</v>
      </c>
      <c r="BT20" s="104" t="n">
        <v>1</v>
      </c>
      <c r="BU20" s="104" t="n">
        <v>2</v>
      </c>
      <c r="BV20" s="104" t="n">
        <v>3</v>
      </c>
      <c r="BW20" s="104"/>
      <c r="BX20" s="104"/>
      <c r="BY20" s="104"/>
      <c r="BZ20" s="104"/>
      <c r="CA20" s="104"/>
      <c r="CB20" s="104"/>
      <c r="CC20" s="104"/>
      <c r="CD20" s="104"/>
      <c r="CE20" s="104"/>
      <c r="CF20" s="104"/>
      <c r="CG20" s="104"/>
      <c r="CH20" s="104"/>
      <c r="CJ20" s="95"/>
      <c r="CK20" s="95"/>
      <c r="CL20" s="95"/>
      <c r="CM20" s="95"/>
      <c r="CN20" s="95"/>
      <c r="CO20" s="95"/>
      <c r="CP20" s="95"/>
      <c r="CQ20" s="95"/>
      <c r="CR20" s="95" t="n">
        <v>1</v>
      </c>
      <c r="CS20" s="95" t="n">
        <v>2</v>
      </c>
      <c r="CT20" s="95" t="n">
        <v>2</v>
      </c>
      <c r="CU20" s="95" t="n">
        <v>1</v>
      </c>
      <c r="CV20" s="95"/>
      <c r="CW20" s="95"/>
      <c r="CX20" s="95" t="n">
        <v>1</v>
      </c>
      <c r="CY20" s="95" t="n">
        <v>0</v>
      </c>
      <c r="CZ20" s="95"/>
      <c r="DA20" s="95"/>
      <c r="DB20" s="95"/>
      <c r="DC20" s="95"/>
      <c r="DD20" s="95"/>
      <c r="DE20" s="95"/>
      <c r="DF20" s="95"/>
      <c r="DG20" s="95"/>
      <c r="DL20" s="108"/>
      <c r="DM20" s="108"/>
      <c r="DN20" s="109" t="str">
        <f aca="false">"D6.scenario.defInput["""&amp;B20&amp;"""] = {  "&amp;E$2&amp;":"""&amp;E20&amp;""",  "&amp;C$2&amp;":"""&amp;CLEAN(SUBSTITUTE(C20,"""",""""))&amp;""",  "&amp;F$2&amp;":"""&amp;F20&amp;""",  "&amp;H$2&amp;":"""&amp;CLEAN(SUBSTITUTE(H20,"""",""""))&amp;""", "&amp;J$2&amp;":"""&amp;J20&amp;""", "&amp;L$2&amp;":"""&amp;L20&amp;""", "&amp;M$2&amp;":"""&amp;M20&amp;""", "&amp;N$2&amp;":"""&amp;N20&amp;""", "&amp;O$2&amp;":"""&amp;O20&amp;""", "&amp;P$2&amp;":"""&amp;P20&amp;""", "&amp;Q$2&amp;":"""&amp;Q20&amp;""", "&amp;R$2&amp;":"""&amp;R20&amp;""", d11t:"""&amp;CJ20&amp;""",d11p:"""&amp;CK20&amp;""",d12t:"""&amp;CL20&amp;""",d12p:"""&amp;CM20&amp;""",d13t:"""&amp;CN20&amp;""",d13p:"""&amp;CO20&amp;""",d1w:"""&amp;CP20&amp;""",d1d:"""&amp;CQ20&amp;""", d21t:"""&amp;CR20&amp;""",d21p:"""&amp;CS20&amp;""",d22t:"""&amp;CT20&amp;""",d22p:"""&amp;CU20&amp;""",d23t:"""&amp;CV20&amp;""",d23p:"""&amp;CW20&amp;""",d2w:"""&amp;CX20&amp;""",d2d:"""&amp;CY20&amp;""", d31t:"""&amp;CZ20&amp;""",d31p:"""&amp;DA20&amp;""",d32t:"""&amp;DB20&amp;""",d32p:"""&amp;DC20&amp;""",d33t:"""&amp;DD20&amp;""",d33p:"""&amp;DE20&amp;""",d3w:"""&amp;DF20&amp;""",d3d:"""&amp;DG20&amp;"""}; "</f>
        <v>D6.scenario.defInput["i044"] = {  cons:"consTotal",  title:"壁天井断熱リフォーム",  unit:"",  text:"壁・天井・床などの断熱リフォームをしましたか", inputType:"sel044", right:"", postfix:"", nodata:"", varType:"Number", min:"", max:"", defaultValue:"-1", d11t:"",d11p:"",d12t:"",d12p:"",d13t:"",d13p:"",d1w:"",d1d:"", d21t:"1",d21p:"2",d22t:"2",d22p:"1",d23t:"",d23p:"",d2w:"1",d2d:"0", d31t:"",d31p:"",d32t:"",d32p:"",d33t:"",d33p:"",d3w:"",d3d:""}; </v>
      </c>
      <c r="DO20" s="110"/>
      <c r="DP20" s="110"/>
      <c r="DQ20" s="111" t="str">
        <f aca="false">"D6.scenario.defSelectValue["""&amp;U20&amp;"""]= [ """&amp;CLEAN(V20)&amp;""", """&amp;CLEAN(W20)&amp;IF(X20="","",""", """&amp;CLEAN(X20))&amp;IF(Y20="","",""", """&amp;CLEAN(Y20))&amp;IF(Z20="","",""", """&amp;CLEAN(Z20))&amp;IF(AA20="","",""", """&amp;CLEAN(AA20))&amp;IF(AB20="","",""", """&amp;CLEAN(AB20))&amp;IF(AC20="","",""", """&amp;CLEAN(AC20))&amp;IF(AD20="","",""", """&amp;CLEAN(AD20))&amp;IF(AE20="","",""", """&amp;CLEAN(AE20))&amp;IF(AF20="","",""", """&amp;CLEAN(AF20))&amp;IF(AG20="","",""", """&amp;CLEAN(AG20))&amp;IF(AH20="","",""", """&amp;CLEAN(AH20))&amp;IF(AI20="","",""", """&amp;CLEAN(AI20))&amp;IF(AJ20="","",""", """&amp;CLEAN(AJ20))&amp;IF(AK20="","",""", """&amp;CLEAN(AK20))&amp;""" ];"</f>
        <v>D6.scenario.defSelectValue["sel044"]= [ "選んで下さい", "全面的にした", "一部した", "していない" ];</v>
      </c>
      <c r="DR20" s="112"/>
      <c r="DS20" s="112"/>
      <c r="DT20" s="112" t="str">
        <f aca="false">"D6.scenario.defSelectData['"&amp;U20&amp;"']= [ '"&amp;BC20&amp;"', '"&amp;BD20&amp;"', '"&amp;BE20&amp;IF(BF20="","","', '"&amp;BF20)&amp;IF(BG20="","","', '"&amp;BG20)&amp;IF(BH20="","","', '"&amp;BH20)&amp;IF(BI20="","","', '"&amp;BI20)&amp;IF(BJ20="","","', '"&amp;BJ20)&amp;IF(BK20="","","', '"&amp;BK20)&amp;IF(BL20="","","', '"&amp;BL20)&amp;IF(BM20="","","', '"&amp;BM20)&amp;IF(BN20="","","', '"&amp;BN20)&amp;IF(BO20="","","', '"&amp;BO20)&amp;IF(BP20="","","', '"&amp;BP20)&amp;IF(BQ20="","","', '"&amp;BQ20)&amp;IF(BR20="","","', '"&amp;BR20)&amp;"' ];"</f>
        <v>D6.scenario.defSelectData['sel044']= [ '-1', '1', '2', '3' ];</v>
      </c>
    </row>
    <row r="21" s="88" customFormat="true" ht="43.5" hidden="false" customHeight="true" outlineLevel="0" collapsed="false">
      <c r="A21" s="66"/>
      <c r="B21" s="95" t="s">
        <v>1102</v>
      </c>
      <c r="C21" s="103" t="s">
        <v>1103</v>
      </c>
      <c r="D21" s="104" t="s">
        <v>1103</v>
      </c>
      <c r="E21" s="95" t="s">
        <v>1104</v>
      </c>
      <c r="F21" s="103"/>
      <c r="G21" s="104"/>
      <c r="H21" s="103" t="s">
        <v>1105</v>
      </c>
      <c r="I21" s="104" t="s">
        <v>1105</v>
      </c>
      <c r="J21" s="103" t="str">
        <f aca="false">IF(K21="","",K21)</f>
        <v>sel051</v>
      </c>
      <c r="K21" s="104" t="str">
        <f aca="false">"sel"&amp;MID($B21,2,5)</f>
        <v>sel051</v>
      </c>
      <c r="L21" s="105"/>
      <c r="M21" s="105"/>
      <c r="N21" s="105"/>
      <c r="O21" s="95" t="s">
        <v>931</v>
      </c>
      <c r="P21" s="105"/>
      <c r="Q21" s="105"/>
      <c r="R21" s="95" t="n">
        <v>-1</v>
      </c>
      <c r="S21" s="66"/>
      <c r="T21" s="66"/>
      <c r="U21" s="106" t="str">
        <f aca="false">J21</f>
        <v>sel051</v>
      </c>
      <c r="V21" s="103" t="s">
        <v>979</v>
      </c>
      <c r="W21" s="103" t="s">
        <v>1098</v>
      </c>
      <c r="X21" s="103" t="s">
        <v>1106</v>
      </c>
      <c r="Y21" s="103"/>
      <c r="Z21" s="103"/>
      <c r="AA21" s="103"/>
      <c r="AB21" s="103"/>
      <c r="AC21" s="103"/>
      <c r="AD21" s="103"/>
      <c r="AE21" s="103"/>
      <c r="AF21" s="103"/>
      <c r="AG21" s="103"/>
      <c r="AH21" s="103"/>
      <c r="AI21" s="103"/>
      <c r="AJ21" s="103"/>
      <c r="AK21" s="103"/>
      <c r="AL21" s="104" t="s">
        <v>979</v>
      </c>
      <c r="AM21" s="107" t="s">
        <v>1098</v>
      </c>
      <c r="AN21" s="107" t="s">
        <v>1106</v>
      </c>
      <c r="AO21" s="104"/>
      <c r="AP21" s="104"/>
      <c r="AQ21" s="104"/>
      <c r="AR21" s="104"/>
      <c r="AS21" s="104"/>
      <c r="AT21" s="104"/>
      <c r="AU21" s="104"/>
      <c r="AV21" s="104"/>
      <c r="AW21" s="104"/>
      <c r="AX21" s="104"/>
      <c r="AY21" s="104"/>
      <c r="AZ21" s="104"/>
      <c r="BA21" s="104"/>
      <c r="BB21" s="66"/>
      <c r="BC21" s="103" t="n">
        <v>-1</v>
      </c>
      <c r="BD21" s="103" t="n">
        <v>0</v>
      </c>
      <c r="BE21" s="103" t="n">
        <v>1</v>
      </c>
      <c r="BF21" s="103"/>
      <c r="BG21" s="103"/>
      <c r="BH21" s="103"/>
      <c r="BI21" s="103"/>
      <c r="BJ21" s="103"/>
      <c r="BK21" s="103"/>
      <c r="BL21" s="103"/>
      <c r="BM21" s="103"/>
      <c r="BN21" s="103"/>
      <c r="BO21" s="103"/>
      <c r="BP21" s="103"/>
      <c r="BQ21" s="103"/>
      <c r="BR21" s="103"/>
      <c r="BS21" s="104" t="n">
        <v>-1</v>
      </c>
      <c r="BT21" s="104" t="n">
        <v>0</v>
      </c>
      <c r="BU21" s="104" t="n">
        <v>1</v>
      </c>
      <c r="BV21" s="104"/>
      <c r="BW21" s="104"/>
      <c r="BX21" s="104"/>
      <c r="BY21" s="104"/>
      <c r="BZ21" s="104"/>
      <c r="CA21" s="104"/>
      <c r="CB21" s="104"/>
      <c r="CC21" s="104"/>
      <c r="CD21" s="104"/>
      <c r="CE21" s="104"/>
      <c r="CF21" s="104"/>
      <c r="CG21" s="104"/>
      <c r="CH21" s="104"/>
      <c r="CJ21" s="95" t="n">
        <v>1</v>
      </c>
      <c r="CK21" s="95" t="n">
        <v>2</v>
      </c>
      <c r="CL21" s="95"/>
      <c r="CM21" s="95"/>
      <c r="CN21" s="95"/>
      <c r="CO21" s="95"/>
      <c r="CP21" s="95" t="n">
        <v>4</v>
      </c>
      <c r="CQ21" s="95" t="n">
        <v>0</v>
      </c>
      <c r="CR21" s="95" t="n">
        <v>1</v>
      </c>
      <c r="CS21" s="95" t="n">
        <v>2</v>
      </c>
      <c r="CT21" s="95"/>
      <c r="CU21" s="95"/>
      <c r="CV21" s="95"/>
      <c r="CW21" s="95"/>
      <c r="CX21" s="95" t="n">
        <v>4</v>
      </c>
      <c r="CY21" s="95" t="n">
        <v>0</v>
      </c>
      <c r="CZ21" s="95"/>
      <c r="DA21" s="95"/>
      <c r="DB21" s="95"/>
      <c r="DC21" s="95"/>
      <c r="DD21" s="95"/>
      <c r="DE21" s="95"/>
      <c r="DF21" s="95"/>
      <c r="DG21" s="95"/>
      <c r="DL21" s="108"/>
      <c r="DM21" s="108"/>
      <c r="DN21" s="109" t="str">
        <f aca="false">"D6.scenario.defInput["""&amp;B21&amp;"""] = {  "&amp;E$2&amp;":"""&amp;E21&amp;""",  "&amp;C$2&amp;":"""&amp;CLEAN(SUBSTITUTE(C21,"""",""""))&amp;""",  "&amp;F$2&amp;":"""&amp;F21&amp;""",  "&amp;H$2&amp;":"""&amp;CLEAN(SUBSTITUTE(H21,"""",""""))&amp;""", "&amp;J$2&amp;":"""&amp;J21&amp;""", "&amp;L$2&amp;":"""&amp;L21&amp;""", "&amp;M$2&amp;":"""&amp;M21&amp;""", "&amp;N$2&amp;":"""&amp;N21&amp;""", "&amp;O$2&amp;":"""&amp;O21&amp;""", "&amp;P$2&amp;":"""&amp;P21&amp;""", "&amp;Q$2&amp;":"""&amp;Q21&amp;""", "&amp;R$2&amp;":"""&amp;R21&amp;""", d11t:"""&amp;CJ21&amp;""",d11p:"""&amp;CK21&amp;""",d12t:"""&amp;CL21&amp;""",d12p:"""&amp;CM21&amp;""",d13t:"""&amp;CN21&amp;""",d13p:"""&amp;CO21&amp;""",d1w:"""&amp;CP21&amp;""",d1d:"""&amp;CQ21&amp;""", d21t:"""&amp;CR21&amp;""",d21p:"""&amp;CS21&amp;""",d22t:"""&amp;CT21&amp;""",d22p:"""&amp;CU21&amp;""",d23t:"""&amp;CV21&amp;""",d23p:"""&amp;CW21&amp;""",d2w:"""&amp;CX21&amp;""",d2d:"""&amp;CY21&amp;""", d31t:"""&amp;CZ21&amp;""",d31p:"""&amp;DA21&amp;""",d32t:"""&amp;DB21&amp;""",d32p:"""&amp;DC21&amp;""",d33t:"""&amp;DD21&amp;""",d33p:"""&amp;DE21&amp;""",d3w:"""&amp;DF21&amp;""",d3d:"""&amp;DG21&amp;"""}; "</f>
        <v>D6.scenario.defInput["i051"] = {  cons:"consEnergy",  title:"太陽光発電の設置",  unit:"",  text:"太陽光発電装置を設置していますか", inputType:"sel051", right:"", postfix:"", nodata:"", varType:"Number", min:"", max:"", defaultValue:"-1", d11t:"1",d11p:"2",d12t:"",d12p:"",d13t:"",d13p:"",d1w:"4",d1d:"0", d21t:"1",d21p:"2",d22t:"",d22p:"",d23t:"",d23p:"",d2w:"4",d2d:"0", d31t:"",d31p:"",d32t:"",d32p:"",d33t:"",d33p:"",d3w:"",d3d:""}; </v>
      </c>
      <c r="DO21" s="110"/>
      <c r="DP21" s="110"/>
      <c r="DQ21" s="111" t="str">
        <f aca="false">"D6.scenario.defSelectValue["""&amp;U21&amp;"""]= [ """&amp;CLEAN(V21)&amp;""", """&amp;CLEAN(W21)&amp;IF(X21="","",""", """&amp;CLEAN(X21))&amp;IF(Y21="","",""", """&amp;CLEAN(Y21))&amp;IF(Z21="","",""", """&amp;CLEAN(Z21))&amp;IF(AA21="","",""", """&amp;CLEAN(AA21))&amp;IF(AB21="","",""", """&amp;CLEAN(AB21))&amp;IF(AC21="","",""", """&amp;CLEAN(AC21))&amp;IF(AD21="","",""", """&amp;CLEAN(AD21))&amp;IF(AE21="","",""", """&amp;CLEAN(AE21))&amp;IF(AF21="","",""", """&amp;CLEAN(AF21))&amp;IF(AG21="","",""", """&amp;CLEAN(AG21))&amp;IF(AH21="","",""", """&amp;CLEAN(AH21))&amp;IF(AI21="","",""", """&amp;CLEAN(AI21))&amp;IF(AJ21="","",""", """&amp;CLEAN(AJ21))&amp;IF(AK21="","",""", """&amp;CLEAN(AK21))&amp;""" ];"</f>
        <v>D6.scenario.defSelectValue["sel051"]= [ "選んで下さい", "していない", "している" ];</v>
      </c>
      <c r="DR21" s="112"/>
      <c r="DS21" s="112"/>
      <c r="DT21" s="112" t="str">
        <f aca="false">"D6.scenario.defSelectData['"&amp;U21&amp;"']= [ '"&amp;BC21&amp;"', '"&amp;BD21&amp;"', '"&amp;BE21&amp;IF(BF21="","","', '"&amp;BF21)&amp;IF(BG21="","","', '"&amp;BG21)&amp;IF(BH21="","","', '"&amp;BH21)&amp;IF(BI21="","","', '"&amp;BI21)&amp;IF(BJ21="","","', '"&amp;BJ21)&amp;IF(BK21="","","', '"&amp;BK21)&amp;IF(BL21="","","', '"&amp;BL21)&amp;IF(BM21="","","', '"&amp;BM21)&amp;IF(BN21="","","', '"&amp;BN21)&amp;IF(BO21="","","', '"&amp;BO21)&amp;IF(BP21="","","', '"&amp;BP21)&amp;IF(BQ21="","","', '"&amp;BQ21)&amp;IF(BR21="","","', '"&amp;BR21)&amp;"' ];"</f>
        <v>D6.scenario.defSelectData['sel051']= [ '-1', '0', '1' ];</v>
      </c>
    </row>
    <row r="22" s="88" customFormat="true" ht="43.5" hidden="false" customHeight="true" outlineLevel="0" collapsed="false">
      <c r="A22" s="66"/>
      <c r="B22" s="95" t="s">
        <v>1107</v>
      </c>
      <c r="C22" s="103" t="s">
        <v>1108</v>
      </c>
      <c r="D22" s="104" t="s">
        <v>1109</v>
      </c>
      <c r="E22" s="95" t="s">
        <v>1104</v>
      </c>
      <c r="F22" s="103" t="s">
        <v>1110</v>
      </c>
      <c r="G22" s="104" t="s">
        <v>1110</v>
      </c>
      <c r="H22" s="103" t="s">
        <v>1111</v>
      </c>
      <c r="I22" s="104" t="s">
        <v>1111</v>
      </c>
      <c r="J22" s="103" t="str">
        <f aca="false">IF(K22="","",K22)</f>
        <v>sel052</v>
      </c>
      <c r="K22" s="104" t="str">
        <f aca="false">"sel"&amp;MID($B22,2,5)</f>
        <v>sel052</v>
      </c>
      <c r="L22" s="105"/>
      <c r="M22" s="105"/>
      <c r="N22" s="105"/>
      <c r="O22" s="95" t="s">
        <v>931</v>
      </c>
      <c r="P22" s="105"/>
      <c r="Q22" s="105"/>
      <c r="R22" s="95" t="n">
        <v>-1</v>
      </c>
      <c r="S22" s="66"/>
      <c r="T22" s="66"/>
      <c r="U22" s="106" t="str">
        <f aca="false">J22</f>
        <v>sel052</v>
      </c>
      <c r="V22" s="103" t="s">
        <v>979</v>
      </c>
      <c r="W22" s="103" t="s">
        <v>1098</v>
      </c>
      <c r="X22" s="103" t="s">
        <v>1112</v>
      </c>
      <c r="Y22" s="103" t="s">
        <v>1113</v>
      </c>
      <c r="Z22" s="103" t="s">
        <v>1114</v>
      </c>
      <c r="AA22" s="103" t="s">
        <v>1115</v>
      </c>
      <c r="AB22" s="103" t="s">
        <v>1116</v>
      </c>
      <c r="AC22" s="103"/>
      <c r="AD22" s="103"/>
      <c r="AE22" s="103"/>
      <c r="AF22" s="103"/>
      <c r="AG22" s="103"/>
      <c r="AH22" s="103"/>
      <c r="AI22" s="103"/>
      <c r="AJ22" s="103"/>
      <c r="AK22" s="103"/>
      <c r="AL22" s="104" t="s">
        <v>979</v>
      </c>
      <c r="AM22" s="107" t="s">
        <v>1098</v>
      </c>
      <c r="AN22" s="107" t="s">
        <v>1112</v>
      </c>
      <c r="AO22" s="107" t="s">
        <v>1113</v>
      </c>
      <c r="AP22" s="104" t="s">
        <v>1114</v>
      </c>
      <c r="AQ22" s="104" t="s">
        <v>1115</v>
      </c>
      <c r="AR22" s="104" t="s">
        <v>1116</v>
      </c>
      <c r="AS22" s="104"/>
      <c r="AT22" s="104"/>
      <c r="AU22" s="104"/>
      <c r="AV22" s="104"/>
      <c r="AW22" s="104"/>
      <c r="AX22" s="104"/>
      <c r="AY22" s="104"/>
      <c r="AZ22" s="104"/>
      <c r="BA22" s="104"/>
      <c r="BB22" s="66"/>
      <c r="BC22" s="103" t="n">
        <v>-1</v>
      </c>
      <c r="BD22" s="103" t="n">
        <v>0</v>
      </c>
      <c r="BE22" s="103" t="n">
        <v>3</v>
      </c>
      <c r="BF22" s="103" t="n">
        <v>4</v>
      </c>
      <c r="BG22" s="103" t="n">
        <v>5</v>
      </c>
      <c r="BH22" s="103" t="n">
        <v>8</v>
      </c>
      <c r="BI22" s="103" t="n">
        <v>11</v>
      </c>
      <c r="BJ22" s="103"/>
      <c r="BK22" s="103"/>
      <c r="BL22" s="103"/>
      <c r="BM22" s="103"/>
      <c r="BN22" s="103"/>
      <c r="BO22" s="103"/>
      <c r="BP22" s="103"/>
      <c r="BQ22" s="103"/>
      <c r="BR22" s="103"/>
      <c r="BS22" s="104" t="n">
        <v>-1</v>
      </c>
      <c r="BT22" s="104" t="n">
        <v>0</v>
      </c>
      <c r="BU22" s="104" t="n">
        <v>3</v>
      </c>
      <c r="BV22" s="104" t="n">
        <v>4</v>
      </c>
      <c r="BW22" s="104" t="n">
        <v>5</v>
      </c>
      <c r="BX22" s="104" t="n">
        <v>8</v>
      </c>
      <c r="BY22" s="104" t="n">
        <v>11</v>
      </c>
      <c r="BZ22" s="104"/>
      <c r="CA22" s="104"/>
      <c r="CB22" s="104"/>
      <c r="CC22" s="104"/>
      <c r="CD22" s="104"/>
      <c r="CE22" s="104"/>
      <c r="CF22" s="104"/>
      <c r="CG22" s="104"/>
      <c r="CH22" s="104"/>
      <c r="CJ22" s="95" t="n">
        <v>5</v>
      </c>
      <c r="CK22" s="95" t="n">
        <v>2</v>
      </c>
      <c r="CL22" s="95" t="n">
        <v>2</v>
      </c>
      <c r="CM22" s="95" t="n">
        <v>1</v>
      </c>
      <c r="CN22" s="95"/>
      <c r="CO22" s="95"/>
      <c r="CP22" s="95" t="n">
        <v>2</v>
      </c>
      <c r="CQ22" s="95" t="n">
        <v>0</v>
      </c>
      <c r="CR22" s="95" t="n">
        <v>5</v>
      </c>
      <c r="CS22" s="95" t="n">
        <v>2</v>
      </c>
      <c r="CT22" s="95" t="n">
        <v>2</v>
      </c>
      <c r="CU22" s="95" t="n">
        <v>1</v>
      </c>
      <c r="CV22" s="95"/>
      <c r="CW22" s="95"/>
      <c r="CX22" s="95" t="n">
        <v>2</v>
      </c>
      <c r="CY22" s="95" t="n">
        <v>0</v>
      </c>
      <c r="CZ22" s="95"/>
      <c r="DA22" s="95"/>
      <c r="DB22" s="95"/>
      <c r="DC22" s="95"/>
      <c r="DD22" s="95"/>
      <c r="DE22" s="95"/>
      <c r="DF22" s="95"/>
      <c r="DG22" s="95"/>
      <c r="DL22" s="108"/>
      <c r="DM22" s="108"/>
      <c r="DN22" s="109" t="str">
        <f aca="false">"D6.scenario.defInput["""&amp;B22&amp;"""] = {  "&amp;E$2&amp;":"""&amp;E22&amp;""",  "&amp;C$2&amp;":"""&amp;CLEAN(SUBSTITUTE(C22,"""",""""))&amp;""",  "&amp;F$2&amp;":"""&amp;F22&amp;""",  "&amp;H$2&amp;":"""&amp;CLEAN(SUBSTITUTE(H22,"""",""""))&amp;""", "&amp;J$2&amp;":"""&amp;J22&amp;""", "&amp;L$2&amp;":"""&amp;L22&amp;""", "&amp;M$2&amp;":"""&amp;M22&amp;""", "&amp;N$2&amp;":"""&amp;N22&amp;""", "&amp;O$2&amp;":"""&amp;O22&amp;""", "&amp;P$2&amp;":"""&amp;P22&amp;""", "&amp;Q$2&amp;":"""&amp;Q22&amp;""", "&amp;R$2&amp;":"""&amp;R22&amp;""", d11t:"""&amp;CJ22&amp;""",d11p:"""&amp;CK22&amp;""",d12t:"""&amp;CL22&amp;""",d12p:"""&amp;CM22&amp;""",d13t:"""&amp;CN22&amp;""",d13p:"""&amp;CO22&amp;""",d1w:"""&amp;CP22&amp;""",d1d:"""&amp;CQ22&amp;""", d21t:"""&amp;CR22&amp;""",d21p:"""&amp;CS22&amp;""",d22t:"""&amp;CT22&amp;""",d22p:"""&amp;CU22&amp;""",d23t:"""&amp;CV22&amp;""",d23p:"""&amp;CW22&amp;""",d2w:"""&amp;CX22&amp;""",d2d:"""&amp;CY22&amp;""", d31t:"""&amp;CZ22&amp;""",d31p:"""&amp;DA22&amp;""",d32t:"""&amp;DB22&amp;""",d32p:"""&amp;DC22&amp;""",d33t:"""&amp;DD22&amp;""",d33p:"""&amp;DE22&amp;""",d3w:"""&amp;DF22&amp;""",d3d:"""&amp;DG22&amp;"""}; "</f>
        <v>D6.scenario.defInput["i052"] = {  cons:"consEnergy",  title:"太陽光発電のサイズ",  unit:"kW",  text:"設置している太陽光発電装置のサイズを選んで下さい。", inputType:"sel052", right:"", postfix:"", nodata:"", varType:"Number", min:"", max:"", defaultValue:"-1", d11t:"5",d11p:"2",d12t:"2",d12p:"1",d13t:"",d13p:"",d1w:"2",d1d:"0", d21t:"5",d21p:"2",d22t:"2",d22p:"1",d23t:"",d23p:"",d2w:"2",d2d:"0", d31t:"",d31p:"",d32t:"",d32p:"",d33t:"",d33p:"",d3w:"",d3d:""}; </v>
      </c>
      <c r="DO22" s="110"/>
      <c r="DP22" s="110"/>
      <c r="DQ22" s="111" t="str">
        <f aca="false">"D6.scenario.defSelectValue["""&amp;U22&amp;"""]= [ """&amp;CLEAN(V22)&amp;""", """&amp;CLEAN(W22)&amp;IF(X22="","",""", """&amp;CLEAN(X22))&amp;IF(Y22="","",""", """&amp;CLEAN(Y22))&amp;IF(Z22="","",""", """&amp;CLEAN(Z22))&amp;IF(AA22="","",""", """&amp;CLEAN(AA22))&amp;IF(AB22="","",""", """&amp;CLEAN(AB22))&amp;IF(AC22="","",""", """&amp;CLEAN(AC22))&amp;IF(AD22="","",""", """&amp;CLEAN(AD22))&amp;IF(AE22="","",""", """&amp;CLEAN(AE22))&amp;IF(AF22="","",""", """&amp;CLEAN(AF22))&amp;IF(AG22="","",""", """&amp;CLEAN(AG22))&amp;IF(AH22="","",""", """&amp;CLEAN(AH22))&amp;IF(AI22="","",""", """&amp;CLEAN(AI22))&amp;IF(AJ22="","",""", """&amp;CLEAN(AJ22))&amp;IF(AK22="","",""", """&amp;CLEAN(AK22))&amp;""" ];"</f>
        <v>D6.scenario.defSelectValue["sel052"]= [ "選んで下さい", "していない", "している（～3kW）", "している（4kW)", "している（5kW)", "している（6～10kW)", "している（10kW以上）" ];</v>
      </c>
      <c r="DR22" s="112"/>
      <c r="DS22" s="112"/>
      <c r="DT22" s="112" t="str">
        <f aca="false">"D6.scenario.defSelectData['"&amp;U22&amp;"']= [ '"&amp;BC22&amp;"', '"&amp;BD22&amp;"', '"&amp;BE22&amp;IF(BF22="","","', '"&amp;BF22)&amp;IF(BG22="","","', '"&amp;BG22)&amp;IF(BH22="","","', '"&amp;BH22)&amp;IF(BI22="","","', '"&amp;BI22)&amp;IF(BJ22="","","', '"&amp;BJ22)&amp;IF(BK22="","","', '"&amp;BK22)&amp;IF(BL22="","","', '"&amp;BL22)&amp;IF(BM22="","","', '"&amp;BM22)&amp;IF(BN22="","","', '"&amp;BN22)&amp;IF(BO22="","","', '"&amp;BO22)&amp;IF(BP22="","","', '"&amp;BP22)&amp;IF(BQ22="","","', '"&amp;BQ22)&amp;IF(BR22="","","', '"&amp;BR22)&amp;"' ];"</f>
        <v>D6.scenario.defSelectData['sel052']= [ '-1', '0', '3', '4', '5', '8', '11' ];</v>
      </c>
    </row>
    <row r="23" s="88" customFormat="true" ht="43.5" hidden="false" customHeight="true" outlineLevel="0" collapsed="false">
      <c r="A23" s="66"/>
      <c r="B23" s="95" t="s">
        <v>1117</v>
      </c>
      <c r="C23" s="103" t="s">
        <v>1118</v>
      </c>
      <c r="D23" s="104" t="s">
        <v>1118</v>
      </c>
      <c r="E23" s="95" t="s">
        <v>1104</v>
      </c>
      <c r="F23" s="103"/>
      <c r="G23" s="104"/>
      <c r="H23" s="103" t="s">
        <v>1119</v>
      </c>
      <c r="I23" s="104" t="s">
        <v>1119</v>
      </c>
      <c r="J23" s="103" t="str">
        <f aca="false">IF(K23="","",K23)</f>
        <v>sel053</v>
      </c>
      <c r="K23" s="104" t="str">
        <f aca="false">"sel"&amp;MID($B23,2,5)</f>
        <v>sel053</v>
      </c>
      <c r="L23" s="105"/>
      <c r="M23" s="105"/>
      <c r="N23" s="105"/>
      <c r="O23" s="95" t="s">
        <v>931</v>
      </c>
      <c r="P23" s="105"/>
      <c r="Q23" s="105"/>
      <c r="R23" s="95" t="n">
        <v>-1</v>
      </c>
      <c r="S23" s="66"/>
      <c r="T23" s="66"/>
      <c r="U23" s="106" t="str">
        <f aca="false">J23</f>
        <v>sel053</v>
      </c>
      <c r="V23" s="103" t="s">
        <v>979</v>
      </c>
      <c r="W23" s="103" t="s">
        <v>1120</v>
      </c>
      <c r="X23" s="103" t="s">
        <v>1121</v>
      </c>
      <c r="Y23" s="103" t="s">
        <v>1122</v>
      </c>
      <c r="Z23" s="103" t="s">
        <v>1123</v>
      </c>
      <c r="AA23" s="103" t="s">
        <v>1124</v>
      </c>
      <c r="AB23" s="103" t="s">
        <v>1125</v>
      </c>
      <c r="AC23" s="103" t="s">
        <v>1126</v>
      </c>
      <c r="AD23" s="103" t="s">
        <v>1127</v>
      </c>
      <c r="AE23" s="103" t="s">
        <v>1128</v>
      </c>
      <c r="AF23" s="103" t="s">
        <v>1129</v>
      </c>
      <c r="AG23" s="103" t="s">
        <v>1130</v>
      </c>
      <c r="AH23" s="103" t="s">
        <v>1131</v>
      </c>
      <c r="AI23" s="103" t="s">
        <v>1132</v>
      </c>
      <c r="AJ23" s="103"/>
      <c r="AK23" s="103"/>
      <c r="AL23" s="104" t="s">
        <v>979</v>
      </c>
      <c r="AM23" s="107" t="s">
        <v>1133</v>
      </c>
      <c r="AN23" s="107" t="s">
        <v>1134</v>
      </c>
      <c r="AO23" s="107" t="s">
        <v>1135</v>
      </c>
      <c r="AP23" s="104" t="s">
        <v>1136</v>
      </c>
      <c r="AQ23" s="104" t="s">
        <v>1121</v>
      </c>
      <c r="AR23" s="104" t="s">
        <v>1122</v>
      </c>
      <c r="AS23" s="104" t="s">
        <v>1137</v>
      </c>
      <c r="AT23" s="107" t="s">
        <v>1132</v>
      </c>
      <c r="AU23" s="104"/>
      <c r="AV23" s="104"/>
      <c r="AW23" s="104"/>
      <c r="AX23" s="104"/>
      <c r="AY23" s="104"/>
      <c r="AZ23" s="104"/>
      <c r="BA23" s="104"/>
      <c r="BB23" s="66"/>
      <c r="BC23" s="103" t="n">
        <v>-1</v>
      </c>
      <c r="BD23" s="103" t="n">
        <v>2014</v>
      </c>
      <c r="BE23" s="103" t="n">
        <v>2015</v>
      </c>
      <c r="BF23" s="103" t="n">
        <v>2016</v>
      </c>
      <c r="BG23" s="103" t="n">
        <v>2017</v>
      </c>
      <c r="BH23" s="103" t="n">
        <v>2018</v>
      </c>
      <c r="BI23" s="103" t="n">
        <v>2019</v>
      </c>
      <c r="BJ23" s="103" t="n">
        <v>2020</v>
      </c>
      <c r="BK23" s="103" t="n">
        <v>2021</v>
      </c>
      <c r="BL23" s="103" t="n">
        <v>2022</v>
      </c>
      <c r="BM23" s="103" t="n">
        <v>2023</v>
      </c>
      <c r="BN23" s="103" t="n">
        <v>2024</v>
      </c>
      <c r="BO23" s="103" t="n">
        <v>2025</v>
      </c>
      <c r="BP23" s="103" t="n">
        <v>9999</v>
      </c>
      <c r="BQ23" s="103"/>
      <c r="BR23" s="103"/>
      <c r="BS23" s="104" t="n">
        <v>-1</v>
      </c>
      <c r="BT23" s="104" t="n">
        <v>2010</v>
      </c>
      <c r="BU23" s="104" t="n">
        <v>2011</v>
      </c>
      <c r="BV23" s="104" t="n">
        <v>2013</v>
      </c>
      <c r="BW23" s="104" t="n">
        <v>2014</v>
      </c>
      <c r="BX23" s="104" t="n">
        <v>2015</v>
      </c>
      <c r="BY23" s="104" t="n">
        <v>2016</v>
      </c>
      <c r="BZ23" s="104" t="n">
        <v>2017</v>
      </c>
      <c r="CA23" s="104" t="n">
        <v>9999</v>
      </c>
      <c r="CB23" s="104"/>
      <c r="CC23" s="104"/>
      <c r="CD23" s="104"/>
      <c r="CE23" s="104"/>
      <c r="CF23" s="104"/>
      <c r="CG23" s="104"/>
      <c r="CH23" s="104"/>
      <c r="CJ23" s="95"/>
      <c r="CK23" s="95"/>
      <c r="CL23" s="95"/>
      <c r="CM23" s="95"/>
      <c r="CN23" s="95"/>
      <c r="CO23" s="95"/>
      <c r="CP23" s="95"/>
      <c r="CQ23" s="95"/>
      <c r="CR23" s="95"/>
      <c r="CS23" s="95"/>
      <c r="CT23" s="95"/>
      <c r="CU23" s="95"/>
      <c r="CV23" s="95"/>
      <c r="CW23" s="95"/>
      <c r="CX23" s="95"/>
      <c r="CY23" s="95"/>
      <c r="CZ23" s="95"/>
      <c r="DA23" s="95"/>
      <c r="DB23" s="95"/>
      <c r="DC23" s="95"/>
      <c r="DD23" s="95"/>
      <c r="DE23" s="95"/>
      <c r="DF23" s="95"/>
      <c r="DG23" s="95"/>
      <c r="DL23" s="108"/>
      <c r="DM23" s="108"/>
      <c r="DN23" s="109" t="str">
        <f aca="false">"D6.scenario.defInput["""&amp;B23&amp;"""] = {  "&amp;E$2&amp;":"""&amp;E23&amp;""",  "&amp;C$2&amp;":"""&amp;CLEAN(SUBSTITUTE(C23,"""",""""))&amp;""",  "&amp;F$2&amp;":"""&amp;F23&amp;""",  "&amp;H$2&amp;":"""&amp;CLEAN(SUBSTITUTE(H23,"""",""""))&amp;""", "&amp;J$2&amp;":"""&amp;J23&amp;""", "&amp;L$2&amp;":"""&amp;L23&amp;""", "&amp;M$2&amp;":"""&amp;M23&amp;""", "&amp;N$2&amp;":"""&amp;N23&amp;""", "&amp;O$2&amp;":"""&amp;O23&amp;""", "&amp;P$2&amp;":"""&amp;P23&amp;""", "&amp;Q$2&amp;":"""&amp;Q23&amp;""", "&amp;R$2&amp;":"""&amp;R23&amp;""", d11t:"""&amp;CJ23&amp;""",d11p:"""&amp;CK23&amp;""",d12t:"""&amp;CL23&amp;""",d12p:"""&amp;CM23&amp;""",d13t:"""&amp;CN23&amp;""",d13p:"""&amp;CO23&amp;""",d1w:"""&amp;CP23&amp;""",d1d:"""&amp;CQ23&amp;""", d21t:"""&amp;CR23&amp;""",d21p:"""&amp;CS23&amp;""",d22t:"""&amp;CT23&amp;""",d22p:"""&amp;CU23&amp;""",d23t:"""&amp;CV23&amp;""",d23p:"""&amp;CW23&amp;""",d2w:"""&amp;CX23&amp;""",d2d:"""&amp;CY23&amp;""", d31t:"""&amp;CZ23&amp;""",d31p:"""&amp;DA23&amp;""",d32t:"""&amp;DB23&amp;""",d32p:"""&amp;DC23&amp;""",d33t:"""&amp;DD23&amp;""",d33p:"""&amp;DE23&amp;""",d3w:"""&amp;DF23&amp;""",d3d:"""&amp;DG23&amp;"""}; "</f>
        <v>D6.scenario.defInput["i053"] = {  cons:"consEnergy",  title:"太陽光発電の設置年",  unit:"",  text:"太陽光発電を設置した年はいつですか", inputType:"sel053", right:"", postfix:"", nodata:"", varType:"Number", min:"", max:"", defaultValue:"-1", d11t:"",d11p:"",d12t:"",d12p:"",d13t:"",d13p:"",d1w:"",d1d:"", d21t:"",d21p:"",d22t:"",d22p:"",d23t:"",d23p:"",d2w:"",d2d:"", d31t:"",d31p:"",d32t:"",d32p:"",d33t:"",d33p:"",d3w:"",d3d:""}; </v>
      </c>
      <c r="DO23" s="110"/>
      <c r="DP23" s="110"/>
      <c r="DQ23" s="111" t="str">
        <f aca="false">"D6.scenario.defSelectValue["""&amp;U23&amp;"""]= [ """&amp;CLEAN(V23)&amp;""", """&amp;CLEAN(W23)&amp;IF(X23="","",""", """&amp;CLEAN(X23))&amp;IF(Y23="","",""", """&amp;CLEAN(Y23))&amp;IF(Z23="","",""", """&amp;CLEAN(Z23))&amp;IF(AA23="","",""", """&amp;CLEAN(AA23))&amp;IF(AB23="","",""", """&amp;CLEAN(AB23))&amp;IF(AC23="","",""", """&amp;CLEAN(AC23))&amp;IF(AD23="","",""", """&amp;CLEAN(AD23))&amp;IF(AE23="","",""", """&amp;CLEAN(AE23))&amp;IF(AF23="","",""", """&amp;CLEAN(AF23))&amp;IF(AG23="","",""", """&amp;CLEAN(AG23))&amp;IF(AH23="","",""", """&amp;CLEAN(AH23))&amp;IF(AI23="","",""", """&amp;CLEAN(AI23))&amp;IF(AJ23="","",""", """&amp;CLEAN(AJ23))&amp;IF(AK23="","",""", """&amp;CLEAN(AK23))&amp;""" ];"</f>
        <v>D6.scenario.defSelectValue["sel053"]= [ "選んで下さい", "2014年度以前", "2015年度", "2016年度", "2017年度", "2018年度", "2019年度", "2020年度", "2021年度", "2022年度", "2023年度", "2024年度・25年9月まで", "2025年10月以降", "設置していない" ];</v>
      </c>
      <c r="DR23" s="112"/>
      <c r="DS23" s="112"/>
      <c r="DT23" s="112" t="str">
        <f aca="false">"D6.scenario.defSelectData['"&amp;U23&amp;"']= [ '"&amp;BC23&amp;"', '"&amp;BD23&amp;"', '"&amp;BE23&amp;IF(BF23="","","', '"&amp;BF23)&amp;IF(BG23="","","', '"&amp;BG23)&amp;IF(BH23="","","', '"&amp;BH23)&amp;IF(BI23="","","', '"&amp;BI23)&amp;IF(BJ23="","","', '"&amp;BJ23)&amp;IF(BK23="","","', '"&amp;BK23)&amp;IF(BL23="","","', '"&amp;BL23)&amp;IF(BM23="","","', '"&amp;BM23)&amp;IF(BN23="","","', '"&amp;BN23)&amp;IF(BO23="","","', '"&amp;BO23)&amp;IF(BP23="","","', '"&amp;BP23)&amp;IF(BQ23="","","', '"&amp;BQ23)&amp;IF(BR23="","","', '"&amp;BR23)&amp;"' ];"</f>
        <v>D6.scenario.defSelectData['sel053']= [ '-1', '2014', '2015', '2016', '2017', '2018', '2019', '2020', '2021', '2022', '2023', '2024', '2025', '9999' ];</v>
      </c>
    </row>
    <row r="24" s="88" customFormat="true" ht="43.5" hidden="false" customHeight="true" outlineLevel="0" collapsed="false">
      <c r="A24" s="66"/>
      <c r="B24" s="95" t="s">
        <v>1138</v>
      </c>
      <c r="C24" s="103" t="s">
        <v>1139</v>
      </c>
      <c r="D24" s="104" t="s">
        <v>1139</v>
      </c>
      <c r="E24" s="95" t="s">
        <v>1104</v>
      </c>
      <c r="F24" s="103"/>
      <c r="G24" s="104"/>
      <c r="H24" s="103" t="s">
        <v>1139</v>
      </c>
      <c r="I24" s="104" t="s">
        <v>1139</v>
      </c>
      <c r="J24" s="103" t="str">
        <f aca="false">IF(K24="","",K24)</f>
        <v>sel054</v>
      </c>
      <c r="K24" s="104" t="str">
        <f aca="false">"sel"&amp;MID($B24,2,5)</f>
        <v>sel054</v>
      </c>
      <c r="L24" s="105"/>
      <c r="M24" s="105"/>
      <c r="N24" s="105"/>
      <c r="O24" s="95" t="s">
        <v>931</v>
      </c>
      <c r="P24" s="105"/>
      <c r="Q24" s="105"/>
      <c r="R24" s="95" t="n">
        <v>-1</v>
      </c>
      <c r="S24" s="66"/>
      <c r="U24" s="106" t="str">
        <f aca="false">J24</f>
        <v>sel054</v>
      </c>
      <c r="V24" s="103" t="s">
        <v>979</v>
      </c>
      <c r="W24" s="103" t="s">
        <v>1140</v>
      </c>
      <c r="X24" s="103" t="s">
        <v>1141</v>
      </c>
      <c r="Y24" s="103"/>
      <c r="Z24" s="103"/>
      <c r="AA24" s="103"/>
      <c r="AB24" s="103"/>
      <c r="AC24" s="103"/>
      <c r="AD24" s="103"/>
      <c r="AE24" s="103"/>
      <c r="AF24" s="103"/>
      <c r="AG24" s="103"/>
      <c r="AH24" s="103"/>
      <c r="AI24" s="103"/>
      <c r="AJ24" s="103"/>
      <c r="AK24" s="103"/>
      <c r="AL24" s="104" t="s">
        <v>979</v>
      </c>
      <c r="AM24" s="107" t="s">
        <v>1140</v>
      </c>
      <c r="AN24" s="107" t="s">
        <v>1141</v>
      </c>
      <c r="AO24" s="104"/>
      <c r="AP24" s="104"/>
      <c r="AQ24" s="104"/>
      <c r="AR24" s="104"/>
      <c r="AS24" s="104"/>
      <c r="AT24" s="104"/>
      <c r="AU24" s="104"/>
      <c r="AV24" s="104"/>
      <c r="AW24" s="104"/>
      <c r="AX24" s="104"/>
      <c r="AY24" s="104"/>
      <c r="AZ24" s="104"/>
      <c r="BA24" s="104"/>
      <c r="BB24" s="66"/>
      <c r="BC24" s="103" t="n">
        <v>-1</v>
      </c>
      <c r="BD24" s="103" t="n">
        <v>1</v>
      </c>
      <c r="BE24" s="103" t="n">
        <v>2</v>
      </c>
      <c r="BF24" s="103"/>
      <c r="BG24" s="103"/>
      <c r="BH24" s="103"/>
      <c r="BI24" s="103"/>
      <c r="BJ24" s="103"/>
      <c r="BK24" s="103"/>
      <c r="BL24" s="103"/>
      <c r="BM24" s="103"/>
      <c r="BN24" s="103"/>
      <c r="BO24" s="103"/>
      <c r="BP24" s="103"/>
      <c r="BQ24" s="103"/>
      <c r="BR24" s="103"/>
      <c r="BS24" s="104" t="n">
        <v>-1</v>
      </c>
      <c r="BT24" s="104" t="n">
        <v>1</v>
      </c>
      <c r="BU24" s="104" t="n">
        <v>2</v>
      </c>
      <c r="BV24" s="104"/>
      <c r="BW24" s="104"/>
      <c r="BX24" s="104"/>
      <c r="BY24" s="104"/>
      <c r="BZ24" s="104"/>
      <c r="CA24" s="104"/>
      <c r="CB24" s="104"/>
      <c r="CC24" s="104"/>
      <c r="CD24" s="104"/>
      <c r="CE24" s="104"/>
      <c r="CF24" s="104"/>
      <c r="CG24" s="104"/>
      <c r="CH24" s="104"/>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L24" s="108"/>
      <c r="DM24" s="108"/>
      <c r="DN24" s="109" t="str">
        <f aca="false">"D6.scenario.defInput["""&amp;B24&amp;"""] = {  "&amp;E$2&amp;":"""&amp;E24&amp;""",  "&amp;C$2&amp;":"""&amp;CLEAN(SUBSTITUTE(C24,"""",""""))&amp;""",  "&amp;F$2&amp;":"""&amp;F24&amp;""",  "&amp;H$2&amp;":"""&amp;CLEAN(SUBSTITUTE(H24,"""",""""))&amp;""", "&amp;J$2&amp;":"""&amp;J24&amp;""", "&amp;L$2&amp;":"""&amp;L24&amp;""", "&amp;M$2&amp;":"""&amp;M24&amp;""", "&amp;N$2&amp;":"""&amp;N24&amp;""", "&amp;O$2&amp;":"""&amp;O24&amp;""", "&amp;P$2&amp;":"""&amp;P24&amp;""", "&amp;Q$2&amp;":"""&amp;Q24&amp;""", "&amp;R$2&amp;":"""&amp;R24&amp;""", d11t:"""&amp;CJ24&amp;""",d11p:"""&amp;CK24&amp;""",d12t:"""&amp;CL24&amp;""",d12p:"""&amp;CM24&amp;""",d13t:"""&amp;CN24&amp;""",d13p:"""&amp;CO24&amp;""",d1w:"""&amp;CP24&amp;""",d1d:"""&amp;CQ24&amp;""", d21t:"""&amp;CR24&amp;""",d21p:"""&amp;CS24&amp;""",d22t:"""&amp;CT24&amp;""",d22p:"""&amp;CU24&amp;""",d23t:"""&amp;CV24&amp;""",d23p:"""&amp;CW24&amp;""",d2w:"""&amp;CX24&amp;""",d2d:"""&amp;CY24&amp;""", d31t:"""&amp;CZ24&amp;""",d31p:"""&amp;DA24&amp;""",d32t:"""&amp;DB24&amp;""",d32p:"""&amp;DC24&amp;""",d33t:"""&amp;DD24&amp;""",d33p:"""&amp;DE24&amp;""",d3w:"""&amp;DF24&amp;""",d3d:"""&amp;DG24&amp;"""}; "</f>
        <v>D6.scenario.defInput["i054"] = {  cons:"consEnergy",  title:"灯油を使っていますか",  unit:"",  text:"灯油を使っていますか", inputType:"sel054", right:"", postfix:"", nodata:"", varType:"Number", min:"", max:"", defaultValue:"-1", d11t:"",d11p:"",d12t:"",d12p:"",d13t:"",d13p:"",d1w:"",d1d:"", d21t:"",d21p:"",d22t:"",d22p:"",d23t:"",d23p:"",d2w:"",d2d:"", d31t:"",d31p:"",d32t:"",d32p:"",d33t:"",d33p:"",d3w:"",d3d:""}; </v>
      </c>
      <c r="DO24" s="110"/>
      <c r="DP24" s="110"/>
      <c r="DQ24" s="111" t="str">
        <f aca="false">"D6.scenario.defSelectValue["""&amp;U24&amp;"""]= [ """&amp;CLEAN(V24)&amp;""", """&amp;CLEAN(W24)&amp;IF(X24="","",""", """&amp;CLEAN(X24))&amp;IF(Y24="","",""", """&amp;CLEAN(Y24))&amp;IF(Z24="","",""", """&amp;CLEAN(Z24))&amp;IF(AA24="","",""", """&amp;CLEAN(AA24))&amp;IF(AB24="","",""", """&amp;CLEAN(AB24))&amp;IF(AC24="","",""", """&amp;CLEAN(AC24))&amp;IF(AD24="","",""", """&amp;CLEAN(AD24))&amp;IF(AE24="","",""", """&amp;CLEAN(AE24))&amp;IF(AF24="","",""", """&amp;CLEAN(AF24))&amp;IF(AG24="","",""", """&amp;CLEAN(AG24))&amp;IF(AH24="","",""", """&amp;CLEAN(AH24))&amp;IF(AI24="","",""", """&amp;CLEAN(AI24))&amp;IF(AJ24="","",""", """&amp;CLEAN(AJ24))&amp;IF(AK24="","",""", """&amp;CLEAN(AK24))&amp;""" ];"</f>
        <v>D6.scenario.defSelectValue["sel054"]= [ "選んで下さい", "はい", "いいえ" ];</v>
      </c>
      <c r="DR24" s="112"/>
      <c r="DS24" s="112"/>
      <c r="DT24" s="112" t="str">
        <f aca="false">"D6.scenario.defSelectData['"&amp;U24&amp;"']= [ '"&amp;BC24&amp;"', '"&amp;BD24&amp;"', '"&amp;BE24&amp;IF(BF24="","","', '"&amp;BF24)&amp;IF(BG24="","","', '"&amp;BG24)&amp;IF(BH24="","","', '"&amp;BH24)&amp;IF(BI24="","","', '"&amp;BI24)&amp;IF(BJ24="","","', '"&amp;BJ24)&amp;IF(BK24="","","', '"&amp;BK24)&amp;IF(BL24="","","', '"&amp;BL24)&amp;IF(BM24="","","', '"&amp;BM24)&amp;IF(BN24="","","', '"&amp;BN24)&amp;IF(BO24="","","', '"&amp;BO24)&amp;IF(BP24="","","', '"&amp;BP24)&amp;IF(BQ24="","","', '"&amp;BQ24)&amp;IF(BR24="","","', '"&amp;BR24)&amp;"' ];"</f>
        <v>D6.scenario.defSelectData['sel054']= [ '-1', '1', '2' ];</v>
      </c>
    </row>
    <row r="25" s="88" customFormat="true" ht="43.5" hidden="false" customHeight="true" outlineLevel="0" collapsed="false">
      <c r="A25" s="66"/>
      <c r="B25" s="95" t="s">
        <v>1142</v>
      </c>
      <c r="C25" s="103" t="s">
        <v>1143</v>
      </c>
      <c r="D25" s="104" t="s">
        <v>1143</v>
      </c>
      <c r="E25" s="95" t="s">
        <v>1104</v>
      </c>
      <c r="F25" s="103" t="s">
        <v>1144</v>
      </c>
      <c r="G25" s="104" t="s">
        <v>1144</v>
      </c>
      <c r="H25" s="103" t="s">
        <v>1145</v>
      </c>
      <c r="I25" s="104" t="s">
        <v>1146</v>
      </c>
      <c r="J25" s="103" t="str">
        <f aca="false">IF(K25="","",K25)</f>
        <v>sel061</v>
      </c>
      <c r="K25" s="104" t="str">
        <f aca="false">"sel"&amp;MID($B25,2,5)</f>
        <v>sel061</v>
      </c>
      <c r="L25" s="105"/>
      <c r="M25" s="105"/>
      <c r="N25" s="105"/>
      <c r="O25" s="95" t="s">
        <v>931</v>
      </c>
      <c r="P25" s="105"/>
      <c r="Q25" s="105"/>
      <c r="R25" s="95" t="n">
        <v>-1</v>
      </c>
      <c r="S25" s="66"/>
      <c r="T25" s="66"/>
      <c r="U25" s="106" t="str">
        <f aca="false">J25</f>
        <v>sel061</v>
      </c>
      <c r="V25" s="103" t="s">
        <v>979</v>
      </c>
      <c r="W25" s="103" t="s">
        <v>1147</v>
      </c>
      <c r="X25" s="103" t="s">
        <v>1148</v>
      </c>
      <c r="Y25" s="103" t="s">
        <v>1149</v>
      </c>
      <c r="Z25" s="103" t="s">
        <v>1150</v>
      </c>
      <c r="AA25" s="103" t="s">
        <v>1151</v>
      </c>
      <c r="AB25" s="103" t="s">
        <v>1152</v>
      </c>
      <c r="AC25" s="103" t="s">
        <v>1153</v>
      </c>
      <c r="AD25" s="103" t="s">
        <v>1154</v>
      </c>
      <c r="AE25" s="103" t="s">
        <v>1155</v>
      </c>
      <c r="AF25" s="103" t="s">
        <v>1156</v>
      </c>
      <c r="AG25" s="103" t="s">
        <v>1157</v>
      </c>
      <c r="AH25" s="103"/>
      <c r="AI25" s="103"/>
      <c r="AJ25" s="103"/>
      <c r="AK25" s="103"/>
      <c r="AL25" s="104" t="s">
        <v>979</v>
      </c>
      <c r="AM25" s="104" t="s">
        <v>1147</v>
      </c>
      <c r="AN25" s="104" t="s">
        <v>1148</v>
      </c>
      <c r="AO25" s="104" t="s">
        <v>1149</v>
      </c>
      <c r="AP25" s="107" t="s">
        <v>1150</v>
      </c>
      <c r="AQ25" s="107" t="s">
        <v>1151</v>
      </c>
      <c r="AR25" s="107" t="s">
        <v>1152</v>
      </c>
      <c r="AS25" s="107" t="s">
        <v>1153</v>
      </c>
      <c r="AT25" s="107" t="s">
        <v>1154</v>
      </c>
      <c r="AU25" s="104" t="s">
        <v>1155</v>
      </c>
      <c r="AV25" s="104" t="s">
        <v>1156</v>
      </c>
      <c r="AW25" s="104" t="s">
        <v>1157</v>
      </c>
      <c r="AX25" s="104"/>
      <c r="AY25" s="104"/>
      <c r="AZ25" s="104"/>
      <c r="BA25" s="104"/>
      <c r="BB25" s="66"/>
      <c r="BC25" s="103" t="n">
        <v>-1</v>
      </c>
      <c r="BD25" s="103" t="n">
        <v>1000</v>
      </c>
      <c r="BE25" s="103" t="n">
        <v>2000</v>
      </c>
      <c r="BF25" s="103" t="n">
        <v>3000</v>
      </c>
      <c r="BG25" s="103" t="n">
        <v>5000</v>
      </c>
      <c r="BH25" s="103" t="n">
        <v>7000</v>
      </c>
      <c r="BI25" s="103" t="n">
        <v>10000</v>
      </c>
      <c r="BJ25" s="103" t="n">
        <v>12000</v>
      </c>
      <c r="BK25" s="103" t="n">
        <v>15000</v>
      </c>
      <c r="BL25" s="103" t="n">
        <v>20000</v>
      </c>
      <c r="BM25" s="103" t="n">
        <v>30000</v>
      </c>
      <c r="BN25" s="103" t="n">
        <v>40000</v>
      </c>
      <c r="BO25" s="103"/>
      <c r="BP25" s="103"/>
      <c r="BQ25" s="103"/>
      <c r="BR25" s="103"/>
      <c r="BS25" s="104" t="n">
        <v>-1</v>
      </c>
      <c r="BT25" s="104" t="n">
        <f aca="false">VALUE(LEFT(AM25,LEN(AM25)-1))</f>
        <v>1000</v>
      </c>
      <c r="BU25" s="104" t="n">
        <f aca="false">VALUE(LEFT(AN25,LEN(AN25)-1))</f>
        <v>2000</v>
      </c>
      <c r="BV25" s="104" t="n">
        <f aca="false">VALUE(LEFT(AO25,LEN(AO25)-1))</f>
        <v>3000</v>
      </c>
      <c r="BW25" s="104" t="n">
        <f aca="false">VALUE(LEFT(AP25,LEN(AP25)-1))</f>
        <v>5000</v>
      </c>
      <c r="BX25" s="104" t="n">
        <f aca="false">VALUE(LEFT(AQ25,LEN(AQ25)-1))</f>
        <v>7000</v>
      </c>
      <c r="BY25" s="104" t="n">
        <v>10000</v>
      </c>
      <c r="BZ25" s="104" t="n">
        <v>12000</v>
      </c>
      <c r="CA25" s="104" t="n">
        <v>15000</v>
      </c>
      <c r="CB25" s="104" t="n">
        <v>20000</v>
      </c>
      <c r="CC25" s="104" t="n">
        <v>30000</v>
      </c>
      <c r="CD25" s="104" t="n">
        <v>40000</v>
      </c>
      <c r="CE25" s="104"/>
      <c r="CF25" s="104"/>
      <c r="CG25" s="104"/>
      <c r="CH25" s="104"/>
      <c r="CJ25" s="95" t="n">
        <v>15000</v>
      </c>
      <c r="CK25" s="95" t="n">
        <v>0</v>
      </c>
      <c r="CL25" s="95" t="n">
        <v>10000</v>
      </c>
      <c r="CM25" s="95" t="n">
        <v>1</v>
      </c>
      <c r="CN25" s="95" t="n">
        <v>0</v>
      </c>
      <c r="CO25" s="95" t="n">
        <v>2</v>
      </c>
      <c r="CP25" s="95" t="n">
        <v>3</v>
      </c>
      <c r="CQ25" s="95" t="n">
        <v>1</v>
      </c>
      <c r="CR25" s="95"/>
      <c r="CS25" s="95"/>
      <c r="CT25" s="95"/>
      <c r="CU25" s="95"/>
      <c r="CV25" s="95"/>
      <c r="CW25" s="95"/>
      <c r="CX25" s="95"/>
      <c r="CY25" s="95"/>
      <c r="CZ25" s="95"/>
      <c r="DA25" s="95"/>
      <c r="DB25" s="95"/>
      <c r="DC25" s="95"/>
      <c r="DD25" s="95"/>
      <c r="DE25" s="95"/>
      <c r="DF25" s="95"/>
      <c r="DG25" s="95"/>
      <c r="DL25" s="108"/>
      <c r="DM25" s="108"/>
      <c r="DN25" s="109" t="str">
        <f aca="false">"D6.scenario.defInput["""&amp;B25&amp;"""] = {  "&amp;E$2&amp;":"""&amp;E25&amp;""",  "&amp;C$2&amp;":"""&amp;CLEAN(SUBSTITUTE(C25,"""",""""))&amp;""",  "&amp;F$2&amp;":"""&amp;F25&amp;""",  "&amp;H$2&amp;":"""&amp;CLEAN(SUBSTITUTE(H25,"""",""""))&amp;""", "&amp;J$2&amp;":"""&amp;J25&amp;""", "&amp;L$2&amp;":"""&amp;L25&amp;""", "&amp;M$2&amp;":"""&amp;M25&amp;""", "&amp;N$2&amp;":"""&amp;N25&amp;""", "&amp;O$2&amp;":"""&amp;O25&amp;""", "&amp;P$2&amp;":"""&amp;P25&amp;""", "&amp;Q$2&amp;":"""&amp;Q25&amp;""", "&amp;R$2&amp;":"""&amp;R25&amp;""", d11t:"""&amp;CJ25&amp;""",d11p:"""&amp;CK25&amp;""",d12t:"""&amp;CL25&amp;""",d12p:"""&amp;CM25&amp;""",d13t:"""&amp;CN25&amp;""",d13p:"""&amp;CO25&amp;""",d1w:"""&amp;CP25&amp;""",d1d:"""&amp;CQ25&amp;""", d21t:"""&amp;CR25&amp;""",d21p:"""&amp;CS25&amp;""",d22t:"""&amp;CT25&amp;""",d22p:"""&amp;CU25&amp;""",d23t:"""&amp;CV25&amp;""",d23p:"""&amp;CW25&amp;""",d2w:"""&amp;CX25&amp;""",d2d:"""&amp;CY25&amp;""", d31t:"""&amp;CZ25&amp;""",d31p:"""&amp;DA25&amp;""",d32t:"""&amp;DB25&amp;""",d32p:"""&amp;DC25&amp;""",d33t:"""&amp;DD25&amp;""",d33p:"""&amp;DE25&amp;""",d3w:"""&amp;DF25&amp;""",d3d:"""&amp;DG25&amp;"""}; "</f>
        <v>D6.scenario.defInput["i061"] = {  cons:"consEnergy",  title:"電気代",  unit:"円",  text:"年平均で、1ヶ月のおおよその電気代を選んでください。", inputType:"sel061", right:"", postfix:"", nodata:"", varType:"Number", min:"", max:"", defaultValue:"-1", d11t:"15000",d11p:"0",d12t:"10000",d12p:"1",d13t:"0",d13p:"2",d1w:"3",d1d:"1", d21t:"",d21p:"",d22t:"",d22p:"",d23t:"",d23p:"",d2w:"",d2d:"", d31t:"",d31p:"",d32t:"",d32p:"",d33t:"",d33p:"",d3w:"",d3d:""}; </v>
      </c>
      <c r="DO25" s="110"/>
      <c r="DP25" s="110"/>
      <c r="DQ25" s="111" t="str">
        <f aca="false">"D6.scenario.defSelectValue["""&amp;U25&amp;"""]= [ """&amp;CLEAN(V25)&amp;""", """&amp;CLEAN(W25)&amp;IF(X25="","",""", """&amp;CLEAN(X25))&amp;IF(Y25="","",""", """&amp;CLEAN(Y25))&amp;IF(Z25="","",""", """&amp;CLEAN(Z25))&amp;IF(AA25="","",""", """&amp;CLEAN(AA25))&amp;IF(AB25="","",""", """&amp;CLEAN(AB25))&amp;IF(AC25="","",""", """&amp;CLEAN(AC25))&amp;IF(AD25="","",""", """&amp;CLEAN(AD25))&amp;IF(AE25="","",""", """&amp;CLEAN(AE25))&amp;IF(AF25="","",""", """&amp;CLEAN(AF25))&amp;IF(AG25="","",""", """&amp;CLEAN(AG25))&amp;IF(AH25="","",""", """&amp;CLEAN(AH25))&amp;IF(AI25="","",""", """&amp;CLEAN(AI25))&amp;IF(AJ25="","",""", """&amp;CLEAN(AJ25))&amp;IF(AK25="","",""", """&amp;CLEAN(AK25))&amp;""" ];"</f>
        <v>D6.scenario.defSelectValue["sel061"]= [ "選んで下さい", "1000円", "2000円", "3000円", "5000円", "7000円", "1万円", "1万2000円", "1万5000円", "2万円", "3万円", "それ以上" ];</v>
      </c>
      <c r="DR25" s="112"/>
      <c r="DS25" s="112"/>
      <c r="DT25" s="112" t="str">
        <f aca="false">"D6.scenario.defSelectData['"&amp;U25&amp;"']= [ '"&amp;BC25&amp;"', '"&amp;BD25&amp;"', '"&amp;BE25&amp;IF(BF25="","","', '"&amp;BF25)&amp;IF(BG25="","","', '"&amp;BG25)&amp;IF(BH25="","","', '"&amp;BH25)&amp;IF(BI25="","","', '"&amp;BI25)&amp;IF(BJ25="","","', '"&amp;BJ25)&amp;IF(BK25="","","', '"&amp;BK25)&amp;IF(BL25="","","', '"&amp;BL25)&amp;IF(BM25="","","', '"&amp;BM25)&amp;IF(BN25="","","', '"&amp;BN25)&amp;IF(BO25="","","', '"&amp;BO25)&amp;IF(BP25="","","', '"&amp;BP25)&amp;IF(BQ25="","","', '"&amp;BQ25)&amp;IF(BR25="","","', '"&amp;BR25)&amp;"' ];"</f>
        <v>D6.scenario.defSelectData['sel061']= [ '-1', '1000', '2000', '3000', '5000', '7000', '10000', '12000', '15000', '20000', '30000', '40000' ];</v>
      </c>
    </row>
    <row r="26" s="88" customFormat="true" ht="43.5" hidden="false" customHeight="true" outlineLevel="0" collapsed="false">
      <c r="A26" s="66"/>
      <c r="B26" s="95" t="s">
        <v>1158</v>
      </c>
      <c r="C26" s="103" t="s">
        <v>1159</v>
      </c>
      <c r="D26" s="104" t="s">
        <v>1159</v>
      </c>
      <c r="E26" s="95" t="s">
        <v>1104</v>
      </c>
      <c r="F26" s="103" t="s">
        <v>1144</v>
      </c>
      <c r="G26" s="104" t="s">
        <v>1144</v>
      </c>
      <c r="H26" s="103" t="s">
        <v>1160</v>
      </c>
      <c r="I26" s="104" t="s">
        <v>1160</v>
      </c>
      <c r="J26" s="103" t="str">
        <f aca="false">IF(K26="","",K26)</f>
        <v>sel062</v>
      </c>
      <c r="K26" s="104" t="str">
        <f aca="false">"sel"&amp;MID($B26,2,5)</f>
        <v>sel062</v>
      </c>
      <c r="L26" s="105"/>
      <c r="M26" s="105"/>
      <c r="N26" s="105"/>
      <c r="O26" s="95" t="s">
        <v>931</v>
      </c>
      <c r="P26" s="105"/>
      <c r="Q26" s="105"/>
      <c r="R26" s="95" t="n">
        <v>-1</v>
      </c>
      <c r="S26" s="66"/>
      <c r="T26" s="66"/>
      <c r="U26" s="106" t="str">
        <f aca="false">J26</f>
        <v>sel062</v>
      </c>
      <c r="V26" s="103" t="s">
        <v>979</v>
      </c>
      <c r="W26" s="103" t="s">
        <v>1147</v>
      </c>
      <c r="X26" s="103" t="s">
        <v>1148</v>
      </c>
      <c r="Y26" s="103" t="s">
        <v>1149</v>
      </c>
      <c r="Z26" s="103" t="s">
        <v>1150</v>
      </c>
      <c r="AA26" s="103" t="s">
        <v>1151</v>
      </c>
      <c r="AB26" s="103" t="s">
        <v>1152</v>
      </c>
      <c r="AC26" s="103" t="s">
        <v>1153</v>
      </c>
      <c r="AD26" s="103" t="s">
        <v>1154</v>
      </c>
      <c r="AE26" s="103" t="s">
        <v>1155</v>
      </c>
      <c r="AF26" s="103" t="s">
        <v>1156</v>
      </c>
      <c r="AG26" s="103" t="s">
        <v>1157</v>
      </c>
      <c r="AH26" s="103"/>
      <c r="AI26" s="103"/>
      <c r="AJ26" s="103"/>
      <c r="AK26" s="103"/>
      <c r="AL26" s="104" t="s">
        <v>979</v>
      </c>
      <c r="AM26" s="104" t="s">
        <v>1147</v>
      </c>
      <c r="AN26" s="104" t="s">
        <v>1148</v>
      </c>
      <c r="AO26" s="104" t="s">
        <v>1149</v>
      </c>
      <c r="AP26" s="104" t="s">
        <v>1150</v>
      </c>
      <c r="AQ26" s="104" t="s">
        <v>1151</v>
      </c>
      <c r="AR26" s="107" t="s">
        <v>1152</v>
      </c>
      <c r="AS26" s="104" t="s">
        <v>1153</v>
      </c>
      <c r="AT26" s="104" t="s">
        <v>1154</v>
      </c>
      <c r="AU26" s="104" t="s">
        <v>1155</v>
      </c>
      <c r="AV26" s="104" t="s">
        <v>1156</v>
      </c>
      <c r="AW26" s="104" t="s">
        <v>1157</v>
      </c>
      <c r="AX26" s="104"/>
      <c r="AY26" s="104"/>
      <c r="AZ26" s="104"/>
      <c r="BA26" s="104"/>
      <c r="BB26" s="66"/>
      <c r="BC26" s="103" t="n">
        <v>-1</v>
      </c>
      <c r="BD26" s="103" t="n">
        <v>1000</v>
      </c>
      <c r="BE26" s="103" t="n">
        <v>2000</v>
      </c>
      <c r="BF26" s="103" t="n">
        <v>3000</v>
      </c>
      <c r="BG26" s="103" t="n">
        <v>5000</v>
      </c>
      <c r="BH26" s="103" t="n">
        <v>7000</v>
      </c>
      <c r="BI26" s="103" t="n">
        <v>10000</v>
      </c>
      <c r="BJ26" s="103" t="n">
        <v>12000</v>
      </c>
      <c r="BK26" s="103" t="n">
        <v>15000</v>
      </c>
      <c r="BL26" s="103" t="n">
        <v>20000</v>
      </c>
      <c r="BM26" s="103" t="n">
        <v>30000</v>
      </c>
      <c r="BN26" s="103" t="n">
        <v>40000</v>
      </c>
      <c r="BO26" s="103"/>
      <c r="BP26" s="103"/>
      <c r="BQ26" s="103"/>
      <c r="BR26" s="103"/>
      <c r="BS26" s="104" t="n">
        <v>-1</v>
      </c>
      <c r="BT26" s="104" t="n">
        <f aca="false">VALUE(LEFT(AM26,LEN(AM26)-1))</f>
        <v>1000</v>
      </c>
      <c r="BU26" s="104" t="n">
        <f aca="false">VALUE(LEFT(AN26,LEN(AN26)-1))</f>
        <v>2000</v>
      </c>
      <c r="BV26" s="104" t="n">
        <f aca="false">VALUE(LEFT(AO26,LEN(AO26)-1))</f>
        <v>3000</v>
      </c>
      <c r="BW26" s="104" t="n">
        <f aca="false">VALUE(LEFT(AP26,LEN(AP26)-1))</f>
        <v>5000</v>
      </c>
      <c r="BX26" s="104" t="n">
        <f aca="false">VALUE(LEFT(AQ26,LEN(AQ26)-1))</f>
        <v>7000</v>
      </c>
      <c r="BY26" s="104" t="n">
        <v>10000</v>
      </c>
      <c r="BZ26" s="104" t="n">
        <v>12000</v>
      </c>
      <c r="CA26" s="104" t="n">
        <v>15000</v>
      </c>
      <c r="CB26" s="104" t="n">
        <v>20000</v>
      </c>
      <c r="CC26" s="104" t="n">
        <v>30000</v>
      </c>
      <c r="CD26" s="104" t="n">
        <v>40000</v>
      </c>
      <c r="CE26" s="104"/>
      <c r="CF26" s="104"/>
      <c r="CG26" s="104"/>
      <c r="CH26" s="104"/>
      <c r="CJ26" s="95"/>
      <c r="CK26" s="95"/>
      <c r="CL26" s="95"/>
      <c r="CM26" s="95"/>
      <c r="CN26" s="95"/>
      <c r="CO26" s="95"/>
      <c r="CP26" s="95"/>
      <c r="CQ26" s="95"/>
      <c r="CR26" s="95"/>
      <c r="CS26" s="95"/>
      <c r="CT26" s="95"/>
      <c r="CU26" s="95"/>
      <c r="CV26" s="95"/>
      <c r="CW26" s="95"/>
      <c r="CX26" s="95"/>
      <c r="CY26" s="95"/>
      <c r="CZ26" s="95"/>
      <c r="DA26" s="95"/>
      <c r="DB26" s="95"/>
      <c r="DC26" s="95"/>
      <c r="DD26" s="95"/>
      <c r="DE26" s="95"/>
      <c r="DF26" s="95"/>
      <c r="DG26" s="95"/>
      <c r="DL26" s="108"/>
      <c r="DM26" s="108"/>
      <c r="DN26" s="109" t="str">
        <f aca="false">"D6.scenario.defInput["""&amp;B26&amp;"""] = {  "&amp;E$2&amp;":"""&amp;E26&amp;""",  "&amp;C$2&amp;":"""&amp;CLEAN(SUBSTITUTE(C26,"""",""""))&amp;""",  "&amp;F$2&amp;":"""&amp;F26&amp;""",  "&amp;H$2&amp;":"""&amp;CLEAN(SUBSTITUTE(H26,"""",""""))&amp;""", "&amp;J$2&amp;":"""&amp;J26&amp;""", "&amp;L$2&amp;":"""&amp;L26&amp;""", "&amp;M$2&amp;":"""&amp;M26&amp;""", "&amp;N$2&amp;":"""&amp;N26&amp;""", "&amp;O$2&amp;":"""&amp;O26&amp;""", "&amp;P$2&amp;":"""&amp;P26&amp;""", "&amp;Q$2&amp;":"""&amp;Q26&amp;""", "&amp;R$2&amp;":"""&amp;R26&amp;""", d11t:"""&amp;CJ26&amp;""",d11p:"""&amp;CK26&amp;""",d12t:"""&amp;CL26&amp;""",d12p:"""&amp;CM26&amp;""",d13t:"""&amp;CN26&amp;""",d13p:"""&amp;CO26&amp;""",d1w:"""&amp;CP26&amp;""",d1d:"""&amp;CQ26&amp;""", d21t:"""&amp;CR26&amp;""",d21p:"""&amp;CS26&amp;""",d22t:"""&amp;CT26&amp;""",d22p:"""&amp;CU26&amp;""",d23t:"""&amp;CV26&amp;""",d23p:"""&amp;CW26&amp;""",d2w:"""&amp;CX26&amp;""",d2d:"""&amp;CY26&amp;""", d31t:"""&amp;CZ26&amp;""",d31p:"""&amp;DA26&amp;""",d32t:"""&amp;DB26&amp;""",d32p:"""&amp;DC26&amp;""",d33t:"""&amp;DD26&amp;""",d33p:"""&amp;DE26&amp;""",d3w:"""&amp;DF26&amp;""",d3d:"""&amp;DG26&amp;"""}; "</f>
        <v>D6.scenario.defInput["i062"] = {  cons:"consEnergy",  title:"売電金額",  unit:"円",  text:"太陽光発電で1ヶ月あたりどのくらい電気を売ることができますか。", inputType:"sel062", right:"", postfix:"", nodata:"", varType:"Number", min:"", max:"", defaultValue:"-1", d11t:"",d11p:"",d12t:"",d12p:"",d13t:"",d13p:"",d1w:"",d1d:"", d21t:"",d21p:"",d22t:"",d22p:"",d23t:"",d23p:"",d2w:"",d2d:"", d31t:"",d31p:"",d32t:"",d32p:"",d33t:"",d33p:"",d3w:"",d3d:""}; </v>
      </c>
      <c r="DO26" s="110"/>
      <c r="DP26" s="110"/>
      <c r="DQ26" s="111" t="str">
        <f aca="false">"D6.scenario.defSelectValue["""&amp;U26&amp;"""]= [ """&amp;CLEAN(V26)&amp;""", """&amp;CLEAN(W26)&amp;IF(X26="","",""", """&amp;CLEAN(X26))&amp;IF(Y26="","",""", """&amp;CLEAN(Y26))&amp;IF(Z26="","",""", """&amp;CLEAN(Z26))&amp;IF(AA26="","",""", """&amp;CLEAN(AA26))&amp;IF(AB26="","",""", """&amp;CLEAN(AB26))&amp;IF(AC26="","",""", """&amp;CLEAN(AC26))&amp;IF(AD26="","",""", """&amp;CLEAN(AD26))&amp;IF(AE26="","",""", """&amp;CLEAN(AE26))&amp;IF(AF26="","",""", """&amp;CLEAN(AF26))&amp;IF(AG26="","",""", """&amp;CLEAN(AG26))&amp;IF(AH26="","",""", """&amp;CLEAN(AH26))&amp;IF(AI26="","",""", """&amp;CLEAN(AI26))&amp;IF(AJ26="","",""", """&amp;CLEAN(AJ26))&amp;IF(AK26="","",""", """&amp;CLEAN(AK26))&amp;""" ];"</f>
        <v>D6.scenario.defSelectValue["sel062"]= [ "選んで下さい", "1000円", "2000円", "3000円", "5000円", "7000円", "1万円", "1万2000円", "1万5000円", "2万円", "3万円", "それ以上" ];</v>
      </c>
      <c r="DR26" s="112"/>
      <c r="DS26" s="112"/>
      <c r="DT26" s="112" t="str">
        <f aca="false">"D6.scenario.defSelectData['"&amp;U26&amp;"']= [ '"&amp;BC26&amp;"', '"&amp;BD26&amp;"', '"&amp;BE26&amp;IF(BF26="","","', '"&amp;BF26)&amp;IF(BG26="","","', '"&amp;BG26)&amp;IF(BH26="","","', '"&amp;BH26)&amp;IF(BI26="","","', '"&amp;BI26)&amp;IF(BJ26="","","', '"&amp;BJ26)&amp;IF(BK26="","","', '"&amp;BK26)&amp;IF(BL26="","","', '"&amp;BL26)&amp;IF(BM26="","","', '"&amp;BM26)&amp;IF(BN26="","","', '"&amp;BN26)&amp;IF(BO26="","","', '"&amp;BO26)&amp;IF(BP26="","","', '"&amp;BP26)&amp;IF(BQ26="","","', '"&amp;BQ26)&amp;IF(BR26="","","', '"&amp;BR26)&amp;"' ];"</f>
        <v>D6.scenario.defSelectData['sel062']= [ '-1', '1000', '2000', '3000', '5000', '7000', '10000', '12000', '15000', '20000', '30000', '40000' ];</v>
      </c>
    </row>
    <row r="27" s="88" customFormat="true" ht="43.5" hidden="false" customHeight="true" outlineLevel="0" collapsed="false">
      <c r="A27" s="66"/>
      <c r="B27" s="95" t="s">
        <v>1161</v>
      </c>
      <c r="C27" s="103" t="s">
        <v>1162</v>
      </c>
      <c r="D27" s="104" t="s">
        <v>1162</v>
      </c>
      <c r="E27" s="95" t="s">
        <v>1104</v>
      </c>
      <c r="F27" s="103" t="s">
        <v>1144</v>
      </c>
      <c r="G27" s="104" t="s">
        <v>1144</v>
      </c>
      <c r="H27" s="103" t="s">
        <v>1163</v>
      </c>
      <c r="I27" s="104" t="s">
        <v>1164</v>
      </c>
      <c r="J27" s="103" t="str">
        <f aca="false">IF(K27="","",K27)</f>
        <v>sel063</v>
      </c>
      <c r="K27" s="104" t="str">
        <f aca="false">"sel"&amp;MID($B27,2,5)</f>
        <v>sel063</v>
      </c>
      <c r="L27" s="105"/>
      <c r="M27" s="105"/>
      <c r="N27" s="105"/>
      <c r="O27" s="95" t="s">
        <v>931</v>
      </c>
      <c r="P27" s="105"/>
      <c r="Q27" s="105"/>
      <c r="R27" s="95" t="n">
        <v>-1</v>
      </c>
      <c r="S27" s="66"/>
      <c r="T27" s="66"/>
      <c r="U27" s="106" t="str">
        <f aca="false">J27</f>
        <v>sel063</v>
      </c>
      <c r="V27" s="103" t="s">
        <v>979</v>
      </c>
      <c r="W27" s="103" t="s">
        <v>1165</v>
      </c>
      <c r="X27" s="103" t="s">
        <v>1147</v>
      </c>
      <c r="Y27" s="103" t="s">
        <v>1148</v>
      </c>
      <c r="Z27" s="103" t="s">
        <v>1149</v>
      </c>
      <c r="AA27" s="103" t="s">
        <v>1150</v>
      </c>
      <c r="AB27" s="103" t="s">
        <v>1151</v>
      </c>
      <c r="AC27" s="103" t="s">
        <v>1152</v>
      </c>
      <c r="AD27" s="103" t="s">
        <v>1153</v>
      </c>
      <c r="AE27" s="103" t="s">
        <v>1154</v>
      </c>
      <c r="AF27" s="103" t="s">
        <v>1155</v>
      </c>
      <c r="AG27" s="103" t="s">
        <v>1156</v>
      </c>
      <c r="AH27" s="103" t="s">
        <v>1157</v>
      </c>
      <c r="AI27" s="103"/>
      <c r="AJ27" s="103"/>
      <c r="AK27" s="103"/>
      <c r="AL27" s="104" t="s">
        <v>979</v>
      </c>
      <c r="AM27" s="107" t="s">
        <v>1165</v>
      </c>
      <c r="AN27" s="104" t="s">
        <v>1147</v>
      </c>
      <c r="AO27" s="104" t="s">
        <v>1148</v>
      </c>
      <c r="AP27" s="107" t="s">
        <v>1149</v>
      </c>
      <c r="AQ27" s="107" t="s">
        <v>1150</v>
      </c>
      <c r="AR27" s="107" t="s">
        <v>1151</v>
      </c>
      <c r="AS27" s="107" t="s">
        <v>1152</v>
      </c>
      <c r="AT27" s="104" t="s">
        <v>1153</v>
      </c>
      <c r="AU27" s="104" t="s">
        <v>1154</v>
      </c>
      <c r="AV27" s="104" t="s">
        <v>1155</v>
      </c>
      <c r="AW27" s="104" t="s">
        <v>1156</v>
      </c>
      <c r="AX27" s="104" t="s">
        <v>1157</v>
      </c>
      <c r="AY27" s="104"/>
      <c r="AZ27" s="104"/>
      <c r="BA27" s="104"/>
      <c r="BB27" s="66"/>
      <c r="BC27" s="103" t="n">
        <v>-1</v>
      </c>
      <c r="BD27" s="103" t="n">
        <v>0</v>
      </c>
      <c r="BE27" s="103" t="n">
        <v>1000</v>
      </c>
      <c r="BF27" s="103" t="n">
        <v>2000</v>
      </c>
      <c r="BG27" s="103" t="n">
        <v>3000</v>
      </c>
      <c r="BH27" s="103" t="n">
        <v>5000</v>
      </c>
      <c r="BI27" s="103" t="n">
        <v>7000</v>
      </c>
      <c r="BJ27" s="103" t="n">
        <v>10000</v>
      </c>
      <c r="BK27" s="103" t="n">
        <v>12000</v>
      </c>
      <c r="BL27" s="103" t="n">
        <v>15000</v>
      </c>
      <c r="BM27" s="103" t="n">
        <v>20000</v>
      </c>
      <c r="BN27" s="103" t="n">
        <v>30000</v>
      </c>
      <c r="BO27" s="103" t="n">
        <v>40000</v>
      </c>
      <c r="BP27" s="103"/>
      <c r="BQ27" s="103"/>
      <c r="BR27" s="103"/>
      <c r="BS27" s="104" t="n">
        <v>-1</v>
      </c>
      <c r="BT27" s="104" t="n">
        <v>0</v>
      </c>
      <c r="BU27" s="104" t="n">
        <f aca="false">VALUE(LEFT(AN27,LEN(AN27)-1))</f>
        <v>1000</v>
      </c>
      <c r="BV27" s="104" t="n">
        <f aca="false">VALUE(LEFT(AO27,LEN(AO27)-1))</f>
        <v>2000</v>
      </c>
      <c r="BW27" s="104" t="n">
        <f aca="false">VALUE(LEFT(AP27,LEN(AP27)-1))</f>
        <v>3000</v>
      </c>
      <c r="BX27" s="104" t="n">
        <f aca="false">VALUE(LEFT(AQ27,LEN(AQ27)-1))</f>
        <v>5000</v>
      </c>
      <c r="BY27" s="104" t="n">
        <f aca="false">VALUE(LEFT(AR27,LEN(AR27)-1))</f>
        <v>7000</v>
      </c>
      <c r="BZ27" s="104" t="n">
        <v>10000</v>
      </c>
      <c r="CA27" s="104" t="n">
        <v>12000</v>
      </c>
      <c r="CB27" s="104" t="n">
        <v>15000</v>
      </c>
      <c r="CC27" s="104" t="n">
        <v>20000</v>
      </c>
      <c r="CD27" s="104" t="n">
        <v>30000</v>
      </c>
      <c r="CE27" s="104" t="n">
        <v>40000</v>
      </c>
      <c r="CF27" s="104"/>
      <c r="CG27" s="104"/>
      <c r="CH27" s="104"/>
      <c r="CJ27" s="95" t="n">
        <v>10000</v>
      </c>
      <c r="CK27" s="95" t="n">
        <v>0</v>
      </c>
      <c r="CL27" s="95" t="n">
        <v>6000</v>
      </c>
      <c r="CM27" s="95" t="n">
        <v>1</v>
      </c>
      <c r="CN27" s="95" t="n">
        <v>0</v>
      </c>
      <c r="CO27" s="95" t="n">
        <v>2</v>
      </c>
      <c r="CP27" s="95" t="n">
        <v>2</v>
      </c>
      <c r="CQ27" s="95" t="n">
        <v>1</v>
      </c>
      <c r="CR27" s="95"/>
      <c r="CS27" s="95"/>
      <c r="CT27" s="95"/>
      <c r="CU27" s="95"/>
      <c r="CV27" s="95"/>
      <c r="CW27" s="95"/>
      <c r="CX27" s="95"/>
      <c r="CY27" s="95"/>
      <c r="CZ27" s="95"/>
      <c r="DA27" s="95"/>
      <c r="DB27" s="95"/>
      <c r="DC27" s="95"/>
      <c r="DD27" s="95"/>
      <c r="DE27" s="95"/>
      <c r="DF27" s="95"/>
      <c r="DG27" s="95"/>
      <c r="DL27" s="108"/>
      <c r="DM27" s="108"/>
      <c r="DN27" s="109" t="str">
        <f aca="false">"D6.scenario.defInput["""&amp;B27&amp;"""] = {  "&amp;E$2&amp;":"""&amp;E27&amp;""",  "&amp;C$2&amp;":"""&amp;CLEAN(SUBSTITUTE(C27,"""",""""))&amp;""",  "&amp;F$2&amp;":"""&amp;F27&amp;""",  "&amp;H$2&amp;":"""&amp;CLEAN(SUBSTITUTE(H27,"""",""""))&amp;""", "&amp;J$2&amp;":"""&amp;J27&amp;""", "&amp;L$2&amp;":"""&amp;L27&amp;""", "&amp;M$2&amp;":"""&amp;M27&amp;""", "&amp;N$2&amp;":"""&amp;N27&amp;""", "&amp;O$2&amp;":"""&amp;O27&amp;""", "&amp;P$2&amp;":"""&amp;P27&amp;""", "&amp;Q$2&amp;":"""&amp;Q27&amp;""", "&amp;R$2&amp;":"""&amp;R27&amp;""", d11t:"""&amp;CJ27&amp;""",d11p:"""&amp;CK27&amp;""",d12t:"""&amp;CL27&amp;""",d12p:"""&amp;CM27&amp;""",d13t:"""&amp;CN27&amp;""",d13p:"""&amp;CO27&amp;""",d1w:"""&amp;CP27&amp;""",d1d:"""&amp;CQ27&amp;""", d21t:"""&amp;CR27&amp;""",d21p:"""&amp;CS27&amp;""",d22t:"""&amp;CT27&amp;""",d22p:"""&amp;CU27&amp;""",d23t:"""&amp;CV27&amp;""",d23p:"""&amp;CW27&amp;""",d2w:"""&amp;CX27&amp;""",d2d:"""&amp;CY27&amp;""", d31t:"""&amp;CZ27&amp;""",d31p:"""&amp;DA27&amp;""",d32t:"""&amp;DB27&amp;""",d32p:"""&amp;DC27&amp;""",d33t:"""&amp;DD27&amp;""",d33p:"""&amp;DE27&amp;""",d3w:"""&amp;DF27&amp;""",d3d:"""&amp;DG27&amp;"""}; "</f>
        <v>D6.scenario.defInput["i063"] = {  cons:"consEnergy",  title:"ガス代",  unit:"円",  text:"年平均で、1ヶ月のおおよそのガス代を選んで下さい。", inputType:"sel063", right:"", postfix:"", nodata:"", varType:"Number", min:"", max:"", defaultValue:"-1", d11t:"10000",d11p:"0",d12t:"6000",d12p:"1",d13t:"0",d13p:"2",d1w:"2",d1d:"1", d21t:"",d21p:"",d22t:"",d22p:"",d23t:"",d23p:"",d2w:"",d2d:"", d31t:"",d31p:"",d32t:"",d32p:"",d33t:"",d33p:"",d3w:"",d3d:""}; </v>
      </c>
      <c r="DO27" s="110"/>
      <c r="DP27" s="110"/>
      <c r="DQ27" s="111" t="str">
        <f aca="false">"D6.scenario.defSelectValue["""&amp;U27&amp;"""]= [ """&amp;CLEAN(V27)&amp;""", """&amp;CLEAN(W27)&amp;IF(X27="","",""", """&amp;CLEAN(X27))&amp;IF(Y27="","",""", """&amp;CLEAN(Y27))&amp;IF(Z27="","",""", """&amp;CLEAN(Z27))&amp;IF(AA27="","",""", """&amp;CLEAN(AA27))&amp;IF(AB27="","",""", """&amp;CLEAN(AB27))&amp;IF(AC27="","",""", """&amp;CLEAN(AC27))&amp;IF(AD27="","",""", """&amp;CLEAN(AD27))&amp;IF(AE27="","",""", """&amp;CLEAN(AE27))&amp;IF(AF27="","",""", """&amp;CLEAN(AF27))&amp;IF(AG27="","",""", """&amp;CLEAN(AG27))&amp;IF(AH27="","",""", """&amp;CLEAN(AH27))&amp;IF(AI27="","",""", """&amp;CLEAN(AI27))&amp;IF(AJ27="","",""", """&amp;CLEAN(AJ27))&amp;IF(AK27="","",""", """&amp;CLEAN(AK27))&amp;""" ];"</f>
        <v>D6.scenario.defSelectValue["sel063"]= [ "選んで下さい", "オール電化（使わない）", "1000円", "2000円", "3000円", "5000円", "7000円", "1万円", "1万2000円", "1万5000円", "2万円", "3万円", "それ以上" ];</v>
      </c>
      <c r="DR27" s="112"/>
      <c r="DS27" s="112"/>
      <c r="DT27" s="112" t="str">
        <f aca="false">"D6.scenario.defSelectData['"&amp;U27&amp;"']= [ '"&amp;BC27&amp;"', '"&amp;BD27&amp;"', '"&amp;BE27&amp;IF(BF27="","","', '"&amp;BF27)&amp;IF(BG27="","","', '"&amp;BG27)&amp;IF(BH27="","","', '"&amp;BH27)&amp;IF(BI27="","","', '"&amp;BI27)&amp;IF(BJ27="","","', '"&amp;BJ27)&amp;IF(BK27="","","', '"&amp;BK27)&amp;IF(BL27="","","', '"&amp;BL27)&amp;IF(BM27="","","', '"&amp;BM27)&amp;IF(BN27="","","', '"&amp;BN27)&amp;IF(BO27="","","', '"&amp;BO27)&amp;IF(BP27="","","', '"&amp;BP27)&amp;IF(BQ27="","","', '"&amp;BQ27)&amp;IF(BR27="","","', '"&amp;BR27)&amp;"' ];"</f>
        <v>D6.scenario.defSelectData['sel063']= [ '-1', '0', '1000', '2000', '3000', '5000', '7000', '10000', '12000', '15000', '20000', '30000', '40000' ];</v>
      </c>
    </row>
    <row r="28" s="88" customFormat="true" ht="43.5" hidden="false" customHeight="true" outlineLevel="0" collapsed="false">
      <c r="A28" s="66"/>
      <c r="B28" s="95" t="s">
        <v>1166</v>
      </c>
      <c r="C28" s="103" t="s">
        <v>1167</v>
      </c>
      <c r="D28" s="104" t="s">
        <v>1167</v>
      </c>
      <c r="E28" s="95" t="s">
        <v>1104</v>
      </c>
      <c r="F28" s="103" t="s">
        <v>1144</v>
      </c>
      <c r="G28" s="104" t="s">
        <v>1144</v>
      </c>
      <c r="H28" s="103" t="s">
        <v>1168</v>
      </c>
      <c r="I28" s="104" t="s">
        <v>1169</v>
      </c>
      <c r="J28" s="103" t="str">
        <f aca="false">IF(K28="","",K28)</f>
        <v>sel064</v>
      </c>
      <c r="K28" s="104" t="str">
        <f aca="false">"sel"&amp;MID($B28,2,5)</f>
        <v>sel064</v>
      </c>
      <c r="L28" s="105"/>
      <c r="M28" s="105"/>
      <c r="N28" s="105"/>
      <c r="O28" s="95" t="s">
        <v>931</v>
      </c>
      <c r="P28" s="105"/>
      <c r="Q28" s="105"/>
      <c r="R28" s="95" t="n">
        <v>-1</v>
      </c>
      <c r="S28" s="66"/>
      <c r="T28" s="66"/>
      <c r="U28" s="106" t="str">
        <f aca="false">J28</f>
        <v>sel064</v>
      </c>
      <c r="V28" s="103" t="s">
        <v>979</v>
      </c>
      <c r="W28" s="103" t="s">
        <v>1170</v>
      </c>
      <c r="X28" s="103" t="s">
        <v>1171</v>
      </c>
      <c r="Y28" s="103" t="s">
        <v>1172</v>
      </c>
      <c r="Z28" s="103" t="s">
        <v>1173</v>
      </c>
      <c r="AA28" s="103" t="s">
        <v>1174</v>
      </c>
      <c r="AB28" s="103" t="s">
        <v>1175</v>
      </c>
      <c r="AC28" s="103" t="s">
        <v>1176</v>
      </c>
      <c r="AD28" s="103" t="s">
        <v>1177</v>
      </c>
      <c r="AE28" s="103" t="s">
        <v>1178</v>
      </c>
      <c r="AF28" s="103" t="s">
        <v>1157</v>
      </c>
      <c r="AG28" s="103"/>
      <c r="AH28" s="103"/>
      <c r="AI28" s="103"/>
      <c r="AJ28" s="103"/>
      <c r="AK28" s="103"/>
      <c r="AL28" s="104" t="s">
        <v>979</v>
      </c>
      <c r="AM28" s="107" t="s">
        <v>1170</v>
      </c>
      <c r="AN28" s="104" t="s">
        <v>1171</v>
      </c>
      <c r="AO28" s="104" t="s">
        <v>1172</v>
      </c>
      <c r="AP28" s="104" t="s">
        <v>1173</v>
      </c>
      <c r="AQ28" s="107" t="s">
        <v>1174</v>
      </c>
      <c r="AR28" s="107" t="s">
        <v>1175</v>
      </c>
      <c r="AS28" s="107" t="s">
        <v>1176</v>
      </c>
      <c r="AT28" s="107" t="s">
        <v>1177</v>
      </c>
      <c r="AU28" s="104" t="s">
        <v>1178</v>
      </c>
      <c r="AV28" s="104" t="s">
        <v>1157</v>
      </c>
      <c r="AW28" s="104"/>
      <c r="AX28" s="104"/>
      <c r="AY28" s="104"/>
      <c r="AZ28" s="104"/>
      <c r="BA28" s="104"/>
      <c r="BB28" s="66"/>
      <c r="BC28" s="103" t="n">
        <v>-1</v>
      </c>
      <c r="BD28" s="103" t="n">
        <v>0</v>
      </c>
      <c r="BE28" s="103" t="n">
        <v>900</v>
      </c>
      <c r="BF28" s="103" t="n">
        <v>1800</v>
      </c>
      <c r="BG28" s="103" t="n">
        <v>3600</v>
      </c>
      <c r="BH28" s="103" t="n">
        <v>5400</v>
      </c>
      <c r="BI28" s="103" t="n">
        <v>7200</v>
      </c>
      <c r="BJ28" s="103" t="n">
        <v>10800</v>
      </c>
      <c r="BK28" s="103" t="n">
        <v>14400</v>
      </c>
      <c r="BL28" s="103" t="n">
        <v>21600</v>
      </c>
      <c r="BM28" s="103" t="n">
        <v>30000</v>
      </c>
      <c r="BN28" s="103"/>
      <c r="BO28" s="103"/>
      <c r="BP28" s="103"/>
      <c r="BQ28" s="103"/>
      <c r="BR28" s="103"/>
      <c r="BS28" s="104" t="n">
        <v>-1</v>
      </c>
      <c r="BT28" s="104" t="n">
        <v>0</v>
      </c>
      <c r="BU28" s="104" t="n">
        <v>900</v>
      </c>
      <c r="BV28" s="104" t="n">
        <v>1800</v>
      </c>
      <c r="BW28" s="104" t="n">
        <v>3600</v>
      </c>
      <c r="BX28" s="104" t="n">
        <v>5400</v>
      </c>
      <c r="BY28" s="104" t="n">
        <v>7200</v>
      </c>
      <c r="BZ28" s="104" t="n">
        <v>10800</v>
      </c>
      <c r="CA28" s="104" t="n">
        <v>14400</v>
      </c>
      <c r="CB28" s="104" t="n">
        <v>21600</v>
      </c>
      <c r="CC28" s="104" t="n">
        <v>30000</v>
      </c>
      <c r="CD28" s="104"/>
      <c r="CE28" s="104"/>
      <c r="CF28" s="104"/>
      <c r="CG28" s="104"/>
      <c r="CH28" s="104"/>
      <c r="CJ28" s="95" t="n">
        <v>10000</v>
      </c>
      <c r="CK28" s="95" t="n">
        <v>0</v>
      </c>
      <c r="CL28" s="95" t="n">
        <v>6000</v>
      </c>
      <c r="CM28" s="95" t="n">
        <v>1</v>
      </c>
      <c r="CN28" s="95" t="n">
        <v>0</v>
      </c>
      <c r="CO28" s="95" t="n">
        <v>2</v>
      </c>
      <c r="CP28" s="95" t="n">
        <v>2</v>
      </c>
      <c r="CQ28" s="95" t="n">
        <v>1</v>
      </c>
      <c r="CR28" s="95"/>
      <c r="CS28" s="95"/>
      <c r="CT28" s="95"/>
      <c r="CU28" s="95"/>
      <c r="CV28" s="95"/>
      <c r="CW28" s="95"/>
      <c r="CX28" s="95"/>
      <c r="CY28" s="95"/>
      <c r="CZ28" s="95"/>
      <c r="DA28" s="95"/>
      <c r="DB28" s="95"/>
      <c r="DC28" s="95"/>
      <c r="DD28" s="95"/>
      <c r="DE28" s="95"/>
      <c r="DF28" s="95"/>
      <c r="DG28" s="95"/>
      <c r="DL28" s="108"/>
      <c r="DM28" s="108"/>
      <c r="DN28" s="109" t="str">
        <f aca="false">"D6.scenario.defInput["""&amp;B28&amp;"""] = {  "&amp;E$2&amp;":"""&amp;E28&amp;""",  "&amp;C$2&amp;":"""&amp;CLEAN(SUBSTITUTE(C28,"""",""""))&amp;""",  "&amp;F$2&amp;":"""&amp;F28&amp;""",  "&amp;H$2&amp;":"""&amp;CLEAN(SUBSTITUTE(H28,"""",""""))&amp;""", "&amp;J$2&amp;":"""&amp;J28&amp;""", "&amp;L$2&amp;":"""&amp;L28&amp;""", "&amp;M$2&amp;":"""&amp;M28&amp;""", "&amp;N$2&amp;":"""&amp;N28&amp;""", "&amp;O$2&amp;":"""&amp;O28&amp;""", "&amp;P$2&amp;":"""&amp;P28&amp;""", "&amp;Q$2&amp;":"""&amp;Q28&amp;""", "&amp;R$2&amp;":"""&amp;R28&amp;""", d11t:"""&amp;CJ28&amp;""",d11p:"""&amp;CK28&amp;""",d12t:"""&amp;CL28&amp;""",d12p:"""&amp;CM28&amp;""",d13t:"""&amp;CN28&amp;""",d13p:"""&amp;CO28&amp;""",d1w:"""&amp;CP28&amp;""",d1d:"""&amp;CQ28&amp;""", d21t:"""&amp;CR28&amp;""",d21p:"""&amp;CS28&amp;""",d22t:"""&amp;CT28&amp;""",d22p:"""&amp;CU28&amp;""",d23t:"""&amp;CV28&amp;""",d23p:"""&amp;CW28&amp;""",d2w:"""&amp;CX28&amp;""",d2d:"""&amp;CY28&amp;""", d31t:"""&amp;CZ28&amp;""",d31p:"""&amp;DA28&amp;""",d32t:"""&amp;DB28&amp;""",d32p:"""&amp;DC28&amp;""",d33t:"""&amp;DD28&amp;""",d33p:"""&amp;DE28&amp;""",d3w:"""&amp;DF28&amp;""",d3d:"""&amp;DG28&amp;"""}; "</f>
        <v>D6.scenario.defInput["i064"] = {  cons:"consEnergy",  title:"灯油購入量",  unit:"円",  text:"年平均で、1ヶ月あたりのおおよその灯油使用量を選んでください。", inputType:"sel064", right:"", postfix:"", nodata:"", varType:"Number", min:"", max:"", defaultValue:"-1", d11t:"10000",d11p:"0",d12t:"6000",d12p:"1",d13t:"0",d13p:"2",d1w:"2",d1d:"1", d21t:"",d21p:"",d22t:"",d22p:"",d23t:"",d23p:"",d2w:"",d2d:"", d31t:"",d31p:"",d32t:"",d32p:"",d33t:"",d33p:"",d3w:"",d3d:""}; </v>
      </c>
      <c r="DO28" s="110"/>
      <c r="DP28" s="110"/>
      <c r="DQ28" s="111" t="str">
        <f aca="false">"D6.scenario.defSelectValue["""&amp;U28&amp;"""]= [ """&amp;CLEAN(V28)&amp;""", """&amp;CLEAN(W28)&amp;IF(X28="","",""", """&amp;CLEAN(X28))&amp;IF(Y28="","",""", """&amp;CLEAN(Y28))&amp;IF(Z28="","",""", """&amp;CLEAN(Z28))&amp;IF(AA28="","",""", """&amp;CLEAN(AA28))&amp;IF(AB28="","",""", """&amp;CLEAN(AB28))&amp;IF(AC28="","",""", """&amp;CLEAN(AC28))&amp;IF(AD28="","",""", """&amp;CLEAN(AD28))&amp;IF(AE28="","",""", """&amp;CLEAN(AE28))&amp;IF(AF28="","",""", """&amp;CLEAN(AF28))&amp;IF(AG28="","",""", """&amp;CLEAN(AG28))&amp;IF(AH28="","",""", """&amp;CLEAN(AH28))&amp;IF(AI28="","",""", """&amp;CLEAN(AI28))&amp;IF(AJ28="","",""", """&amp;CLEAN(AJ28))&amp;IF(AK28="","",""", """&amp;CLEAN(AK28))&amp;""" ];"</f>
        <v>D6.scenario.defSelectValue["sel064"]= [ "選んで下さい", "使わない", "2ヶ月で1缶（9L)", "月1缶（18L)", "月2缶（36L)", "月3缶（54L)", "週1缶（72L)", "5日で1缶（108L)", "週2缶（144L)", "週3缶（216L)", "それ以上" ];</v>
      </c>
      <c r="DR28" s="112"/>
      <c r="DS28" s="112"/>
      <c r="DT28" s="112" t="str">
        <f aca="false">"D6.scenario.defSelectData['"&amp;U28&amp;"']= [ '"&amp;BC28&amp;"', '"&amp;BD28&amp;"', '"&amp;BE28&amp;IF(BF28="","","', '"&amp;BF28)&amp;IF(BG28="","","', '"&amp;BG28)&amp;IF(BH28="","","', '"&amp;BH28)&amp;IF(BI28="","","', '"&amp;BI28)&amp;IF(BJ28="","","', '"&amp;BJ28)&amp;IF(BK28="","","', '"&amp;BK28)&amp;IF(BL28="","","', '"&amp;BL28)&amp;IF(BM28="","","', '"&amp;BM28)&amp;IF(BN28="","","', '"&amp;BN28)&amp;IF(BO28="","","', '"&amp;BO28)&amp;IF(BP28="","","', '"&amp;BP28)&amp;IF(BQ28="","","', '"&amp;BQ28)&amp;IF(BR28="","","', '"&amp;BR28)&amp;"' ];"</f>
        <v>D6.scenario.defSelectData['sel064']= [ '-1', '0', '900', '1800', '3600', '5400', '7200', '10800', '14400', '21600', '30000' ];</v>
      </c>
    </row>
    <row r="29" s="88" customFormat="true" ht="43.5" hidden="false" customHeight="true" outlineLevel="0" collapsed="false">
      <c r="A29" s="66"/>
      <c r="B29" s="95" t="s">
        <v>1179</v>
      </c>
      <c r="C29" s="103" t="s">
        <v>1180</v>
      </c>
      <c r="D29" s="104" t="s">
        <v>1180</v>
      </c>
      <c r="E29" s="95" t="s">
        <v>1104</v>
      </c>
      <c r="F29" s="103" t="s">
        <v>1144</v>
      </c>
      <c r="G29" s="104" t="s">
        <v>1144</v>
      </c>
      <c r="H29" s="103" t="s">
        <v>1181</v>
      </c>
      <c r="I29" s="104" t="s">
        <v>1181</v>
      </c>
      <c r="J29" s="103" t="str">
        <f aca="false">IF(K29="","",K29)</f>
        <v>sel065</v>
      </c>
      <c r="K29" s="104" t="str">
        <f aca="false">"sel"&amp;MID($B29,2,5)</f>
        <v>sel065</v>
      </c>
      <c r="L29" s="105"/>
      <c r="M29" s="105"/>
      <c r="N29" s="105"/>
      <c r="O29" s="95" t="s">
        <v>931</v>
      </c>
      <c r="P29" s="105"/>
      <c r="Q29" s="105"/>
      <c r="R29" s="95" t="n">
        <v>-1</v>
      </c>
      <c r="S29" s="66"/>
      <c r="T29" s="66"/>
      <c r="U29" s="106" t="str">
        <f aca="false">J29</f>
        <v>sel065</v>
      </c>
      <c r="V29" s="103" t="s">
        <v>979</v>
      </c>
      <c r="W29" s="103" t="s">
        <v>1170</v>
      </c>
      <c r="X29" s="103" t="s">
        <v>1147</v>
      </c>
      <c r="Y29" s="103" t="s">
        <v>1148</v>
      </c>
      <c r="Z29" s="103" t="s">
        <v>1149</v>
      </c>
      <c r="AA29" s="103" t="s">
        <v>1150</v>
      </c>
      <c r="AB29" s="103" t="s">
        <v>1151</v>
      </c>
      <c r="AC29" s="103" t="s">
        <v>1152</v>
      </c>
      <c r="AD29" s="103" t="s">
        <v>1153</v>
      </c>
      <c r="AE29" s="103" t="s">
        <v>1154</v>
      </c>
      <c r="AF29" s="103" t="s">
        <v>1155</v>
      </c>
      <c r="AG29" s="103" t="s">
        <v>1156</v>
      </c>
      <c r="AH29" s="103" t="s">
        <v>1157</v>
      </c>
      <c r="AI29" s="103"/>
      <c r="AJ29" s="103"/>
      <c r="AK29" s="103"/>
      <c r="AL29" s="104" t="s">
        <v>979</v>
      </c>
      <c r="AM29" s="107" t="s">
        <v>1170</v>
      </c>
      <c r="AN29" s="104" t="s">
        <v>1147</v>
      </c>
      <c r="AO29" s="104" t="s">
        <v>1148</v>
      </c>
      <c r="AP29" s="104" t="s">
        <v>1149</v>
      </c>
      <c r="AQ29" s="104" t="s">
        <v>1150</v>
      </c>
      <c r="AR29" s="104" t="s">
        <v>1151</v>
      </c>
      <c r="AS29" s="104" t="s">
        <v>1152</v>
      </c>
      <c r="AT29" s="104" t="s">
        <v>1153</v>
      </c>
      <c r="AU29" s="104" t="s">
        <v>1154</v>
      </c>
      <c r="AV29" s="104" t="s">
        <v>1155</v>
      </c>
      <c r="AW29" s="104" t="s">
        <v>1156</v>
      </c>
      <c r="AX29" s="104" t="s">
        <v>1157</v>
      </c>
      <c r="AY29" s="104"/>
      <c r="AZ29" s="104"/>
      <c r="BA29" s="104"/>
      <c r="BB29" s="66"/>
      <c r="BC29" s="103" t="n">
        <v>-1</v>
      </c>
      <c r="BD29" s="103" t="n">
        <v>0</v>
      </c>
      <c r="BE29" s="103" t="n">
        <v>1000</v>
      </c>
      <c r="BF29" s="103" t="n">
        <v>2000</v>
      </c>
      <c r="BG29" s="103" t="n">
        <v>3000</v>
      </c>
      <c r="BH29" s="103" t="n">
        <v>5000</v>
      </c>
      <c r="BI29" s="103" t="n">
        <v>7000</v>
      </c>
      <c r="BJ29" s="103" t="n">
        <v>10000</v>
      </c>
      <c r="BK29" s="103" t="n">
        <v>12000</v>
      </c>
      <c r="BL29" s="103" t="n">
        <v>15000</v>
      </c>
      <c r="BM29" s="103" t="n">
        <v>20000</v>
      </c>
      <c r="BN29" s="103" t="n">
        <v>30000</v>
      </c>
      <c r="BO29" s="103" t="n">
        <v>40000</v>
      </c>
      <c r="BP29" s="103"/>
      <c r="BQ29" s="103"/>
      <c r="BR29" s="103"/>
      <c r="BS29" s="104" t="n">
        <v>-1</v>
      </c>
      <c r="BT29" s="104" t="n">
        <v>0</v>
      </c>
      <c r="BU29" s="104" t="n">
        <f aca="false">VALUE(LEFT(AN29,LEN(AN29)-1))</f>
        <v>1000</v>
      </c>
      <c r="BV29" s="104" t="n">
        <f aca="false">VALUE(LEFT(AO29,LEN(AO29)-1))</f>
        <v>2000</v>
      </c>
      <c r="BW29" s="104" t="n">
        <f aca="false">VALUE(LEFT(AP29,LEN(AP29)-1))</f>
        <v>3000</v>
      </c>
      <c r="BX29" s="104" t="n">
        <f aca="false">VALUE(LEFT(AQ29,LEN(AQ29)-1))</f>
        <v>5000</v>
      </c>
      <c r="BY29" s="104" t="n">
        <f aca="false">VALUE(LEFT(AR29,LEN(AR29)-1))</f>
        <v>7000</v>
      </c>
      <c r="BZ29" s="104" t="n">
        <v>10000</v>
      </c>
      <c r="CA29" s="104" t="n">
        <v>12000</v>
      </c>
      <c r="CB29" s="104" t="n">
        <v>15000</v>
      </c>
      <c r="CC29" s="104" t="n">
        <v>20000</v>
      </c>
      <c r="CD29" s="104" t="n">
        <v>30000</v>
      </c>
      <c r="CE29" s="104" t="n">
        <v>40000</v>
      </c>
      <c r="CF29" s="104"/>
      <c r="CG29" s="104"/>
      <c r="CH29" s="104"/>
      <c r="CJ29" s="95" t="n">
        <v>10000</v>
      </c>
      <c r="CK29" s="95" t="n">
        <v>0</v>
      </c>
      <c r="CL29" s="95" t="n">
        <v>6000</v>
      </c>
      <c r="CM29" s="95" t="n">
        <v>1</v>
      </c>
      <c r="CN29" s="95" t="n">
        <v>0</v>
      </c>
      <c r="CO29" s="95" t="n">
        <v>2</v>
      </c>
      <c r="CP29" s="95" t="n">
        <v>2</v>
      </c>
      <c r="CQ29" s="95" t="n">
        <v>1</v>
      </c>
      <c r="CR29" s="95"/>
      <c r="CS29" s="95"/>
      <c r="CT29" s="95"/>
      <c r="CU29" s="95"/>
      <c r="CV29" s="95"/>
      <c r="CW29" s="95"/>
      <c r="CX29" s="95"/>
      <c r="CY29" s="95"/>
      <c r="CZ29" s="95"/>
      <c r="DA29" s="95"/>
      <c r="DB29" s="95"/>
      <c r="DC29" s="95"/>
      <c r="DD29" s="95"/>
      <c r="DE29" s="95"/>
      <c r="DF29" s="95"/>
      <c r="DG29" s="95"/>
      <c r="DL29" s="108"/>
      <c r="DM29" s="108"/>
      <c r="DN29" s="109" t="str">
        <f aca="false">"D6.scenario.defInput["""&amp;B29&amp;"""] = {  "&amp;E$2&amp;":"""&amp;E29&amp;""",  "&amp;C$2&amp;":"""&amp;CLEAN(SUBSTITUTE(C29,"""",""""))&amp;""",  "&amp;F$2&amp;":"""&amp;F29&amp;""",  "&amp;H$2&amp;":"""&amp;CLEAN(SUBSTITUTE(H29,"""",""""))&amp;""", "&amp;J$2&amp;":"""&amp;J29&amp;""", "&amp;L$2&amp;":"""&amp;L29&amp;""", "&amp;M$2&amp;":"""&amp;M29&amp;""", "&amp;N$2&amp;":"""&amp;N29&amp;""", "&amp;O$2&amp;":"""&amp;O29&amp;""", "&amp;P$2&amp;":"""&amp;P29&amp;""", "&amp;Q$2&amp;":"""&amp;Q29&amp;""", "&amp;R$2&amp;":"""&amp;R29&amp;""", d11t:"""&amp;CJ29&amp;""",d11p:"""&amp;CK29&amp;""",d12t:"""&amp;CL29&amp;""",d12p:"""&amp;CM29&amp;""",d13t:"""&amp;CN29&amp;""",d13p:"""&amp;CO29&amp;""",d1w:"""&amp;CP29&amp;""",d1d:"""&amp;CQ29&amp;""", d21t:"""&amp;CR29&amp;""",d21p:"""&amp;CS29&amp;""",d22t:"""&amp;CT29&amp;""",d22p:"""&amp;CU29&amp;""",d23t:"""&amp;CV29&amp;""",d23p:"""&amp;CW29&amp;""",d2w:"""&amp;CX29&amp;""",d2d:"""&amp;CY29&amp;""", d31t:"""&amp;CZ29&amp;""",d31p:"""&amp;DA29&amp;""",d32t:"""&amp;DB29&amp;""",d32p:"""&amp;DC29&amp;""",d33t:"""&amp;DD29&amp;""",d33p:"""&amp;DE29&amp;""",d3w:"""&amp;DF29&amp;""",d3d:"""&amp;DG29&amp;"""}; "</f>
        <v>D6.scenario.defInput["i065"] = {  cons:"consEnergy",  title:"練炭購入量",  unit:"円",  text:"1ヶ月あたりのおおよその練炭購入量を選んでください。", inputType:"sel065", right:"", postfix:"", nodata:"", varType:"Number", min:"", max:"", defaultValue:"-1", d11t:"10000",d11p:"0",d12t:"6000",d12p:"1",d13t:"0",d13p:"2",d1w:"2",d1d:"1", d21t:"",d21p:"",d22t:"",d22p:"",d23t:"",d23p:"",d2w:"",d2d:"", d31t:"",d31p:"",d32t:"",d32p:"",d33t:"",d33p:"",d3w:"",d3d:""}; </v>
      </c>
      <c r="DO29" s="110"/>
      <c r="DP29" s="110"/>
      <c r="DQ29" s="111" t="str">
        <f aca="false">"D6.scenario.defSelectValue["""&amp;U29&amp;"""]= [ """&amp;CLEAN(V29)&amp;""", """&amp;CLEAN(W29)&amp;IF(X29="","",""", """&amp;CLEAN(X29))&amp;IF(Y29="","",""", """&amp;CLEAN(Y29))&amp;IF(Z29="","",""", """&amp;CLEAN(Z29))&amp;IF(AA29="","",""", """&amp;CLEAN(AA29))&amp;IF(AB29="","",""", """&amp;CLEAN(AB29))&amp;IF(AC29="","",""", """&amp;CLEAN(AC29))&amp;IF(AD29="","",""", """&amp;CLEAN(AD29))&amp;IF(AE29="","",""", """&amp;CLEAN(AE29))&amp;IF(AF29="","",""", """&amp;CLEAN(AF29))&amp;IF(AG29="","",""", """&amp;CLEAN(AG29))&amp;IF(AH29="","",""", """&amp;CLEAN(AH29))&amp;IF(AI29="","",""", """&amp;CLEAN(AI29))&amp;IF(AJ29="","",""", """&amp;CLEAN(AJ29))&amp;IF(AK29="","",""", """&amp;CLEAN(AK29))&amp;""" ];"</f>
        <v>D6.scenario.defSelectValue["sel065"]= [ "選んで下さい", "使わない", "1000円", "2000円", "3000円", "5000円", "7000円", "1万円", "1万2000円", "1万5000円", "2万円", "3万円", "それ以上" ];</v>
      </c>
      <c r="DR29" s="112"/>
      <c r="DS29" s="112"/>
      <c r="DT29" s="112" t="str">
        <f aca="false">"D6.scenario.defSelectData['"&amp;U29&amp;"']= [ '"&amp;BC29&amp;"', '"&amp;BD29&amp;"', '"&amp;BE29&amp;IF(BF29="","","', '"&amp;BF29)&amp;IF(BG29="","","', '"&amp;BG29)&amp;IF(BH29="","","', '"&amp;BH29)&amp;IF(BI29="","","', '"&amp;BI29)&amp;IF(BJ29="","","', '"&amp;BJ29)&amp;IF(BK29="","","', '"&amp;BK29)&amp;IF(BL29="","","', '"&amp;BL29)&amp;IF(BM29="","","', '"&amp;BM29)&amp;IF(BN29="","","', '"&amp;BN29)&amp;IF(BO29="","","', '"&amp;BO29)&amp;IF(BP29="","","', '"&amp;BP29)&amp;IF(BQ29="","","', '"&amp;BQ29)&amp;IF(BR29="","","', '"&amp;BR29)&amp;"' ];"</f>
        <v>D6.scenario.defSelectData['sel065']= [ '-1', '0', '1000', '2000', '3000', '5000', '7000', '10000', '12000', '15000', '20000', '30000', '40000' ];</v>
      </c>
    </row>
    <row r="30" s="88" customFormat="true" ht="43.5" hidden="false" customHeight="true" outlineLevel="0" collapsed="false">
      <c r="A30" s="66"/>
      <c r="B30" s="95" t="s">
        <v>1182</v>
      </c>
      <c r="C30" s="103" t="s">
        <v>1183</v>
      </c>
      <c r="D30" s="104" t="s">
        <v>1183</v>
      </c>
      <c r="E30" s="95" t="s">
        <v>1104</v>
      </c>
      <c r="F30" s="103" t="s">
        <v>1144</v>
      </c>
      <c r="G30" s="104" t="s">
        <v>1144</v>
      </c>
      <c r="H30" s="103" t="s">
        <v>1184</v>
      </c>
      <c r="I30" s="104" t="s">
        <v>1184</v>
      </c>
      <c r="J30" s="103" t="str">
        <f aca="false">IF(K30="","",K30)</f>
        <v>sel066</v>
      </c>
      <c r="K30" s="104" t="str">
        <f aca="false">"sel"&amp;MID($B30,2,5)</f>
        <v>sel066</v>
      </c>
      <c r="L30" s="105"/>
      <c r="M30" s="105"/>
      <c r="N30" s="105"/>
      <c r="O30" s="95" t="s">
        <v>931</v>
      </c>
      <c r="P30" s="105"/>
      <c r="Q30" s="105"/>
      <c r="R30" s="95" t="n">
        <v>-1</v>
      </c>
      <c r="S30" s="66"/>
      <c r="T30" s="66"/>
      <c r="U30" s="106" t="str">
        <f aca="false">J30</f>
        <v>sel066</v>
      </c>
      <c r="V30" s="103" t="s">
        <v>979</v>
      </c>
      <c r="W30" s="103" t="s">
        <v>1170</v>
      </c>
      <c r="X30" s="103" t="s">
        <v>1185</v>
      </c>
      <c r="Y30" s="103"/>
      <c r="Z30" s="103"/>
      <c r="AA30" s="103"/>
      <c r="AB30" s="103"/>
      <c r="AC30" s="103"/>
      <c r="AD30" s="103"/>
      <c r="AE30" s="103"/>
      <c r="AF30" s="103"/>
      <c r="AG30" s="103"/>
      <c r="AH30" s="103"/>
      <c r="AI30" s="103"/>
      <c r="AJ30" s="103"/>
      <c r="AK30" s="103"/>
      <c r="AL30" s="104" t="s">
        <v>979</v>
      </c>
      <c r="AM30" s="107" t="s">
        <v>1170</v>
      </c>
      <c r="AN30" s="104" t="s">
        <v>1185</v>
      </c>
      <c r="AO30" s="104"/>
      <c r="AP30" s="104"/>
      <c r="AQ30" s="104"/>
      <c r="AR30" s="104"/>
      <c r="AS30" s="104"/>
      <c r="AT30" s="104"/>
      <c r="AU30" s="104"/>
      <c r="AV30" s="104"/>
      <c r="AW30" s="104"/>
      <c r="AX30" s="104"/>
      <c r="AY30" s="104"/>
      <c r="AZ30" s="104"/>
      <c r="BA30" s="104"/>
      <c r="BB30" s="66"/>
      <c r="BC30" s="103" t="n">
        <v>-1</v>
      </c>
      <c r="BD30" s="103" t="n">
        <v>1</v>
      </c>
      <c r="BE30" s="103" t="n">
        <v>2</v>
      </c>
      <c r="BF30" s="103"/>
      <c r="BG30" s="103"/>
      <c r="BH30" s="103"/>
      <c r="BI30" s="103"/>
      <c r="BJ30" s="103"/>
      <c r="BK30" s="103"/>
      <c r="BL30" s="103"/>
      <c r="BM30" s="103"/>
      <c r="BN30" s="103"/>
      <c r="BO30" s="103"/>
      <c r="BP30" s="103"/>
      <c r="BQ30" s="103"/>
      <c r="BR30" s="103"/>
      <c r="BS30" s="104" t="n">
        <v>-1</v>
      </c>
      <c r="BT30" s="104" t="n">
        <v>1</v>
      </c>
      <c r="BU30" s="104" t="n">
        <v>2</v>
      </c>
      <c r="BV30" s="104"/>
      <c r="BW30" s="104"/>
      <c r="BX30" s="104"/>
      <c r="BY30" s="104"/>
      <c r="BZ30" s="104"/>
      <c r="CA30" s="104"/>
      <c r="CB30" s="104"/>
      <c r="CC30" s="104"/>
      <c r="CD30" s="104"/>
      <c r="CE30" s="104"/>
      <c r="CF30" s="104"/>
      <c r="CG30" s="104"/>
      <c r="CH30" s="104"/>
      <c r="CJ30" s="95" t="n">
        <v>10000</v>
      </c>
      <c r="CK30" s="95" t="n">
        <v>0</v>
      </c>
      <c r="CL30" s="95" t="n">
        <v>6000</v>
      </c>
      <c r="CM30" s="95" t="n">
        <v>1</v>
      </c>
      <c r="CN30" s="95" t="n">
        <v>0</v>
      </c>
      <c r="CO30" s="95" t="n">
        <v>2</v>
      </c>
      <c r="CP30" s="95" t="n">
        <v>2</v>
      </c>
      <c r="CQ30" s="95" t="n">
        <v>1</v>
      </c>
      <c r="CR30" s="95"/>
      <c r="CS30" s="95"/>
      <c r="CT30" s="95"/>
      <c r="CU30" s="95"/>
      <c r="CV30" s="95"/>
      <c r="CW30" s="95"/>
      <c r="CX30" s="95"/>
      <c r="CY30" s="95"/>
      <c r="CZ30" s="95"/>
      <c r="DA30" s="95"/>
      <c r="DB30" s="95"/>
      <c r="DC30" s="95"/>
      <c r="DD30" s="95"/>
      <c r="DE30" s="95"/>
      <c r="DF30" s="95"/>
      <c r="DG30" s="95"/>
      <c r="DL30" s="108"/>
      <c r="DM30" s="108"/>
      <c r="DN30" s="109" t="str">
        <f aca="false">"D6.scenario.defInput["""&amp;B30&amp;"""] = {  "&amp;E$2&amp;":"""&amp;E30&amp;""",  "&amp;C$2&amp;":"""&amp;CLEAN(SUBSTITUTE(C30,"""",""""))&amp;""",  "&amp;F$2&amp;":"""&amp;F30&amp;""",  "&amp;H$2&amp;":"""&amp;CLEAN(SUBSTITUTE(H30,"""",""""))&amp;""", "&amp;J$2&amp;":"""&amp;J30&amp;""", "&amp;L$2&amp;":"""&amp;L30&amp;""", "&amp;M$2&amp;":"""&amp;M30&amp;""", "&amp;N$2&amp;":"""&amp;N30&amp;""", "&amp;O$2&amp;":"""&amp;O30&amp;""", "&amp;P$2&amp;":"""&amp;P30&amp;""", "&amp;Q$2&amp;":"""&amp;Q30&amp;""", "&amp;R$2&amp;":"""&amp;R30&amp;""", d11t:"""&amp;CJ30&amp;""",d11p:"""&amp;CK30&amp;""",d12t:"""&amp;CL30&amp;""",d12p:"""&amp;CM30&amp;""",d13t:"""&amp;CN30&amp;""",d13p:"""&amp;CO30&amp;""",d1w:"""&amp;CP30&amp;""",d1d:"""&amp;CQ30&amp;""", d21t:"""&amp;CR30&amp;""",d21p:"""&amp;CS30&amp;""",d22t:"""&amp;CT30&amp;""",d22p:"""&amp;CU30&amp;""",d23t:"""&amp;CV30&amp;""",d23p:"""&amp;CW30&amp;""",d2w:"""&amp;CX30&amp;""",d2d:"""&amp;CY30&amp;""", d31t:"""&amp;CZ30&amp;""",d31p:"""&amp;DA30&amp;""",d32t:"""&amp;DB30&amp;""",d32p:"""&amp;DC30&amp;""",d33t:"""&amp;DD30&amp;""",d33p:"""&amp;DE30&amp;""",d3w:"""&amp;DF30&amp;""",d3d:"""&amp;DG30&amp;"""}; "</f>
        <v>D6.scenario.defInput["i066"] = {  cons:"consEnergy",  title:"地域熱供給",  unit:"円",  text:"暖房用の地域熱供給はありますか", inputType:"sel066", right:"", postfix:"", nodata:"", varType:"Number", min:"", max:"", defaultValue:"-1", d11t:"10000",d11p:"0",d12t:"6000",d12p:"1",d13t:"0",d13p:"2",d1w:"2",d1d:"1", d21t:"",d21p:"",d22t:"",d22p:"",d23t:"",d23p:"",d2w:"",d2d:"", d31t:"",d31p:"",d32t:"",d32p:"",d33t:"",d33p:"",d3w:"",d3d:""}; </v>
      </c>
      <c r="DO30" s="110"/>
      <c r="DP30" s="110"/>
      <c r="DQ30" s="111" t="str">
        <f aca="false">"D6.scenario.defSelectValue["""&amp;U30&amp;"""]= [ """&amp;CLEAN(V30)&amp;""", """&amp;CLEAN(W30)&amp;IF(X30="","",""", """&amp;CLEAN(X30))&amp;IF(Y30="","",""", """&amp;CLEAN(Y30))&amp;IF(Z30="","",""", """&amp;CLEAN(Z30))&amp;IF(AA30="","",""", """&amp;CLEAN(AA30))&amp;IF(AB30="","",""", """&amp;CLEAN(AB30))&amp;IF(AC30="","",""", """&amp;CLEAN(AC30))&amp;IF(AD30="","",""", """&amp;CLEAN(AD30))&amp;IF(AE30="","",""", """&amp;CLEAN(AE30))&amp;IF(AF30="","",""", """&amp;CLEAN(AF30))&amp;IF(AG30="","",""", """&amp;CLEAN(AG30))&amp;IF(AH30="","",""", """&amp;CLEAN(AH30))&amp;IF(AI30="","",""", """&amp;CLEAN(AI30))&amp;IF(AJ30="","",""", """&amp;CLEAN(AJ30))&amp;IF(AK30="","",""", """&amp;CLEAN(AK30))&amp;""" ];"</f>
        <v>D6.scenario.defSelectValue["sel066"]= [ "選んで下さい", "使わない", "使っている" ];</v>
      </c>
      <c r="DR30" s="112"/>
      <c r="DS30" s="112"/>
      <c r="DT30" s="112" t="str">
        <f aca="false">"D6.scenario.defSelectData['"&amp;U30&amp;"']= [ '"&amp;BC30&amp;"', '"&amp;BD30&amp;"', '"&amp;BE30&amp;IF(BF30="","","', '"&amp;BF30)&amp;IF(BG30="","","', '"&amp;BG30)&amp;IF(BH30="","","', '"&amp;BH30)&amp;IF(BI30="","","', '"&amp;BI30)&amp;IF(BJ30="","","', '"&amp;BJ30)&amp;IF(BK30="","","', '"&amp;BK30)&amp;IF(BL30="","","', '"&amp;BL30)&amp;IF(BM30="","","', '"&amp;BM30)&amp;IF(BN30="","","', '"&amp;BN30)&amp;IF(BO30="","","', '"&amp;BO30)&amp;IF(BP30="","","', '"&amp;BP30)&amp;IF(BQ30="","","', '"&amp;BQ30)&amp;IF(BR30="","","', '"&amp;BR30)&amp;"' ];"</f>
        <v>D6.scenario.defSelectData['sel066']= [ '-1', '1', '2' ];</v>
      </c>
    </row>
    <row r="31" s="88" customFormat="true" ht="43.5" hidden="false" customHeight="true" outlineLevel="0" collapsed="false">
      <c r="A31" s="66"/>
      <c r="B31" s="95" t="s">
        <v>1186</v>
      </c>
      <c r="C31" s="103" t="s">
        <v>1187</v>
      </c>
      <c r="D31" s="104" t="s">
        <v>1187</v>
      </c>
      <c r="E31" s="95" t="s">
        <v>1104</v>
      </c>
      <c r="F31" s="103"/>
      <c r="G31" s="104"/>
      <c r="H31" s="103" t="s">
        <v>1188</v>
      </c>
      <c r="I31" s="104" t="s">
        <v>1188</v>
      </c>
      <c r="J31" s="103" t="str">
        <f aca="false">IF(K31="","",K31)</f>
        <v>sel072</v>
      </c>
      <c r="K31" s="104" t="str">
        <f aca="false">"sel"&amp;MID($B31,2,5)</f>
        <v>sel072</v>
      </c>
      <c r="L31" s="105"/>
      <c r="M31" s="105"/>
      <c r="N31" s="105"/>
      <c r="O31" s="95" t="s">
        <v>931</v>
      </c>
      <c r="P31" s="105"/>
      <c r="Q31" s="105"/>
      <c r="R31" s="95" t="n">
        <v>-1</v>
      </c>
      <c r="S31" s="66"/>
      <c r="U31" s="106" t="str">
        <f aca="false">J31</f>
        <v>sel072</v>
      </c>
      <c r="V31" s="103" t="s">
        <v>979</v>
      </c>
      <c r="W31" s="103" t="s">
        <v>1189</v>
      </c>
      <c r="X31" s="103" t="s">
        <v>1190</v>
      </c>
      <c r="Y31" s="103" t="s">
        <v>1191</v>
      </c>
      <c r="Z31" s="103" t="s">
        <v>1192</v>
      </c>
      <c r="AA31" s="103"/>
      <c r="AB31" s="103"/>
      <c r="AC31" s="103"/>
      <c r="AD31" s="103"/>
      <c r="AE31" s="103"/>
      <c r="AF31" s="103"/>
      <c r="AG31" s="103"/>
      <c r="AH31" s="103"/>
      <c r="AI31" s="103"/>
      <c r="AJ31" s="103"/>
      <c r="AK31" s="103"/>
      <c r="AL31" s="104" t="s">
        <v>979</v>
      </c>
      <c r="AM31" s="104" t="s">
        <v>1189</v>
      </c>
      <c r="AN31" s="104" t="s">
        <v>1190</v>
      </c>
      <c r="AO31" s="104" t="s">
        <v>1191</v>
      </c>
      <c r="AP31" s="104" t="s">
        <v>1192</v>
      </c>
      <c r="AQ31" s="104"/>
      <c r="AR31" s="104"/>
      <c r="AS31" s="104"/>
      <c r="AT31" s="104"/>
      <c r="AU31" s="104"/>
      <c r="AV31" s="104"/>
      <c r="AW31" s="104"/>
      <c r="AX31" s="104"/>
      <c r="AY31" s="104"/>
      <c r="AZ31" s="104"/>
      <c r="BA31" s="104"/>
      <c r="BB31" s="66"/>
      <c r="BC31" s="103" t="n">
        <v>-1</v>
      </c>
      <c r="BD31" s="103" t="n">
        <v>100</v>
      </c>
      <c r="BE31" s="103" t="n">
        <v>200</v>
      </c>
      <c r="BF31" s="103" t="n">
        <v>300</v>
      </c>
      <c r="BG31" s="103" t="n">
        <v>400</v>
      </c>
      <c r="BH31" s="103"/>
      <c r="BI31" s="103"/>
      <c r="BJ31" s="103"/>
      <c r="BK31" s="103"/>
      <c r="BL31" s="103"/>
      <c r="BM31" s="103"/>
      <c r="BN31" s="103"/>
      <c r="BO31" s="103"/>
      <c r="BP31" s="103"/>
      <c r="BQ31" s="103"/>
      <c r="BR31" s="103"/>
      <c r="BS31" s="104" t="n">
        <v>-1</v>
      </c>
      <c r="BT31" s="104" t="n">
        <v>100</v>
      </c>
      <c r="BU31" s="104" t="n">
        <v>200</v>
      </c>
      <c r="BV31" s="104" t="n">
        <v>300</v>
      </c>
      <c r="BW31" s="104" t="n">
        <v>400</v>
      </c>
      <c r="BX31" s="104"/>
      <c r="BY31" s="104"/>
      <c r="BZ31" s="104"/>
      <c r="CA31" s="104"/>
      <c r="CB31" s="104"/>
      <c r="CC31" s="104"/>
      <c r="CD31" s="104"/>
      <c r="CE31" s="104"/>
      <c r="CF31" s="104"/>
      <c r="CG31" s="104"/>
      <c r="CH31" s="104"/>
      <c r="CJ31" s="95"/>
      <c r="CK31" s="95"/>
      <c r="CL31" s="95"/>
      <c r="CM31" s="95"/>
      <c r="CN31" s="95"/>
      <c r="CO31" s="95"/>
      <c r="CP31" s="95"/>
      <c r="CQ31" s="95"/>
      <c r="CR31" s="95"/>
      <c r="CS31" s="95"/>
      <c r="CT31" s="95"/>
      <c r="CU31" s="95"/>
      <c r="CV31" s="95"/>
      <c r="CW31" s="95"/>
      <c r="CX31" s="95"/>
      <c r="CY31" s="95"/>
      <c r="CZ31" s="95"/>
      <c r="DA31" s="95"/>
      <c r="DB31" s="95"/>
      <c r="DC31" s="95"/>
      <c r="DD31" s="95"/>
      <c r="DE31" s="95"/>
      <c r="DF31" s="95"/>
      <c r="DG31" s="95"/>
      <c r="DL31" s="108"/>
      <c r="DM31" s="108"/>
      <c r="DN31" s="109" t="str">
        <f aca="false">"D6.scenario.defInput["""&amp;B31&amp;"""] = {  "&amp;E$2&amp;":"""&amp;E31&amp;""",  "&amp;C$2&amp;":"""&amp;CLEAN(SUBSTITUTE(C31,"""",""""))&amp;""",  "&amp;F$2&amp;":"""&amp;F31&amp;""",  "&amp;H$2&amp;":"""&amp;CLEAN(SUBSTITUTE(H31,"""",""""))&amp;""", "&amp;J$2&amp;":"""&amp;J31&amp;""", "&amp;L$2&amp;":"""&amp;L31&amp;""", "&amp;M$2&amp;":"""&amp;M31&amp;""", "&amp;N$2&amp;":"""&amp;N31&amp;""", "&amp;O$2&amp;":"""&amp;O31&amp;""", "&amp;P$2&amp;":"""&amp;P31&amp;""", "&amp;Q$2&amp;":"""&amp;Q31&amp;""", "&amp;R$2&amp;":"""&amp;R31&amp;""", d11t:"""&amp;CJ31&amp;""",d11p:"""&amp;CK31&amp;""",d12t:"""&amp;CL31&amp;""",d12p:"""&amp;CM31&amp;""",d13t:"""&amp;CN31&amp;""",d13p:"""&amp;CO31&amp;""",d1w:"""&amp;CP31&amp;""",d1d:"""&amp;CQ31&amp;""", d21t:"""&amp;CR31&amp;""",d21p:"""&amp;CS31&amp;""",d22t:"""&amp;CT31&amp;""",d22p:"""&amp;CU31&amp;""",d23t:"""&amp;CV31&amp;""",d23p:"""&amp;CW31&amp;""",d2w:"""&amp;CX31&amp;""",d2d:"""&amp;CY31&amp;""", d31t:"""&amp;CZ31&amp;""",d31p:"""&amp;DA31&amp;""",d32t:"""&amp;DB31&amp;""",d32p:"""&amp;DC31&amp;""",d33t:"""&amp;DD31&amp;""",d33p:"""&amp;DE31&amp;""",d3w:"""&amp;DF31&amp;""",d3d:"""&amp;DG31&amp;"""}; "</f>
        <v>D6.scenario.defInput["i072"] = {  cons:"consEnergy",  title:"ホームタンクの容量",  unit:"",  text:"ホームタンクが設置されている場合はその容量を選んでください", inputType:"sel072", right:"", postfix:"", nodata:"", varType:"Number", min:"", max:"", defaultValue:"-1", d11t:"",d11p:"",d12t:"",d12p:"",d13t:"",d13p:"",d1w:"",d1d:"", d21t:"",d21p:"",d22t:"",d22p:"",d23t:"",d23p:"",d2w:"",d2d:"", d31t:"",d31p:"",d32t:"",d32p:"",d33t:"",d33p:"",d3w:"",d3d:""}; </v>
      </c>
      <c r="DO31" s="110"/>
      <c r="DP31" s="110"/>
      <c r="DQ31" s="111" t="str">
        <f aca="false">"D6.scenario.defSelectValue["""&amp;U31&amp;"""]= [ """&amp;CLEAN(V31)&amp;""", """&amp;CLEAN(W31)&amp;IF(X31="","",""", """&amp;CLEAN(X31))&amp;IF(Y31="","",""", """&amp;CLEAN(Y31))&amp;IF(Z31="","",""", """&amp;CLEAN(Z31))&amp;IF(AA31="","",""", """&amp;CLEAN(AA31))&amp;IF(AB31="","",""", """&amp;CLEAN(AB31))&amp;IF(AC31="","",""", """&amp;CLEAN(AC31))&amp;IF(AD31="","",""", """&amp;CLEAN(AD31))&amp;IF(AE31="","",""", """&amp;CLEAN(AE31))&amp;IF(AF31="","",""", """&amp;CLEAN(AF31))&amp;IF(AG31="","",""", """&amp;CLEAN(AG31))&amp;IF(AH31="","",""", """&amp;CLEAN(AH31))&amp;IF(AI31="","",""", """&amp;CLEAN(AI31))&amp;IF(AJ31="","",""", """&amp;CLEAN(AJ31))&amp;IF(AK31="","",""", """&amp;CLEAN(AK31))&amp;""" ];"</f>
        <v>D6.scenario.defSelectValue["sel072"]= [ "選んで下さい", "100L", "200L", "300L", "400L" ];</v>
      </c>
      <c r="DR31" s="112"/>
      <c r="DS31" s="112"/>
      <c r="DT31" s="112" t="str">
        <f aca="false">"D6.scenario.defSelectData['"&amp;U31&amp;"']= [ '"&amp;BC31&amp;"', '"&amp;BD31&amp;"', '"&amp;BE31&amp;IF(BF31="","","', '"&amp;BF31)&amp;IF(BG31="","","', '"&amp;BG31)&amp;IF(BH31="","","', '"&amp;BH31)&amp;IF(BI31="","","', '"&amp;BI31)&amp;IF(BJ31="","","', '"&amp;BJ31)&amp;IF(BK31="","","', '"&amp;BK31)&amp;IF(BL31="","","', '"&amp;BL31)&amp;IF(BM31="","","', '"&amp;BM31)&amp;IF(BN31="","","', '"&amp;BN31)&amp;IF(BO31="","","', '"&amp;BO31)&amp;IF(BP31="","","', '"&amp;BP31)&amp;IF(BQ31="","","', '"&amp;BQ31)&amp;IF(BR31="","","', '"&amp;BR31)&amp;"' ];"</f>
        <v>D6.scenario.defSelectData['sel072']= [ '-1', '100', '200', '300', '400' ];</v>
      </c>
    </row>
    <row r="32" s="88" customFormat="true" ht="43.5" hidden="false" customHeight="true" outlineLevel="0" collapsed="false">
      <c r="A32" s="66"/>
      <c r="B32" s="95" t="s">
        <v>1193</v>
      </c>
      <c r="C32" s="103" t="s">
        <v>1194</v>
      </c>
      <c r="D32" s="104" t="s">
        <v>1194</v>
      </c>
      <c r="E32" s="95" t="s">
        <v>1104</v>
      </c>
      <c r="F32" s="103"/>
      <c r="G32" s="104"/>
      <c r="H32" s="103" t="s">
        <v>1195</v>
      </c>
      <c r="I32" s="104" t="s">
        <v>1195</v>
      </c>
      <c r="J32" s="103" t="str">
        <f aca="false">IF(K32="","",K32)</f>
        <v>sel073</v>
      </c>
      <c r="K32" s="104" t="str">
        <f aca="false">"sel"&amp;MID($B32,2,5)</f>
        <v>sel073</v>
      </c>
      <c r="L32" s="105"/>
      <c r="M32" s="105"/>
      <c r="N32" s="105"/>
      <c r="O32" s="95" t="s">
        <v>931</v>
      </c>
      <c r="P32" s="105"/>
      <c r="Q32" s="105"/>
      <c r="R32" s="95" t="n">
        <v>-1</v>
      </c>
      <c r="S32" s="66"/>
      <c r="U32" s="106" t="str">
        <f aca="false">J32</f>
        <v>sel073</v>
      </c>
      <c r="V32" s="103" t="s">
        <v>979</v>
      </c>
      <c r="W32" s="103" t="s">
        <v>1196</v>
      </c>
      <c r="X32" s="103" t="s">
        <v>1197</v>
      </c>
      <c r="Y32" s="103" t="s">
        <v>1198</v>
      </c>
      <c r="Z32" s="103" t="s">
        <v>1199</v>
      </c>
      <c r="AA32" s="103" t="s">
        <v>1200</v>
      </c>
      <c r="AB32" s="103" t="s">
        <v>1201</v>
      </c>
      <c r="AC32" s="103"/>
      <c r="AD32" s="103"/>
      <c r="AE32" s="103"/>
      <c r="AF32" s="103"/>
      <c r="AG32" s="103"/>
      <c r="AH32" s="103"/>
      <c r="AI32" s="103"/>
      <c r="AJ32" s="103"/>
      <c r="AK32" s="103"/>
      <c r="AL32" s="104" t="s">
        <v>979</v>
      </c>
      <c r="AM32" s="104" t="s">
        <v>1196</v>
      </c>
      <c r="AN32" s="104" t="s">
        <v>1197</v>
      </c>
      <c r="AO32" s="104" t="s">
        <v>1198</v>
      </c>
      <c r="AP32" s="104" t="s">
        <v>1199</v>
      </c>
      <c r="AQ32" s="104" t="s">
        <v>1200</v>
      </c>
      <c r="AR32" s="104" t="s">
        <v>1201</v>
      </c>
      <c r="AS32" s="104"/>
      <c r="AT32" s="104"/>
      <c r="AU32" s="104"/>
      <c r="AV32" s="104"/>
      <c r="AW32" s="104"/>
      <c r="AX32" s="104"/>
      <c r="AY32" s="104"/>
      <c r="AZ32" s="104"/>
      <c r="BA32" s="104"/>
      <c r="BB32" s="66"/>
      <c r="BC32" s="103" t="n">
        <v>-1</v>
      </c>
      <c r="BD32" s="103" t="n">
        <v>3</v>
      </c>
      <c r="BE32" s="103" t="n">
        <v>5</v>
      </c>
      <c r="BF32" s="103" t="n">
        <v>8</v>
      </c>
      <c r="BG32" s="103" t="n">
        <v>12</v>
      </c>
      <c r="BH32" s="103" t="n">
        <v>18</v>
      </c>
      <c r="BI32" s="103" t="n">
        <v>24</v>
      </c>
      <c r="BJ32" s="103"/>
      <c r="BK32" s="103"/>
      <c r="BL32" s="103"/>
      <c r="BM32" s="103"/>
      <c r="BN32" s="103"/>
      <c r="BO32" s="103"/>
      <c r="BP32" s="103"/>
      <c r="BQ32" s="103"/>
      <c r="BR32" s="103"/>
      <c r="BS32" s="104" t="n">
        <v>-1</v>
      </c>
      <c r="BT32" s="104" t="n">
        <v>3</v>
      </c>
      <c r="BU32" s="104" t="n">
        <v>5</v>
      </c>
      <c r="BV32" s="104" t="n">
        <v>8</v>
      </c>
      <c r="BW32" s="104" t="n">
        <v>12</v>
      </c>
      <c r="BX32" s="104" t="n">
        <v>18</v>
      </c>
      <c r="BY32" s="104" t="n">
        <v>24</v>
      </c>
      <c r="BZ32" s="104"/>
      <c r="CA32" s="104"/>
      <c r="CB32" s="104"/>
      <c r="CC32" s="104"/>
      <c r="CD32" s="104"/>
      <c r="CE32" s="104"/>
      <c r="CF32" s="104"/>
      <c r="CG32" s="104"/>
      <c r="CH32" s="104"/>
      <c r="CJ32" s="95"/>
      <c r="CK32" s="95"/>
      <c r="CL32" s="95"/>
      <c r="CM32" s="95"/>
      <c r="CN32" s="95"/>
      <c r="CO32" s="95"/>
      <c r="CP32" s="95"/>
      <c r="CQ32" s="95"/>
      <c r="CR32" s="95"/>
      <c r="CS32" s="95"/>
      <c r="CT32" s="95"/>
      <c r="CU32" s="95"/>
      <c r="CV32" s="95"/>
      <c r="CW32" s="95"/>
      <c r="CX32" s="95"/>
      <c r="CY32" s="95"/>
      <c r="CZ32" s="95"/>
      <c r="DA32" s="95"/>
      <c r="DB32" s="95"/>
      <c r="DC32" s="95"/>
      <c r="DD32" s="95"/>
      <c r="DE32" s="95"/>
      <c r="DF32" s="95"/>
      <c r="DG32" s="95"/>
      <c r="DL32" s="108"/>
      <c r="DM32" s="108"/>
      <c r="DN32" s="109" t="str">
        <f aca="false">"D6.scenario.defInput["""&amp;B32&amp;"""] = {  "&amp;E$2&amp;":"""&amp;E32&amp;""",  "&amp;C$2&amp;":"""&amp;CLEAN(SUBSTITUTE(C32,"""",""""))&amp;""",  "&amp;F$2&amp;":"""&amp;F32&amp;""",  "&amp;H$2&amp;":"""&amp;CLEAN(SUBSTITUTE(H32,"""",""""))&amp;""", "&amp;J$2&amp;":"""&amp;J32&amp;""", "&amp;L$2&amp;":"""&amp;L32&amp;""", "&amp;M$2&amp;":"""&amp;M32&amp;""", "&amp;N$2&amp;":"""&amp;N32&amp;""", "&amp;O$2&amp;":"""&amp;O32&amp;""", "&amp;P$2&amp;":"""&amp;P32&amp;""", "&amp;Q$2&amp;":"""&amp;Q32&amp;""", "&amp;R$2&amp;":"""&amp;R32&amp;""", d11t:"""&amp;CJ32&amp;""",d11p:"""&amp;CK32&amp;""",d12t:"""&amp;CL32&amp;""",d12p:"""&amp;CM32&amp;""",d13t:"""&amp;CN32&amp;""",d13p:"""&amp;CO32&amp;""",d1w:"""&amp;CP32&amp;""",d1d:"""&amp;CQ32&amp;""", d21t:"""&amp;CR32&amp;""",d21p:"""&amp;CS32&amp;""",d22t:"""&amp;CT32&amp;""",d22p:"""&amp;CU32&amp;""",d23t:"""&amp;CV32&amp;""",d23p:"""&amp;CW32&amp;""",d2w:"""&amp;CX32&amp;""",d2d:"""&amp;CY32&amp;""", d31t:"""&amp;CZ32&amp;""",d31p:"""&amp;DA32&amp;""",d32t:"""&amp;DB32&amp;""",d32p:"""&amp;DC32&amp;""",d33t:"""&amp;DD32&amp;""",d33p:"""&amp;DE32&amp;""",d3w:"""&amp;DF32&amp;""",d3d:"""&amp;DG32&amp;"""}; "</f>
        <v>D6.scenario.defInput["i073"] = {  cons:"consEnergy",  title:"灯油ホームタンク回数",  unit:"",  text:"灯油のホームタンクに年間に入れる回数を選んでください", inputType:"sel073", right:"", postfix:"", nodata:"", varType:"Number", min:"", max:"", defaultValue:"-1", d11t:"",d11p:"",d12t:"",d12p:"",d13t:"",d13p:"",d1w:"",d1d:"", d21t:"",d21p:"",d22t:"",d22p:"",d23t:"",d23p:"",d2w:"",d2d:"", d31t:"",d31p:"",d32t:"",d32p:"",d33t:"",d33p:"",d3w:"",d3d:""}; </v>
      </c>
      <c r="DO32" s="110"/>
      <c r="DP32" s="110"/>
      <c r="DQ32" s="111" t="str">
        <f aca="false">"D6.scenario.defSelectValue["""&amp;U32&amp;"""]= [ """&amp;CLEAN(V32)&amp;""", """&amp;CLEAN(W32)&amp;IF(X32="","",""", """&amp;CLEAN(X32))&amp;IF(Y32="","",""", """&amp;CLEAN(Y32))&amp;IF(Z32="","",""", """&amp;CLEAN(Z32))&amp;IF(AA32="","",""", """&amp;CLEAN(AA32))&amp;IF(AB32="","",""", """&amp;CLEAN(AB32))&amp;IF(AC32="","",""", """&amp;CLEAN(AC32))&amp;IF(AD32="","",""", """&amp;CLEAN(AD32))&amp;IF(AE32="","",""", """&amp;CLEAN(AE32))&amp;IF(AF32="","",""", """&amp;CLEAN(AF32))&amp;IF(AG32="","",""", """&amp;CLEAN(AG32))&amp;IF(AH32="","",""", """&amp;CLEAN(AH32))&amp;IF(AI32="","",""", """&amp;CLEAN(AI32))&amp;IF(AJ32="","",""", """&amp;CLEAN(AJ32))&amp;IF(AK32="","",""", """&amp;CLEAN(AK32))&amp;""" ];"</f>
        <v>D6.scenario.defSelectValue["sel073"]= [ "選んで下さい", "年3回以下", "年4-6回", "年7-10回", "年11-15回", "年16-20回", "年21回以上" ];</v>
      </c>
      <c r="DR32" s="112"/>
      <c r="DS32" s="112"/>
      <c r="DT32" s="112" t="str">
        <f aca="false">"D6.scenario.defSelectData['"&amp;U32&amp;"']= [ '"&amp;BC32&amp;"', '"&amp;BD32&amp;"', '"&amp;BE32&amp;IF(BF32="","","', '"&amp;BF32)&amp;IF(BG32="","","', '"&amp;BG32)&amp;IF(BH32="","","', '"&amp;BH32)&amp;IF(BI32="","","', '"&amp;BI32)&amp;IF(BJ32="","","', '"&amp;BJ32)&amp;IF(BK32="","","', '"&amp;BK32)&amp;IF(BL32="","","', '"&amp;BL32)&amp;IF(BM32="","","', '"&amp;BM32)&amp;IF(BN32="","","', '"&amp;BN32)&amp;IF(BO32="","","', '"&amp;BO32)&amp;IF(BP32="","","', '"&amp;BP32)&amp;IF(BQ32="","","', '"&amp;BQ32)&amp;IF(BR32="","","', '"&amp;BR32)&amp;"' ];"</f>
        <v>D6.scenario.defSelectData['sel073']= [ '-1', '3', '5', '8', '12', '18', '24' ];</v>
      </c>
    </row>
    <row r="33" s="88" customFormat="true" ht="43.5" hidden="false" customHeight="true" outlineLevel="0" collapsed="false">
      <c r="A33" s="66"/>
      <c r="B33" s="95" t="s">
        <v>1202</v>
      </c>
      <c r="C33" s="103" t="s">
        <v>1203</v>
      </c>
      <c r="D33" s="104" t="s">
        <v>1203</v>
      </c>
      <c r="E33" s="95" t="s">
        <v>1104</v>
      </c>
      <c r="F33" s="103" t="s">
        <v>1144</v>
      </c>
      <c r="G33" s="104" t="s">
        <v>1144</v>
      </c>
      <c r="H33" s="103" t="s">
        <v>1204</v>
      </c>
      <c r="I33" s="104" t="s">
        <v>1204</v>
      </c>
      <c r="J33" s="103" t="str">
        <f aca="false">IF(K33="","",K33)</f>
        <v>sel074</v>
      </c>
      <c r="K33" s="104" t="str">
        <f aca="false">"sel"&amp;MID($B33,2,5)</f>
        <v>sel074</v>
      </c>
      <c r="L33" s="105"/>
      <c r="M33" s="105"/>
      <c r="N33" s="105"/>
      <c r="O33" s="95" t="s">
        <v>931</v>
      </c>
      <c r="P33" s="105"/>
      <c r="Q33" s="105"/>
      <c r="R33" s="95" t="n">
        <v>-1</v>
      </c>
      <c r="S33" s="66"/>
      <c r="T33" s="66"/>
      <c r="U33" s="106" t="str">
        <f aca="false">J33</f>
        <v>sel074</v>
      </c>
      <c r="V33" s="103" t="s">
        <v>979</v>
      </c>
      <c r="W33" s="103" t="s">
        <v>1205</v>
      </c>
      <c r="X33" s="103" t="s">
        <v>1147</v>
      </c>
      <c r="Y33" s="103" t="s">
        <v>1206</v>
      </c>
      <c r="Z33" s="103" t="s">
        <v>1148</v>
      </c>
      <c r="AA33" s="103" t="s">
        <v>1149</v>
      </c>
      <c r="AB33" s="103" t="s">
        <v>1207</v>
      </c>
      <c r="AC33" s="103" t="s">
        <v>1150</v>
      </c>
      <c r="AD33" s="103" t="s">
        <v>1151</v>
      </c>
      <c r="AE33" s="103" t="s">
        <v>1152</v>
      </c>
      <c r="AF33" s="103" t="s">
        <v>1154</v>
      </c>
      <c r="AG33" s="103" t="s">
        <v>1157</v>
      </c>
      <c r="AH33" s="103"/>
      <c r="AI33" s="103"/>
      <c r="AJ33" s="103"/>
      <c r="AK33" s="103"/>
      <c r="AL33" s="104" t="s">
        <v>979</v>
      </c>
      <c r="AM33" s="104" t="s">
        <v>1205</v>
      </c>
      <c r="AN33" s="104" t="s">
        <v>1147</v>
      </c>
      <c r="AO33" s="104" t="s">
        <v>1206</v>
      </c>
      <c r="AP33" s="107" t="s">
        <v>1148</v>
      </c>
      <c r="AQ33" s="107" t="s">
        <v>1149</v>
      </c>
      <c r="AR33" s="107" t="s">
        <v>1207</v>
      </c>
      <c r="AS33" s="107" t="s">
        <v>1150</v>
      </c>
      <c r="AT33" s="104" t="s">
        <v>1151</v>
      </c>
      <c r="AU33" s="104" t="s">
        <v>1152</v>
      </c>
      <c r="AV33" s="104" t="s">
        <v>1154</v>
      </c>
      <c r="AW33" s="104" t="s">
        <v>1157</v>
      </c>
      <c r="AX33" s="104"/>
      <c r="AY33" s="104"/>
      <c r="AZ33" s="104"/>
      <c r="BA33" s="104"/>
      <c r="BB33" s="66"/>
      <c r="BC33" s="103" t="n">
        <v>-1</v>
      </c>
      <c r="BD33" s="103" t="n">
        <v>500</v>
      </c>
      <c r="BE33" s="103" t="n">
        <v>1000</v>
      </c>
      <c r="BF33" s="103" t="n">
        <v>1500</v>
      </c>
      <c r="BG33" s="103" t="n">
        <v>2000</v>
      </c>
      <c r="BH33" s="103" t="n">
        <v>3000</v>
      </c>
      <c r="BI33" s="103" t="n">
        <v>4000</v>
      </c>
      <c r="BJ33" s="103" t="n">
        <v>5000</v>
      </c>
      <c r="BK33" s="103" t="n">
        <v>7000</v>
      </c>
      <c r="BL33" s="103" t="n">
        <v>10000</v>
      </c>
      <c r="BM33" s="103" t="n">
        <v>15000</v>
      </c>
      <c r="BN33" s="103" t="n">
        <v>20000</v>
      </c>
      <c r="BO33" s="103"/>
      <c r="BP33" s="103"/>
      <c r="BQ33" s="103"/>
      <c r="BR33" s="103"/>
      <c r="BS33" s="104" t="n">
        <v>-1</v>
      </c>
      <c r="BT33" s="104" t="n">
        <f aca="false">VALUE(LEFT(AM33,LEN(AM33)-1))</f>
        <v>500</v>
      </c>
      <c r="BU33" s="104" t="n">
        <f aca="false">VALUE(LEFT(AN33,LEN(AN33)-1))</f>
        <v>1000</v>
      </c>
      <c r="BV33" s="104" t="n">
        <f aca="false">VALUE(LEFT(AO33,LEN(AO33)-1))</f>
        <v>1500</v>
      </c>
      <c r="BW33" s="104" t="n">
        <f aca="false">VALUE(LEFT(AP33,LEN(AP33)-1))</f>
        <v>2000</v>
      </c>
      <c r="BX33" s="104" t="n">
        <f aca="false">VALUE(LEFT(AQ33,LEN(AQ33)-1))</f>
        <v>3000</v>
      </c>
      <c r="BY33" s="104" t="n">
        <f aca="false">VALUE(LEFT(AR33,LEN(AR33)-1))</f>
        <v>4000</v>
      </c>
      <c r="BZ33" s="104" t="n">
        <f aca="false">VALUE(LEFT(AS33,LEN(AS33)-1))</f>
        <v>5000</v>
      </c>
      <c r="CA33" s="104" t="n">
        <f aca="false">VALUE(LEFT(AT33,LEN(AT33)-1))</f>
        <v>7000</v>
      </c>
      <c r="CB33" s="104" t="n">
        <v>10000</v>
      </c>
      <c r="CC33" s="104" t="n">
        <v>15000</v>
      </c>
      <c r="CD33" s="104" t="n">
        <v>20000</v>
      </c>
      <c r="CE33" s="104"/>
      <c r="CF33" s="104"/>
      <c r="CG33" s="104"/>
      <c r="CH33" s="104"/>
      <c r="CJ33" s="95"/>
      <c r="CK33" s="95"/>
      <c r="CL33" s="95"/>
      <c r="CM33" s="95"/>
      <c r="CN33" s="95"/>
      <c r="CO33" s="95"/>
      <c r="CP33" s="95"/>
      <c r="CQ33" s="95"/>
      <c r="CR33" s="95"/>
      <c r="CS33" s="95"/>
      <c r="CT33" s="95"/>
      <c r="CU33" s="95"/>
      <c r="CV33" s="95"/>
      <c r="CW33" s="95"/>
      <c r="CX33" s="95"/>
      <c r="CY33" s="95"/>
      <c r="CZ33" s="95"/>
      <c r="DA33" s="95"/>
      <c r="DB33" s="95"/>
      <c r="DC33" s="95"/>
      <c r="DD33" s="95"/>
      <c r="DE33" s="95"/>
      <c r="DF33" s="95"/>
      <c r="DG33" s="95"/>
      <c r="DL33" s="108"/>
      <c r="DM33" s="108"/>
      <c r="DN33" s="109" t="str">
        <f aca="false">"D6.scenario.defInput["""&amp;B33&amp;"""] = {  "&amp;E$2&amp;":"""&amp;E33&amp;""",  "&amp;C$2&amp;":"""&amp;CLEAN(SUBSTITUTE(C33,"""",""""))&amp;""",  "&amp;F$2&amp;":"""&amp;F33&amp;""",  "&amp;H$2&amp;":"""&amp;CLEAN(SUBSTITUTE(H33,"""",""""))&amp;""", "&amp;J$2&amp;":"""&amp;J33&amp;""", "&amp;L$2&amp;":"""&amp;L33&amp;""", "&amp;M$2&amp;":"""&amp;M33&amp;""", "&amp;N$2&amp;":"""&amp;N33&amp;""", "&amp;O$2&amp;":"""&amp;O33&amp;""", "&amp;P$2&amp;":"""&amp;P33&amp;""", "&amp;Q$2&amp;":"""&amp;Q33&amp;""", "&amp;R$2&amp;":"""&amp;R33&amp;""", d11t:"""&amp;CJ33&amp;""",d11p:"""&amp;CK33&amp;""",d12t:"""&amp;CL33&amp;""",d12p:"""&amp;CM33&amp;""",d13t:"""&amp;CN33&amp;""",d13p:"""&amp;CO33&amp;""",d1w:"""&amp;CP33&amp;""",d1d:"""&amp;CQ33&amp;""", d21t:"""&amp;CR33&amp;""",d21p:"""&amp;CS33&amp;""",d22t:"""&amp;CT33&amp;""",d22p:"""&amp;CU33&amp;""",d23t:"""&amp;CV33&amp;""",d23p:"""&amp;CW33&amp;""",d2w:"""&amp;CX33&amp;""",d2d:"""&amp;CY33&amp;""", d31t:"""&amp;CZ33&amp;""",d31p:"""&amp;DA33&amp;""",d32t:"""&amp;DB33&amp;""",d32p:"""&amp;DC33&amp;""",d33t:"""&amp;DD33&amp;""",d33p:"""&amp;DE33&amp;""",d3w:"""&amp;DF33&amp;""",d3d:"""&amp;DG33&amp;"""}; "</f>
        <v>D6.scenario.defInput["i074"] = {  cons:"consEnergy",  title:"上下水道代",  unit:"円",  text:"1ヶ月あたりのおおよその上下水道代を選んでください。", inputType:"sel074", right:"", postfix:"", nodata:"", varType:"Number", min:"", max:"", defaultValue:"-1", d11t:"",d11p:"",d12t:"",d12p:"",d13t:"",d13p:"",d1w:"",d1d:"", d21t:"",d21p:"",d22t:"",d22p:"",d23t:"",d23p:"",d2w:"",d2d:"", d31t:"",d31p:"",d32t:"",d32p:"",d33t:"",d33p:"",d3w:"",d3d:""}; </v>
      </c>
      <c r="DO33" s="110"/>
      <c r="DP33" s="110"/>
      <c r="DQ33" s="111" t="str">
        <f aca="false">"D6.scenario.defSelectValue["""&amp;U33&amp;"""]= [ """&amp;CLEAN(V33)&amp;""", """&amp;CLEAN(W33)&amp;IF(X33="","",""", """&amp;CLEAN(X33))&amp;IF(Y33="","",""", """&amp;CLEAN(Y33))&amp;IF(Z33="","",""", """&amp;CLEAN(Z33))&amp;IF(AA33="","",""", """&amp;CLEAN(AA33))&amp;IF(AB33="","",""", """&amp;CLEAN(AB33))&amp;IF(AC33="","",""", """&amp;CLEAN(AC33))&amp;IF(AD33="","",""", """&amp;CLEAN(AD33))&amp;IF(AE33="","",""", """&amp;CLEAN(AE33))&amp;IF(AF33="","",""", """&amp;CLEAN(AF33))&amp;IF(AG33="","",""", """&amp;CLEAN(AG33))&amp;IF(AH33="","",""", """&amp;CLEAN(AH33))&amp;IF(AI33="","",""", """&amp;CLEAN(AI33))&amp;IF(AJ33="","",""", """&amp;CLEAN(AJ33))&amp;IF(AK33="","",""", """&amp;CLEAN(AK33))&amp;""" ];"</f>
        <v>D6.scenario.defSelectValue["sel074"]= [ "選んで下さい", "500円", "1000円", "1500円", "2000円", "3000円", "4000円", "5000円", "7000円", "1万円", "1万5000円", "それ以上" ];</v>
      </c>
      <c r="DR33" s="112"/>
      <c r="DS33" s="112"/>
      <c r="DT33" s="112" t="str">
        <f aca="false">"D6.scenario.defSelectData['"&amp;U33&amp;"']= [ '"&amp;BC33&amp;"', '"&amp;BD33&amp;"', '"&amp;BE33&amp;IF(BF33="","","', '"&amp;BF33)&amp;IF(BG33="","","', '"&amp;BG33)&amp;IF(BH33="","","', '"&amp;BH33)&amp;IF(BI33="","","', '"&amp;BI33)&amp;IF(BJ33="","","', '"&amp;BJ33)&amp;IF(BK33="","","', '"&amp;BK33)&amp;IF(BL33="","","', '"&amp;BL33)&amp;IF(BM33="","","', '"&amp;BM33)&amp;IF(BN33="","","', '"&amp;BN33)&amp;IF(BO33="","","', '"&amp;BO33)&amp;IF(BP33="","","', '"&amp;BP33)&amp;IF(BQ33="","","', '"&amp;BQ33)&amp;IF(BR33="","","', '"&amp;BR33)&amp;"' ];"</f>
        <v>D6.scenario.defSelectData['sel074']= [ '-1', '500', '1000', '1500', '2000', '3000', '4000', '5000', '7000', '10000', '15000', '20000' ];</v>
      </c>
    </row>
    <row r="34" s="88" customFormat="true" ht="43.5" hidden="false" customHeight="true" outlineLevel="0" collapsed="false">
      <c r="A34" s="66"/>
      <c r="B34" s="95" t="s">
        <v>1208</v>
      </c>
      <c r="C34" s="103" t="s">
        <v>1209</v>
      </c>
      <c r="D34" s="104" t="s">
        <v>1209</v>
      </c>
      <c r="E34" s="95" t="s">
        <v>1104</v>
      </c>
      <c r="F34" s="103" t="s">
        <v>1144</v>
      </c>
      <c r="G34" s="104" t="s">
        <v>1144</v>
      </c>
      <c r="H34" s="103" t="s">
        <v>1210</v>
      </c>
      <c r="I34" s="104" t="s">
        <v>1210</v>
      </c>
      <c r="J34" s="103" t="str">
        <f aca="false">IF(K34="","",K34)</f>
        <v>sel075</v>
      </c>
      <c r="K34" s="104" t="str">
        <f aca="false">"sel"&amp;MID($B34,2,5)</f>
        <v>sel075</v>
      </c>
      <c r="L34" s="105"/>
      <c r="M34" s="105"/>
      <c r="N34" s="105"/>
      <c r="O34" s="95" t="s">
        <v>931</v>
      </c>
      <c r="P34" s="105"/>
      <c r="Q34" s="105"/>
      <c r="R34" s="95" t="n">
        <v>-1</v>
      </c>
      <c r="S34" s="66"/>
      <c r="T34" s="66"/>
      <c r="U34" s="106" t="str">
        <f aca="false">J34</f>
        <v>sel075</v>
      </c>
      <c r="V34" s="103" t="s">
        <v>979</v>
      </c>
      <c r="W34" s="103" t="s">
        <v>1170</v>
      </c>
      <c r="X34" s="103" t="s">
        <v>1147</v>
      </c>
      <c r="Y34" s="103" t="s">
        <v>1148</v>
      </c>
      <c r="Z34" s="103" t="s">
        <v>1149</v>
      </c>
      <c r="AA34" s="103" t="s">
        <v>1150</v>
      </c>
      <c r="AB34" s="103" t="s">
        <v>1151</v>
      </c>
      <c r="AC34" s="103" t="s">
        <v>1152</v>
      </c>
      <c r="AD34" s="103" t="s">
        <v>1153</v>
      </c>
      <c r="AE34" s="103" t="s">
        <v>1154</v>
      </c>
      <c r="AF34" s="103" t="s">
        <v>1155</v>
      </c>
      <c r="AG34" s="103" t="s">
        <v>1156</v>
      </c>
      <c r="AH34" s="103" t="s">
        <v>1157</v>
      </c>
      <c r="AI34" s="103"/>
      <c r="AJ34" s="103"/>
      <c r="AK34" s="103"/>
      <c r="AL34" s="104" t="s">
        <v>979</v>
      </c>
      <c r="AM34" s="107" t="s">
        <v>1170</v>
      </c>
      <c r="AN34" s="104" t="s">
        <v>1147</v>
      </c>
      <c r="AO34" s="104" t="s">
        <v>1148</v>
      </c>
      <c r="AP34" s="107" t="s">
        <v>1149</v>
      </c>
      <c r="AQ34" s="107" t="s">
        <v>1150</v>
      </c>
      <c r="AR34" s="107" t="s">
        <v>1151</v>
      </c>
      <c r="AS34" s="107" t="s">
        <v>1152</v>
      </c>
      <c r="AT34" s="107" t="s">
        <v>1153</v>
      </c>
      <c r="AU34" s="104" t="s">
        <v>1154</v>
      </c>
      <c r="AV34" s="104" t="s">
        <v>1155</v>
      </c>
      <c r="AW34" s="104" t="s">
        <v>1156</v>
      </c>
      <c r="AX34" s="104" t="s">
        <v>1157</v>
      </c>
      <c r="AY34" s="104"/>
      <c r="AZ34" s="104"/>
      <c r="BA34" s="104"/>
      <c r="BB34" s="66"/>
      <c r="BC34" s="103" t="n">
        <v>-1</v>
      </c>
      <c r="BD34" s="103" t="n">
        <v>0</v>
      </c>
      <c r="BE34" s="103" t="n">
        <v>1000</v>
      </c>
      <c r="BF34" s="103" t="n">
        <v>2000</v>
      </c>
      <c r="BG34" s="103" t="n">
        <v>3000</v>
      </c>
      <c r="BH34" s="103" t="n">
        <v>5000</v>
      </c>
      <c r="BI34" s="103" t="n">
        <v>7000</v>
      </c>
      <c r="BJ34" s="103" t="n">
        <v>10000</v>
      </c>
      <c r="BK34" s="103" t="n">
        <v>12000</v>
      </c>
      <c r="BL34" s="103" t="n">
        <v>15000</v>
      </c>
      <c r="BM34" s="103" t="n">
        <v>20000</v>
      </c>
      <c r="BN34" s="103" t="n">
        <v>30000</v>
      </c>
      <c r="BO34" s="103" t="n">
        <v>40000</v>
      </c>
      <c r="BP34" s="103"/>
      <c r="BQ34" s="103"/>
      <c r="BR34" s="103"/>
      <c r="BS34" s="104" t="n">
        <v>-1</v>
      </c>
      <c r="BT34" s="104" t="n">
        <v>0</v>
      </c>
      <c r="BU34" s="104" t="n">
        <f aca="false">VALUE(LEFT(AN34,LEN(AN34)-1))</f>
        <v>1000</v>
      </c>
      <c r="BV34" s="104" t="n">
        <f aca="false">VALUE(LEFT(AO34,LEN(AO34)-1))</f>
        <v>2000</v>
      </c>
      <c r="BW34" s="104" t="n">
        <f aca="false">VALUE(LEFT(AP34,LEN(AP34)-1))</f>
        <v>3000</v>
      </c>
      <c r="BX34" s="104" t="n">
        <f aca="false">VALUE(LEFT(AQ34,LEN(AQ34)-1))</f>
        <v>5000</v>
      </c>
      <c r="BY34" s="104" t="n">
        <f aca="false">VALUE(LEFT(AR34,LEN(AR34)-1))</f>
        <v>7000</v>
      </c>
      <c r="BZ34" s="104" t="n">
        <v>10000</v>
      </c>
      <c r="CA34" s="104" t="n">
        <v>12000</v>
      </c>
      <c r="CB34" s="104" t="n">
        <v>15000</v>
      </c>
      <c r="CC34" s="104" t="n">
        <v>20000</v>
      </c>
      <c r="CD34" s="104" t="n">
        <v>30000</v>
      </c>
      <c r="CE34" s="104" t="n">
        <v>40000</v>
      </c>
      <c r="CF34" s="104"/>
      <c r="CG34" s="104"/>
      <c r="CH34" s="104"/>
      <c r="CJ34" s="95" t="n">
        <v>10000</v>
      </c>
      <c r="CK34" s="95" t="n">
        <v>0</v>
      </c>
      <c r="CL34" s="95" t="n">
        <v>6000</v>
      </c>
      <c r="CM34" s="95" t="n">
        <v>1</v>
      </c>
      <c r="CN34" s="95" t="n">
        <v>0</v>
      </c>
      <c r="CO34" s="95" t="n">
        <v>2</v>
      </c>
      <c r="CP34" s="95" t="n">
        <v>2</v>
      </c>
      <c r="CQ34" s="95" t="n">
        <v>1</v>
      </c>
      <c r="CR34" s="95"/>
      <c r="CS34" s="95"/>
      <c r="CT34" s="95"/>
      <c r="CU34" s="95"/>
      <c r="CV34" s="95"/>
      <c r="CW34" s="95"/>
      <c r="CX34" s="95"/>
      <c r="CY34" s="95"/>
      <c r="CZ34" s="95"/>
      <c r="DA34" s="95"/>
      <c r="DB34" s="95"/>
      <c r="DC34" s="95"/>
      <c r="DD34" s="95"/>
      <c r="DE34" s="95"/>
      <c r="DF34" s="95"/>
      <c r="DG34" s="95"/>
      <c r="DL34" s="108"/>
      <c r="DM34" s="108"/>
      <c r="DN34" s="109" t="str">
        <f aca="false">"D6.scenario.defInput["""&amp;B34&amp;"""] = {  "&amp;E$2&amp;":"""&amp;E34&amp;""",  "&amp;C$2&amp;":"""&amp;CLEAN(SUBSTITUTE(C34,"""",""""))&amp;""",  "&amp;F$2&amp;":"""&amp;F34&amp;""",  "&amp;H$2&amp;":"""&amp;CLEAN(SUBSTITUTE(H34,"""",""""))&amp;""", "&amp;J$2&amp;":"""&amp;J34&amp;""", "&amp;L$2&amp;":"""&amp;L34&amp;""", "&amp;M$2&amp;":"""&amp;M34&amp;""", "&amp;N$2&amp;":"""&amp;N34&amp;""", "&amp;O$2&amp;":"""&amp;O34&amp;""", "&amp;P$2&amp;":"""&amp;P34&amp;""", "&amp;Q$2&amp;":"""&amp;Q34&amp;""", "&amp;R$2&amp;":"""&amp;R34&amp;""", d11t:"""&amp;CJ34&amp;""",d11p:"""&amp;CK34&amp;""",d12t:"""&amp;CL34&amp;""",d12p:"""&amp;CM34&amp;""",d13t:"""&amp;CN34&amp;""",d13p:"""&amp;CO34&amp;""",d1w:"""&amp;CP34&amp;""",d1d:"""&amp;CQ34&amp;""", d21t:"""&amp;CR34&amp;""",d21p:"""&amp;CS34&amp;""",d22t:"""&amp;CT34&amp;""",d22p:"""&amp;CU34&amp;""",d23t:"""&amp;CV34&amp;""",d23p:"""&amp;CW34&amp;""",d2w:"""&amp;CX34&amp;""",d2d:"""&amp;CY34&amp;""", d31t:"""&amp;CZ34&amp;""",d31p:"""&amp;DA34&amp;""",d32t:"""&amp;DB34&amp;""",d32p:"""&amp;DC34&amp;""",d33t:"""&amp;DD34&amp;""",d33p:"""&amp;DE34&amp;""",d3w:"""&amp;DF34&amp;""",d3d:"""&amp;DG34&amp;"""}; "</f>
        <v>D6.scenario.defInput["i075"] = {  cons:"consEnergy",  title:"車燃料代",  unit:"円",  text:"おおよその1ヶ月のガソリン代（軽油代）を選んで下さい。家族全員分になります。", inputType:"sel075", right:"", postfix:"", nodata:"", varType:"Number", min:"", max:"", defaultValue:"-1", d11t:"10000",d11p:"0",d12t:"6000",d12p:"1",d13t:"0",d13p:"2",d1w:"2",d1d:"1", d21t:"",d21p:"",d22t:"",d22p:"",d23t:"",d23p:"",d2w:"",d2d:"", d31t:"",d31p:"",d32t:"",d32p:"",d33t:"",d33p:"",d3w:"",d3d:""}; </v>
      </c>
      <c r="DO34" s="110"/>
      <c r="DP34" s="110"/>
      <c r="DQ34" s="111" t="str">
        <f aca="false">"D6.scenario.defSelectValue["""&amp;U34&amp;"""]= [ """&amp;CLEAN(V34)&amp;""", """&amp;CLEAN(W34)&amp;IF(X34="","",""", """&amp;CLEAN(X34))&amp;IF(Y34="","",""", """&amp;CLEAN(Y34))&amp;IF(Z34="","",""", """&amp;CLEAN(Z34))&amp;IF(AA34="","",""", """&amp;CLEAN(AA34))&amp;IF(AB34="","",""", """&amp;CLEAN(AB34))&amp;IF(AC34="","",""", """&amp;CLEAN(AC34))&amp;IF(AD34="","",""", """&amp;CLEAN(AD34))&amp;IF(AE34="","",""", """&amp;CLEAN(AE34))&amp;IF(AF34="","",""", """&amp;CLEAN(AF34))&amp;IF(AG34="","",""", """&amp;CLEAN(AG34))&amp;IF(AH34="","",""", """&amp;CLEAN(AH34))&amp;IF(AI34="","",""", """&amp;CLEAN(AI34))&amp;IF(AJ34="","",""", """&amp;CLEAN(AJ34))&amp;IF(AK34="","",""", """&amp;CLEAN(AK34))&amp;""" ];"</f>
        <v>D6.scenario.defSelectValue["sel075"]= [ "選んで下さい", "使わない", "1000円", "2000円", "3000円", "5000円", "7000円", "1万円", "1万2000円", "1万5000円", "2万円", "3万円", "それ以上" ];</v>
      </c>
      <c r="DR34" s="112"/>
      <c r="DS34" s="112"/>
      <c r="DT34" s="112" t="str">
        <f aca="false">"D6.scenario.defSelectData['"&amp;U34&amp;"']= [ '"&amp;BC34&amp;"', '"&amp;BD34&amp;"', '"&amp;BE34&amp;IF(BF34="","","', '"&amp;BF34)&amp;IF(BG34="","","', '"&amp;BG34)&amp;IF(BH34="","","', '"&amp;BH34)&amp;IF(BI34="","","', '"&amp;BI34)&amp;IF(BJ34="","","', '"&amp;BJ34)&amp;IF(BK34="","","', '"&amp;BK34)&amp;IF(BL34="","","', '"&amp;BL34)&amp;IF(BM34="","","', '"&amp;BM34)&amp;IF(BN34="","","', '"&amp;BN34)&amp;IF(BO34="","","', '"&amp;BO34)&amp;IF(BP34="","","', '"&amp;BP34)&amp;IF(BQ34="","","', '"&amp;BQ34)&amp;IF(BR34="","","', '"&amp;BR34)&amp;"' ];"</f>
        <v>D6.scenario.defSelectData['sel075']= [ '-1', '0', '1000', '2000', '3000', '5000', '7000', '10000', '12000', '15000', '20000', '30000', '40000' ];</v>
      </c>
    </row>
    <row r="35" s="88" customFormat="true" ht="43.5" hidden="false" customHeight="true" outlineLevel="0" collapsed="false">
      <c r="A35" s="66"/>
      <c r="B35" s="95" t="s">
        <v>1211</v>
      </c>
      <c r="C35" s="103" t="s">
        <v>1212</v>
      </c>
      <c r="D35" s="104" t="s">
        <v>1212</v>
      </c>
      <c r="E35" s="95" t="s">
        <v>1104</v>
      </c>
      <c r="F35" s="103"/>
      <c r="G35" s="104"/>
      <c r="H35" s="103" t="s">
        <v>1213</v>
      </c>
      <c r="I35" s="104" t="s">
        <v>1213</v>
      </c>
      <c r="J35" s="103" t="str">
        <f aca="false">IF(K35="","",K35)</f>
        <v>sel081</v>
      </c>
      <c r="K35" s="104" t="str">
        <f aca="false">"sel"&amp;MID($B35,2,5)</f>
        <v>sel081</v>
      </c>
      <c r="L35" s="105"/>
      <c r="M35" s="105"/>
      <c r="N35" s="105"/>
      <c r="O35" s="95" t="s">
        <v>931</v>
      </c>
      <c r="P35" s="105"/>
      <c r="Q35" s="105"/>
      <c r="R35" s="95" t="n">
        <v>-1</v>
      </c>
      <c r="S35" s="66"/>
      <c r="T35" s="66"/>
      <c r="U35" s="106" t="str">
        <f aca="false">J35</f>
        <v>sel081</v>
      </c>
      <c r="V35" s="103" t="s">
        <v>979</v>
      </c>
      <c r="W35" s="103" t="s">
        <v>1214</v>
      </c>
      <c r="X35" s="103" t="s">
        <v>1215</v>
      </c>
      <c r="Y35" s="103" t="s">
        <v>1216</v>
      </c>
      <c r="Z35" s="103" t="s">
        <v>1217</v>
      </c>
      <c r="AA35" s="103" t="s">
        <v>1218</v>
      </c>
      <c r="AB35" s="103" t="s">
        <v>1219</v>
      </c>
      <c r="AC35" s="103" t="s">
        <v>1217</v>
      </c>
      <c r="AD35" s="103" t="s">
        <v>1220</v>
      </c>
      <c r="AE35" s="103" t="s">
        <v>1221</v>
      </c>
      <c r="AF35" s="103" t="s">
        <v>1222</v>
      </c>
      <c r="AG35" s="103" t="s">
        <v>1223</v>
      </c>
      <c r="AH35" s="103"/>
      <c r="AI35" s="103"/>
      <c r="AJ35" s="103"/>
      <c r="AK35" s="103"/>
      <c r="AL35" s="104" t="s">
        <v>979</v>
      </c>
      <c r="AM35" s="107" t="s">
        <v>1214</v>
      </c>
      <c r="AN35" s="107" t="s">
        <v>1215</v>
      </c>
      <c r="AO35" s="107" t="s">
        <v>1216</v>
      </c>
      <c r="AP35" s="107" t="s">
        <v>1217</v>
      </c>
      <c r="AQ35" s="107" t="s">
        <v>1218</v>
      </c>
      <c r="AR35" s="107" t="s">
        <v>1219</v>
      </c>
      <c r="AS35" s="107" t="s">
        <v>1217</v>
      </c>
      <c r="AT35" s="107" t="s">
        <v>1220</v>
      </c>
      <c r="AU35" s="107" t="s">
        <v>1221</v>
      </c>
      <c r="AV35" s="104" t="s">
        <v>1222</v>
      </c>
      <c r="AW35" s="104" t="s">
        <v>1223</v>
      </c>
      <c r="AX35" s="104"/>
      <c r="AY35" s="104"/>
      <c r="AZ35" s="104"/>
      <c r="BA35" s="104"/>
      <c r="BB35" s="66"/>
      <c r="BC35" s="103" t="n">
        <v>-1</v>
      </c>
      <c r="BD35" s="103" t="n">
        <v>1</v>
      </c>
      <c r="BE35" s="103" t="n">
        <v>2</v>
      </c>
      <c r="BF35" s="103" t="n">
        <v>3</v>
      </c>
      <c r="BG35" s="103" t="n">
        <v>4</v>
      </c>
      <c r="BH35" s="103" t="n">
        <v>5</v>
      </c>
      <c r="BI35" s="103" t="n">
        <v>6</v>
      </c>
      <c r="BJ35" s="103" t="n">
        <v>7</v>
      </c>
      <c r="BK35" s="103" t="n">
        <v>8</v>
      </c>
      <c r="BL35" s="103" t="n">
        <v>9</v>
      </c>
      <c r="BM35" s="103" t="n">
        <v>10</v>
      </c>
      <c r="BN35" s="103" t="n">
        <v>11</v>
      </c>
      <c r="BO35" s="103"/>
      <c r="BP35" s="103"/>
      <c r="BQ35" s="103"/>
      <c r="BR35" s="103"/>
      <c r="BS35" s="104" t="n">
        <v>-1</v>
      </c>
      <c r="BT35" s="104" t="n">
        <v>1</v>
      </c>
      <c r="BU35" s="104" t="n">
        <v>2</v>
      </c>
      <c r="BV35" s="104" t="n">
        <v>3</v>
      </c>
      <c r="BW35" s="104" t="n">
        <v>4</v>
      </c>
      <c r="BX35" s="104" t="n">
        <v>5</v>
      </c>
      <c r="BY35" s="104" t="n">
        <v>6</v>
      </c>
      <c r="BZ35" s="104" t="n">
        <v>7</v>
      </c>
      <c r="CA35" s="104" t="n">
        <v>8</v>
      </c>
      <c r="CB35" s="104" t="n">
        <v>9</v>
      </c>
      <c r="CC35" s="104" t="n">
        <v>10</v>
      </c>
      <c r="CD35" s="104" t="n">
        <v>11</v>
      </c>
      <c r="CE35" s="104"/>
      <c r="CF35" s="104"/>
      <c r="CG35" s="104"/>
      <c r="CH35" s="104"/>
      <c r="CJ35" s="95"/>
      <c r="CK35" s="95"/>
      <c r="CL35" s="95"/>
      <c r="CM35" s="95"/>
      <c r="CN35" s="95"/>
      <c r="CO35" s="95"/>
      <c r="CP35" s="95"/>
      <c r="CQ35" s="95"/>
      <c r="CR35" s="95"/>
      <c r="CS35" s="95"/>
      <c r="CT35" s="95"/>
      <c r="CU35" s="95"/>
      <c r="CV35" s="95"/>
      <c r="CW35" s="95"/>
      <c r="CX35" s="95"/>
      <c r="CY35" s="95"/>
      <c r="CZ35" s="95"/>
      <c r="DA35" s="95"/>
      <c r="DB35" s="95"/>
      <c r="DC35" s="95"/>
      <c r="DD35" s="95"/>
      <c r="DE35" s="95"/>
      <c r="DF35" s="95"/>
      <c r="DG35" s="95"/>
      <c r="DL35" s="108"/>
      <c r="DM35" s="108"/>
      <c r="DN35" s="109" t="str">
        <f aca="false">"D6.scenario.defInput["""&amp;B35&amp;"""] = {  "&amp;E$2&amp;":"""&amp;E35&amp;""",  "&amp;C$2&amp;":"""&amp;CLEAN(SUBSTITUTE(C35,"""",""""))&amp;""",  "&amp;F$2&amp;":"""&amp;F35&amp;""",  "&amp;H$2&amp;":"""&amp;CLEAN(SUBSTITUTE(H35,"""",""""))&amp;""", "&amp;J$2&amp;":"""&amp;J35&amp;""", "&amp;L$2&amp;":"""&amp;L35&amp;""", "&amp;M$2&amp;":"""&amp;M35&amp;""", "&amp;N$2&amp;":"""&amp;N35&amp;""", "&amp;O$2&amp;":"""&amp;O35&amp;""", "&amp;P$2&amp;":"""&amp;P35&amp;""", "&amp;Q$2&amp;":"""&amp;Q35&amp;""", "&amp;R$2&amp;":"""&amp;R35&amp;""", d11t:"""&amp;CJ35&amp;""",d11p:"""&amp;CK35&amp;""",d12t:"""&amp;CL35&amp;""",d12p:"""&amp;CM35&amp;""",d13t:"""&amp;CN35&amp;""",d13p:"""&amp;CO35&amp;""",d1w:"""&amp;CP35&amp;""",d1d:"""&amp;CQ35&amp;""", d21t:"""&amp;CR35&amp;""",d21p:"""&amp;CS35&amp;""",d22t:"""&amp;CT35&amp;""",d22p:"""&amp;CU35&amp;""",d23t:"""&amp;CV35&amp;""",d23p:"""&amp;CW35&amp;""",d2w:"""&amp;CX35&amp;""",d2d:"""&amp;CY35&amp;""", d31t:"""&amp;CZ35&amp;""",d31p:"""&amp;DA35&amp;""",d32t:"""&amp;DB35&amp;""",d32p:"""&amp;DC35&amp;""",d33t:"""&amp;DD35&amp;""",d33p:"""&amp;DE35&amp;""",d3w:"""&amp;DF35&amp;""",d3d:"""&amp;DG35&amp;"""}; "</f>
        <v>D6.scenario.defInput["i081"] = {  cons:"consEnergy",  title:"電力会社",  unit:"",  text:"電力会社を選んでください", inputType:"sel081", right:"", postfix:"", nodata:"", varType:"Number", min:"", max:"", defaultValue:"-1", d11t:"",d11p:"",d12t:"",d12p:"",d13t:"",d13p:"",d1w:"",d1d:"", d21t:"",d21p:"",d22t:"",d22p:"",d23t:"",d23p:"",d2w:"",d2d:"", d31t:"",d31p:"",d32t:"",d32p:"",d33t:"",d33p:"",d3w:"",d3d:""}; </v>
      </c>
      <c r="DO35" s="110"/>
      <c r="DP35" s="110"/>
      <c r="DQ35" s="111" t="str">
        <f aca="false">"D6.scenario.defSelectValue["""&amp;U35&amp;"""]= [ """&amp;CLEAN(V35)&amp;""", """&amp;CLEAN(W35)&amp;IF(X35="","",""", """&amp;CLEAN(X35))&amp;IF(Y35="","",""", """&amp;CLEAN(Y35))&amp;IF(Z35="","",""", """&amp;CLEAN(Z35))&amp;IF(AA35="","",""", """&amp;CLEAN(AA35))&amp;IF(AB35="","",""", """&amp;CLEAN(AB35))&amp;IF(AC35="","",""", """&amp;CLEAN(AC35))&amp;IF(AD35="","",""", """&amp;CLEAN(AD35))&amp;IF(AE35="","",""", """&amp;CLEAN(AE35))&amp;IF(AF35="","",""", """&amp;CLEAN(AF35))&amp;IF(AG35="","",""", """&amp;CLEAN(AG35))&amp;IF(AH35="","",""", """&amp;CLEAN(AH35))&amp;IF(AI35="","",""", """&amp;CLEAN(AI35))&amp;IF(AJ35="","",""", """&amp;CLEAN(AJ35))&amp;IF(AK35="","",""", """&amp;CLEAN(AK35))&amp;""" ];"</f>
        <v>D6.scenario.defSelectValue["sel081"]= [ "選んで下さい", "北海道電力", "東北電力", "東京電力", "中部電力", "北陸電力", "関西電力", "中部電力", "四国電力", "九州電力", "沖縄電力", "そのほか" ];</v>
      </c>
      <c r="DR35" s="112"/>
      <c r="DS35" s="112"/>
      <c r="DT35" s="112" t="str">
        <f aca="false">"D6.scenario.defSelectData['"&amp;U35&amp;"']= [ '"&amp;BC35&amp;"', '"&amp;BD35&amp;"', '"&amp;BE35&amp;IF(BF35="","","', '"&amp;BF35)&amp;IF(BG35="","","', '"&amp;BG35)&amp;IF(BH35="","","', '"&amp;BH35)&amp;IF(BI35="","","', '"&amp;BI35)&amp;IF(BJ35="","","', '"&amp;BJ35)&amp;IF(BK35="","","', '"&amp;BK35)&amp;IF(BL35="","","', '"&amp;BL35)&amp;IF(BM35="","","', '"&amp;BM35)&amp;IF(BN35="","","', '"&amp;BN35)&amp;IF(BO35="","","', '"&amp;BO35)&amp;IF(BP35="","","', '"&amp;BP35)&amp;IF(BQ35="","","', '"&amp;BQ35)&amp;IF(BR35="","","', '"&amp;BR35)&amp;"' ];"</f>
        <v>D6.scenario.defSelectData['sel081']= [ '-1', '1', '2', '3', '4', '5', '6', '7', '8', '9', '10', '11' ];</v>
      </c>
    </row>
    <row r="36" s="88" customFormat="true" ht="43.5" hidden="false" customHeight="true" outlineLevel="0" collapsed="false">
      <c r="A36" s="66"/>
      <c r="B36" s="95" t="s">
        <v>1224</v>
      </c>
      <c r="C36" s="103" t="s">
        <v>1225</v>
      </c>
      <c r="D36" s="104" t="s">
        <v>1225</v>
      </c>
      <c r="E36" s="95" t="s">
        <v>1104</v>
      </c>
      <c r="F36" s="103"/>
      <c r="G36" s="104"/>
      <c r="H36" s="103" t="s">
        <v>1226</v>
      </c>
      <c r="I36" s="104" t="s">
        <v>1226</v>
      </c>
      <c r="J36" s="103" t="str">
        <f aca="false">IF(K36="","",K36)</f>
        <v>sel082</v>
      </c>
      <c r="K36" s="104" t="str">
        <f aca="false">"sel"&amp;MID($B36,2,5)</f>
        <v>sel082</v>
      </c>
      <c r="L36" s="105"/>
      <c r="M36" s="105"/>
      <c r="N36" s="105"/>
      <c r="O36" s="95" t="s">
        <v>931</v>
      </c>
      <c r="P36" s="105"/>
      <c r="Q36" s="105"/>
      <c r="R36" s="95" t="n">
        <v>-1</v>
      </c>
      <c r="S36" s="66"/>
      <c r="T36" s="66"/>
      <c r="U36" s="106" t="str">
        <f aca="false">J36</f>
        <v>sel082</v>
      </c>
      <c r="V36" s="103" t="s">
        <v>979</v>
      </c>
      <c r="W36" s="103" t="s">
        <v>1227</v>
      </c>
      <c r="X36" s="103" t="s">
        <v>1228</v>
      </c>
      <c r="Y36" s="103"/>
      <c r="Z36" s="103"/>
      <c r="AA36" s="103"/>
      <c r="AB36" s="103"/>
      <c r="AC36" s="103"/>
      <c r="AD36" s="103"/>
      <c r="AE36" s="103"/>
      <c r="AF36" s="103"/>
      <c r="AG36" s="103"/>
      <c r="AH36" s="103"/>
      <c r="AI36" s="103"/>
      <c r="AJ36" s="103"/>
      <c r="AK36" s="103"/>
      <c r="AL36" s="104" t="s">
        <v>979</v>
      </c>
      <c r="AM36" s="107" t="s">
        <v>1227</v>
      </c>
      <c r="AN36" s="107" t="s">
        <v>1228</v>
      </c>
      <c r="AO36" s="104"/>
      <c r="AP36" s="104"/>
      <c r="AQ36" s="104"/>
      <c r="AR36" s="104"/>
      <c r="AS36" s="104"/>
      <c r="AT36" s="104"/>
      <c r="AU36" s="104"/>
      <c r="AV36" s="104"/>
      <c r="AW36" s="104"/>
      <c r="AX36" s="104"/>
      <c r="AY36" s="104"/>
      <c r="AZ36" s="104"/>
      <c r="BA36" s="104"/>
      <c r="BB36" s="66"/>
      <c r="BC36" s="103" t="n">
        <v>-1</v>
      </c>
      <c r="BD36" s="103" t="n">
        <v>1</v>
      </c>
      <c r="BE36" s="103" t="n">
        <v>2</v>
      </c>
      <c r="BF36" s="103"/>
      <c r="BG36" s="103"/>
      <c r="BH36" s="103"/>
      <c r="BI36" s="103"/>
      <c r="BJ36" s="103"/>
      <c r="BK36" s="103"/>
      <c r="BL36" s="103"/>
      <c r="BM36" s="103"/>
      <c r="BN36" s="103"/>
      <c r="BO36" s="103"/>
      <c r="BP36" s="103"/>
      <c r="BQ36" s="103"/>
      <c r="BR36" s="103"/>
      <c r="BS36" s="104" t="n">
        <v>-1</v>
      </c>
      <c r="BT36" s="104" t="n">
        <v>1</v>
      </c>
      <c r="BU36" s="104" t="n">
        <v>2</v>
      </c>
      <c r="BV36" s="104"/>
      <c r="BW36" s="104"/>
      <c r="BX36" s="104"/>
      <c r="BY36" s="104"/>
      <c r="BZ36" s="104"/>
      <c r="CA36" s="104"/>
      <c r="CB36" s="104"/>
      <c r="CC36" s="104"/>
      <c r="CD36" s="104"/>
      <c r="CE36" s="104"/>
      <c r="CF36" s="104"/>
      <c r="CG36" s="104"/>
      <c r="CH36" s="104"/>
      <c r="CJ36" s="95"/>
      <c r="CK36" s="95"/>
      <c r="CL36" s="95"/>
      <c r="CM36" s="95"/>
      <c r="CN36" s="95"/>
      <c r="CO36" s="95"/>
      <c r="CP36" s="95"/>
      <c r="CQ36" s="95"/>
      <c r="CR36" s="95"/>
      <c r="CS36" s="95"/>
      <c r="CT36" s="95"/>
      <c r="CU36" s="95"/>
      <c r="CV36" s="95"/>
      <c r="CW36" s="95"/>
      <c r="CX36" s="95"/>
      <c r="CY36" s="95"/>
      <c r="CZ36" s="95"/>
      <c r="DA36" s="95"/>
      <c r="DB36" s="95"/>
      <c r="DC36" s="95"/>
      <c r="DD36" s="95"/>
      <c r="DE36" s="95"/>
      <c r="DF36" s="95"/>
      <c r="DG36" s="95"/>
      <c r="DL36" s="108"/>
      <c r="DM36" s="108"/>
      <c r="DN36" s="109" t="str">
        <f aca="false">"D6.scenario.defInput["""&amp;B36&amp;"""] = {  "&amp;E$2&amp;":"""&amp;E36&amp;""",  "&amp;C$2&amp;":"""&amp;CLEAN(SUBSTITUTE(C36,"""",""""))&amp;""",  "&amp;F$2&amp;":"""&amp;F36&amp;""",  "&amp;H$2&amp;":"""&amp;CLEAN(SUBSTITUTE(H36,"""",""""))&amp;""", "&amp;J$2&amp;":"""&amp;J36&amp;""", "&amp;L$2&amp;":"""&amp;L36&amp;""", "&amp;M$2&amp;":"""&amp;M36&amp;""", "&amp;N$2&amp;":"""&amp;N36&amp;""", "&amp;O$2&amp;":"""&amp;O36&amp;""", "&amp;P$2&amp;":"""&amp;P36&amp;""", "&amp;Q$2&amp;":"""&amp;Q36&amp;""", "&amp;R$2&amp;":"""&amp;R36&amp;""", d11t:"""&amp;CJ36&amp;""",d11p:"""&amp;CK36&amp;""",d12t:"""&amp;CL36&amp;""",d12p:"""&amp;CM36&amp;""",d13t:"""&amp;CN36&amp;""",d13p:"""&amp;CO36&amp;""",d1w:"""&amp;CP36&amp;""",d1d:"""&amp;CQ36&amp;""", d21t:"""&amp;CR36&amp;""",d21p:"""&amp;CS36&amp;""",d22t:"""&amp;CT36&amp;""",d22p:"""&amp;CU36&amp;""",d23t:"""&amp;CV36&amp;""",d23p:"""&amp;CW36&amp;""",d2w:"""&amp;CX36&amp;""",d2d:"""&amp;CY36&amp;""", d31t:"""&amp;CZ36&amp;""",d31p:"""&amp;DA36&amp;""",d32t:"""&amp;DB36&amp;""",d32p:"""&amp;DC36&amp;""",d33t:"""&amp;DD36&amp;""",d33p:"""&amp;DE36&amp;""",d3w:"""&amp;DF36&amp;""",d3d:"""&amp;DG36&amp;"""}; "</f>
        <v>D6.scenario.defInput["i082"] = {  cons:"consEnergy",  title:"電気契約",  unit:"",  text:"電気の契約種類を選んでください", inputType:"sel082", right:"", postfix:"", nodata:"", varType:"Number", min:"", max:"", defaultValue:"-1", d11t:"",d11p:"",d12t:"",d12p:"",d13t:"",d13p:"",d1w:"",d1d:"", d21t:"",d21p:"",d22t:"",d22p:"",d23t:"",d23p:"",d2w:"",d2d:"", d31t:"",d31p:"",d32t:"",d32p:"",d33t:"",d33p:"",d3w:"",d3d:""}; </v>
      </c>
      <c r="DO36" s="110"/>
      <c r="DP36" s="110"/>
      <c r="DQ36" s="111" t="str">
        <f aca="false">"D6.scenario.defSelectValue["""&amp;U36&amp;"""]= [ """&amp;CLEAN(V36)&amp;""", """&amp;CLEAN(W36)&amp;IF(X36="","",""", """&amp;CLEAN(X36))&amp;IF(Y36="","",""", """&amp;CLEAN(Y36))&amp;IF(Z36="","",""", """&amp;CLEAN(Z36))&amp;IF(AA36="","",""", """&amp;CLEAN(AA36))&amp;IF(AB36="","",""", """&amp;CLEAN(AB36))&amp;IF(AC36="","",""", """&amp;CLEAN(AC36))&amp;IF(AD36="","",""", """&amp;CLEAN(AD36))&amp;IF(AE36="","",""", """&amp;CLEAN(AE36))&amp;IF(AF36="","",""", """&amp;CLEAN(AF36))&amp;IF(AG36="","",""", """&amp;CLEAN(AG36))&amp;IF(AH36="","",""", """&amp;CLEAN(AH36))&amp;IF(AI36="","",""", """&amp;CLEAN(AI36))&amp;IF(AJ36="","",""", """&amp;CLEAN(AJ36))&amp;IF(AK36="","",""", """&amp;CLEAN(AK36))&amp;""" ];"</f>
        <v>D6.scenario.defSelectValue["sel082"]= [ "選んで下さい", "通常の家庭用（従量）", "時間帯別契約" ];</v>
      </c>
      <c r="DR36" s="112"/>
      <c r="DS36" s="112"/>
      <c r="DT36" s="112" t="str">
        <f aca="false">"D6.scenario.defSelectData['"&amp;U36&amp;"']= [ '"&amp;BC36&amp;"', '"&amp;BD36&amp;"', '"&amp;BE36&amp;IF(BF36="","","', '"&amp;BF36)&amp;IF(BG36="","","', '"&amp;BG36)&amp;IF(BH36="","","', '"&amp;BH36)&amp;IF(BI36="","","', '"&amp;BI36)&amp;IF(BJ36="","","', '"&amp;BJ36)&amp;IF(BK36="","","', '"&amp;BK36)&amp;IF(BL36="","","', '"&amp;BL36)&amp;IF(BM36="","","', '"&amp;BM36)&amp;IF(BN36="","","', '"&amp;BN36)&amp;IF(BO36="","","', '"&amp;BO36)&amp;IF(BP36="","","', '"&amp;BP36)&amp;IF(BQ36="","","', '"&amp;BQ36)&amp;IF(BR36="","","', '"&amp;BR36)&amp;"' ];"</f>
        <v>D6.scenario.defSelectData['sel082']= [ '-1', '1', '2' ];</v>
      </c>
    </row>
    <row r="37" s="88" customFormat="true" ht="43.5" hidden="false" customHeight="true" outlineLevel="0" collapsed="false">
      <c r="A37" s="66"/>
      <c r="B37" s="95" t="s">
        <v>1229</v>
      </c>
      <c r="C37" s="103" t="s">
        <v>1230</v>
      </c>
      <c r="D37" s="104" t="s">
        <v>1230</v>
      </c>
      <c r="E37" s="95" t="s">
        <v>1104</v>
      </c>
      <c r="F37" s="103"/>
      <c r="G37" s="104"/>
      <c r="H37" s="103" t="s">
        <v>1231</v>
      </c>
      <c r="I37" s="104" t="s">
        <v>1231</v>
      </c>
      <c r="J37" s="103" t="str">
        <f aca="false">IF(K37="","",K37)</f>
        <v>sel083</v>
      </c>
      <c r="K37" s="104" t="str">
        <f aca="false">"sel"&amp;MID($B37,2,5)</f>
        <v>sel083</v>
      </c>
      <c r="L37" s="105"/>
      <c r="M37" s="105"/>
      <c r="N37" s="105"/>
      <c r="O37" s="95" t="s">
        <v>931</v>
      </c>
      <c r="P37" s="105"/>
      <c r="Q37" s="105"/>
      <c r="R37" s="95" t="n">
        <v>-1</v>
      </c>
      <c r="S37" s="66"/>
      <c r="T37" s="66"/>
      <c r="U37" s="106" t="str">
        <f aca="false">J37</f>
        <v>sel083</v>
      </c>
      <c r="V37" s="103" t="s">
        <v>979</v>
      </c>
      <c r="W37" s="103" t="s">
        <v>1232</v>
      </c>
      <c r="X37" s="103" t="s">
        <v>1233</v>
      </c>
      <c r="Y37" s="103" t="s">
        <v>1234</v>
      </c>
      <c r="Z37" s="103"/>
      <c r="AA37" s="103"/>
      <c r="AB37" s="103"/>
      <c r="AC37" s="103"/>
      <c r="AD37" s="103"/>
      <c r="AE37" s="103"/>
      <c r="AF37" s="103"/>
      <c r="AG37" s="103"/>
      <c r="AH37" s="103"/>
      <c r="AI37" s="103"/>
      <c r="AJ37" s="103"/>
      <c r="AK37" s="103"/>
      <c r="AL37" s="104" t="s">
        <v>979</v>
      </c>
      <c r="AM37" s="107" t="s">
        <v>1232</v>
      </c>
      <c r="AN37" s="107" t="s">
        <v>1233</v>
      </c>
      <c r="AO37" s="107" t="s">
        <v>1234</v>
      </c>
      <c r="AP37" s="104"/>
      <c r="AQ37" s="104"/>
      <c r="AR37" s="104"/>
      <c r="AS37" s="104"/>
      <c r="AT37" s="104"/>
      <c r="AU37" s="104"/>
      <c r="AV37" s="104"/>
      <c r="AW37" s="104"/>
      <c r="AX37" s="104"/>
      <c r="AY37" s="104"/>
      <c r="AZ37" s="104"/>
      <c r="BA37" s="104"/>
      <c r="BB37" s="66"/>
      <c r="BC37" s="103" t="n">
        <v>-1</v>
      </c>
      <c r="BD37" s="103" t="n">
        <v>1</v>
      </c>
      <c r="BE37" s="103" t="n">
        <v>2</v>
      </c>
      <c r="BF37" s="103" t="n">
        <v>3</v>
      </c>
      <c r="BG37" s="103"/>
      <c r="BH37" s="103"/>
      <c r="BI37" s="103"/>
      <c r="BJ37" s="103"/>
      <c r="BK37" s="103"/>
      <c r="BL37" s="103"/>
      <c r="BM37" s="103"/>
      <c r="BN37" s="103"/>
      <c r="BO37" s="103"/>
      <c r="BP37" s="103"/>
      <c r="BQ37" s="103"/>
      <c r="BR37" s="103"/>
      <c r="BS37" s="104" t="n">
        <v>-1</v>
      </c>
      <c r="BT37" s="104" t="n">
        <v>1</v>
      </c>
      <c r="BU37" s="104" t="n">
        <v>2</v>
      </c>
      <c r="BV37" s="104" t="n">
        <v>3</v>
      </c>
      <c r="BW37" s="104"/>
      <c r="BX37" s="104"/>
      <c r="BY37" s="104"/>
      <c r="BZ37" s="104"/>
      <c r="CA37" s="104"/>
      <c r="CB37" s="104"/>
      <c r="CC37" s="104"/>
      <c r="CD37" s="104"/>
      <c r="CE37" s="104"/>
      <c r="CF37" s="104"/>
      <c r="CG37" s="104"/>
      <c r="CH37" s="104"/>
      <c r="CJ37" s="95"/>
      <c r="CK37" s="95"/>
      <c r="CL37" s="95"/>
      <c r="CM37" s="95"/>
      <c r="CN37" s="95"/>
      <c r="CO37" s="95"/>
      <c r="CP37" s="95"/>
      <c r="CQ37" s="95"/>
      <c r="CR37" s="95"/>
      <c r="CS37" s="95"/>
      <c r="CT37" s="95"/>
      <c r="CU37" s="95"/>
      <c r="CV37" s="95"/>
      <c r="CW37" s="95"/>
      <c r="CX37" s="95"/>
      <c r="CY37" s="95"/>
      <c r="CZ37" s="95"/>
      <c r="DA37" s="95"/>
      <c r="DB37" s="95"/>
      <c r="DC37" s="95"/>
      <c r="DD37" s="95"/>
      <c r="DE37" s="95"/>
      <c r="DF37" s="95"/>
      <c r="DG37" s="95"/>
      <c r="DL37" s="108"/>
      <c r="DM37" s="108"/>
      <c r="DN37" s="109" t="str">
        <f aca="false">"D6.scenario.defInput["""&amp;B37&amp;"""] = {  "&amp;E$2&amp;":"""&amp;E37&amp;""",  "&amp;C$2&amp;":"""&amp;CLEAN(SUBSTITUTE(C37,"""",""""))&amp;""",  "&amp;F$2&amp;":"""&amp;F37&amp;""",  "&amp;H$2&amp;":"""&amp;CLEAN(SUBSTITUTE(H37,"""",""""))&amp;""", "&amp;J$2&amp;":"""&amp;J37&amp;""", "&amp;L$2&amp;":"""&amp;L37&amp;""", "&amp;M$2&amp;":"""&amp;M37&amp;""", "&amp;N$2&amp;":"""&amp;N37&amp;""", "&amp;O$2&amp;":"""&amp;O37&amp;""", "&amp;P$2&amp;":"""&amp;P37&amp;""", "&amp;Q$2&amp;":"""&amp;Q37&amp;""", "&amp;R$2&amp;":"""&amp;R37&amp;""", d11t:"""&amp;CJ37&amp;""",d11p:"""&amp;CK37&amp;""",d12t:"""&amp;CL37&amp;""",d12p:"""&amp;CM37&amp;""",d13t:"""&amp;CN37&amp;""",d13p:"""&amp;CO37&amp;""",d1w:"""&amp;CP37&amp;""",d1d:"""&amp;CQ37&amp;""", d21t:"""&amp;CR37&amp;""",d21p:"""&amp;CS37&amp;""",d22t:"""&amp;CT37&amp;""",d22p:"""&amp;CU37&amp;""",d23t:"""&amp;CV37&amp;""",d23p:"""&amp;CW37&amp;""",d2w:"""&amp;CX37&amp;""",d2d:"""&amp;CY37&amp;""", d31t:"""&amp;CZ37&amp;""",d31p:"""&amp;DA37&amp;""",d32t:"""&amp;DB37&amp;""",d32p:"""&amp;DC37&amp;""",d33t:"""&amp;DD37&amp;""",d33p:"""&amp;DE37&amp;""",d3w:"""&amp;DF37&amp;""",d3d:"""&amp;DG37&amp;"""}; "</f>
        <v>D6.scenario.defInput["i083"] = {  cons:"consEnergy",  title:"ガス種類",  unit:"",  text:"ガスの種類を選んでください", inputType:"sel083", right:"", postfix:"", nodata:"", varType:"Number", min:"", max:"", defaultValue:"-1", d11t:"",d11p:"",d12t:"",d12p:"",d13t:"",d13p:"",d1w:"",d1d:"", d21t:"",d21p:"",d22t:"",d22p:"",d23t:"",d23p:"",d2w:"",d2d:"", d31t:"",d31p:"",d32t:"",d32p:"",d33t:"",d33p:"",d3w:"",d3d:""}; </v>
      </c>
      <c r="DO37" s="110"/>
      <c r="DP37" s="110"/>
      <c r="DQ37" s="111" t="str">
        <f aca="false">"D6.scenario.defSelectValue["""&amp;U37&amp;"""]= [ """&amp;CLEAN(V37)&amp;""", """&amp;CLEAN(W37)&amp;IF(X37="","",""", """&amp;CLEAN(X37))&amp;IF(Y37="","",""", """&amp;CLEAN(Y37))&amp;IF(Z37="","",""", """&amp;CLEAN(Z37))&amp;IF(AA37="","",""", """&amp;CLEAN(AA37))&amp;IF(AB37="","",""", """&amp;CLEAN(AB37))&amp;IF(AC37="","",""", """&amp;CLEAN(AC37))&amp;IF(AD37="","",""", """&amp;CLEAN(AD37))&amp;IF(AE37="","",""", """&amp;CLEAN(AE37))&amp;IF(AF37="","",""", """&amp;CLEAN(AF37))&amp;IF(AG37="","",""", """&amp;CLEAN(AG37))&amp;IF(AH37="","",""", """&amp;CLEAN(AH37))&amp;IF(AI37="","",""", """&amp;CLEAN(AI37))&amp;IF(AJ37="","",""", """&amp;CLEAN(AJ37))&amp;IF(AK37="","",""", """&amp;CLEAN(AK37))&amp;""" ];"</f>
        <v>D6.scenario.defSelectValue["sel083"]= [ "選んで下さい", "都市ガス", "LPガス", "ガスを使わない" ];</v>
      </c>
      <c r="DR37" s="112"/>
      <c r="DS37" s="112"/>
      <c r="DT37" s="112" t="str">
        <f aca="false">"D6.scenario.defSelectData['"&amp;U37&amp;"']= [ '"&amp;BC37&amp;"', '"&amp;BD37&amp;"', '"&amp;BE37&amp;IF(BF37="","","', '"&amp;BF37)&amp;IF(BG37="","","', '"&amp;BG37)&amp;IF(BH37="","","', '"&amp;BH37)&amp;IF(BI37="","","', '"&amp;BI37)&amp;IF(BJ37="","","', '"&amp;BJ37)&amp;IF(BK37="","","', '"&amp;BK37)&amp;IF(BL37="","","', '"&amp;BL37)&amp;IF(BM37="","","', '"&amp;BM37)&amp;IF(BN37="","","', '"&amp;BN37)&amp;IF(BO37="","","', '"&amp;BO37)&amp;IF(BP37="","","', '"&amp;BP37)&amp;IF(BQ37="","","', '"&amp;BQ37)&amp;IF(BR37="","","', '"&amp;BR37)&amp;"' ];"</f>
        <v>D6.scenario.defSelectData['sel083']= [ '-1', '1', '2', '3' ];</v>
      </c>
    </row>
    <row r="38" s="88" customFormat="true" ht="43.5" hidden="false" customHeight="true" outlineLevel="0" collapsed="false">
      <c r="A38" s="66"/>
      <c r="B38" s="95" t="s">
        <v>1235</v>
      </c>
      <c r="C38" s="103" t="s">
        <v>1143</v>
      </c>
      <c r="D38" s="104" t="s">
        <v>1143</v>
      </c>
      <c r="E38" s="95" t="s">
        <v>1236</v>
      </c>
      <c r="F38" s="103" t="s">
        <v>1144</v>
      </c>
      <c r="G38" s="104" t="s">
        <v>1144</v>
      </c>
      <c r="H38" s="103" t="s">
        <v>1146</v>
      </c>
      <c r="I38" s="104" t="s">
        <v>1146</v>
      </c>
      <c r="J38" s="103" t="str">
        <f aca="false">IF(K38="","",K38)</f>
        <v>sel091</v>
      </c>
      <c r="K38" s="104" t="str">
        <f aca="false">"sel"&amp;MID($B38,2,5)</f>
        <v>sel091</v>
      </c>
      <c r="L38" s="105"/>
      <c r="M38" s="105"/>
      <c r="N38" s="105"/>
      <c r="O38" s="95" t="s">
        <v>931</v>
      </c>
      <c r="P38" s="105"/>
      <c r="Q38" s="105"/>
      <c r="R38" s="95" t="n">
        <v>-1</v>
      </c>
      <c r="S38" s="66"/>
      <c r="T38" s="66"/>
      <c r="U38" s="106" t="str">
        <f aca="false">J38</f>
        <v>sel091</v>
      </c>
      <c r="V38" s="103" t="s">
        <v>979</v>
      </c>
      <c r="W38" s="103" t="s">
        <v>1147</v>
      </c>
      <c r="X38" s="103" t="s">
        <v>1148</v>
      </c>
      <c r="Y38" s="103" t="s">
        <v>1149</v>
      </c>
      <c r="Z38" s="103" t="s">
        <v>1150</v>
      </c>
      <c r="AA38" s="103" t="s">
        <v>1151</v>
      </c>
      <c r="AB38" s="103" t="s">
        <v>1152</v>
      </c>
      <c r="AC38" s="103" t="s">
        <v>1153</v>
      </c>
      <c r="AD38" s="103" t="s">
        <v>1154</v>
      </c>
      <c r="AE38" s="103" t="s">
        <v>1155</v>
      </c>
      <c r="AF38" s="103" t="s">
        <v>1156</v>
      </c>
      <c r="AG38" s="103" t="s">
        <v>1157</v>
      </c>
      <c r="AH38" s="103"/>
      <c r="AI38" s="103"/>
      <c r="AJ38" s="103"/>
      <c r="AK38" s="103"/>
      <c r="AL38" s="104" t="s">
        <v>979</v>
      </c>
      <c r="AM38" s="104" t="s">
        <v>1147</v>
      </c>
      <c r="AN38" s="104" t="s">
        <v>1148</v>
      </c>
      <c r="AO38" s="104" t="s">
        <v>1149</v>
      </c>
      <c r="AP38" s="107" t="s">
        <v>1150</v>
      </c>
      <c r="AQ38" s="107" t="s">
        <v>1151</v>
      </c>
      <c r="AR38" s="107" t="s">
        <v>1152</v>
      </c>
      <c r="AS38" s="107" t="s">
        <v>1153</v>
      </c>
      <c r="AT38" s="107" t="s">
        <v>1154</v>
      </c>
      <c r="AU38" s="104" t="s">
        <v>1155</v>
      </c>
      <c r="AV38" s="104" t="s">
        <v>1156</v>
      </c>
      <c r="AW38" s="104" t="s">
        <v>1157</v>
      </c>
      <c r="AX38" s="104"/>
      <c r="AY38" s="104"/>
      <c r="AZ38" s="104"/>
      <c r="BA38" s="104"/>
      <c r="BB38" s="66"/>
      <c r="BC38" s="103" t="n">
        <v>-1</v>
      </c>
      <c r="BD38" s="103" t="n">
        <v>1000</v>
      </c>
      <c r="BE38" s="103" t="n">
        <v>2000</v>
      </c>
      <c r="BF38" s="103" t="n">
        <v>3000</v>
      </c>
      <c r="BG38" s="103" t="n">
        <v>5000</v>
      </c>
      <c r="BH38" s="103" t="n">
        <v>7000</v>
      </c>
      <c r="BI38" s="103" t="n">
        <v>10000</v>
      </c>
      <c r="BJ38" s="103" t="n">
        <v>12000</v>
      </c>
      <c r="BK38" s="103" t="n">
        <v>15000</v>
      </c>
      <c r="BL38" s="103" t="n">
        <v>20000</v>
      </c>
      <c r="BM38" s="103" t="n">
        <v>30000</v>
      </c>
      <c r="BN38" s="103" t="n">
        <v>40000</v>
      </c>
      <c r="BO38" s="103"/>
      <c r="BP38" s="103"/>
      <c r="BQ38" s="103"/>
      <c r="BR38" s="103"/>
      <c r="BS38" s="104" t="n">
        <v>-1</v>
      </c>
      <c r="BT38" s="104" t="n">
        <f aca="false">VALUE(LEFT(AM38,LEN(AM38)-1))</f>
        <v>1000</v>
      </c>
      <c r="BU38" s="104" t="n">
        <f aca="false">VALUE(LEFT(AN38,LEN(AN38)-1))</f>
        <v>2000</v>
      </c>
      <c r="BV38" s="104" t="n">
        <f aca="false">VALUE(LEFT(AO38,LEN(AO38)-1))</f>
        <v>3000</v>
      </c>
      <c r="BW38" s="104" t="n">
        <f aca="false">VALUE(LEFT(AP38,LEN(AP38)-1))</f>
        <v>5000</v>
      </c>
      <c r="BX38" s="104" t="n">
        <f aca="false">VALUE(LEFT(AQ38,LEN(AQ38)-1))</f>
        <v>7000</v>
      </c>
      <c r="BY38" s="104" t="n">
        <v>10000</v>
      </c>
      <c r="BZ38" s="104" t="n">
        <v>12000</v>
      </c>
      <c r="CA38" s="104" t="n">
        <v>15000</v>
      </c>
      <c r="CB38" s="104" t="n">
        <v>20000</v>
      </c>
      <c r="CC38" s="104" t="n">
        <v>30000</v>
      </c>
      <c r="CD38" s="104" t="n">
        <v>40000</v>
      </c>
      <c r="CE38" s="104"/>
      <c r="CF38" s="104"/>
      <c r="CG38" s="104"/>
      <c r="CH38" s="104"/>
      <c r="CJ38" s="95"/>
      <c r="CK38" s="95"/>
      <c r="CL38" s="95"/>
      <c r="CM38" s="95"/>
      <c r="CN38" s="95"/>
      <c r="CO38" s="95"/>
      <c r="CP38" s="95"/>
      <c r="CQ38" s="95"/>
      <c r="CR38" s="95"/>
      <c r="CS38" s="95"/>
      <c r="CT38" s="95"/>
      <c r="CU38" s="95"/>
      <c r="CV38" s="95"/>
      <c r="CW38" s="95"/>
      <c r="CX38" s="95"/>
      <c r="CY38" s="95"/>
      <c r="CZ38" s="95"/>
      <c r="DA38" s="95"/>
      <c r="DB38" s="95"/>
      <c r="DC38" s="95"/>
      <c r="DD38" s="95"/>
      <c r="DE38" s="95"/>
      <c r="DF38" s="95"/>
      <c r="DG38" s="95"/>
      <c r="DL38" s="108"/>
      <c r="DM38" s="108"/>
      <c r="DN38" s="109" t="str">
        <f aca="false">"D6.scenario.defInput["""&amp;B38&amp;"""] = {  "&amp;E$2&amp;":"""&amp;E38&amp;""",  "&amp;C$2&amp;":"""&amp;CLEAN(SUBSTITUTE(C38,"""",""""))&amp;""",  "&amp;F$2&amp;":"""&amp;F38&amp;""",  "&amp;H$2&amp;":"""&amp;CLEAN(SUBSTITUTE(H38,"""",""""))&amp;""", "&amp;J$2&amp;":"""&amp;J38&amp;""", "&amp;L$2&amp;":"""&amp;L38&amp;""", "&amp;M$2&amp;":"""&amp;M38&amp;""", "&amp;N$2&amp;":"""&amp;N38&amp;""", "&amp;O$2&amp;":"""&amp;O38&amp;""", "&amp;P$2&amp;":"""&amp;P38&amp;""", "&amp;Q$2&amp;":"""&amp;Q38&amp;""", "&amp;R$2&amp;":"""&amp;R38&amp;""", d11t:"""&amp;CJ38&amp;""",d11p:"""&amp;CK38&amp;""",d12t:"""&amp;CL38&amp;""",d12p:"""&amp;CM38&amp;""",d13t:"""&amp;CN38&amp;""",d13p:"""&amp;CO38&amp;""",d1w:"""&amp;CP38&amp;""",d1d:"""&amp;CQ38&amp;""", d21t:"""&amp;CR38&amp;""",d21p:"""&amp;CS38&amp;""",d22t:"""&amp;CT38&amp;""",d22p:"""&amp;CU38&amp;""",d23t:"""&amp;CV38&amp;""",d23p:"""&amp;CW38&amp;""",d2w:"""&amp;CX38&amp;""",d2d:"""&amp;CY38&amp;""", d31t:"""&amp;CZ38&amp;""",d31p:"""&amp;DA38&amp;""",d32t:"""&amp;DB38&amp;""",d32p:"""&amp;DC38&amp;""",d33t:"""&amp;DD38&amp;""",d33p:"""&amp;DE38&amp;""",d3w:"""&amp;DF38&amp;""",d3d:"""&amp;DG38&amp;"""}; "</f>
        <v>D6.scenario.defInput["i091"] = {  cons:"consSeason",  title:"電気代",  unit:"円",  text:"1ヶ月のおおよその電気代を選んでください。", inputType:"sel091", right:"", postfix:"", nodata:"", varType:"Number", min:"", max:"", defaultValue:"-1", d11t:"",d11p:"",d12t:"",d12p:"",d13t:"",d13p:"",d1w:"",d1d:"", d21t:"",d21p:"",d22t:"",d22p:"",d23t:"",d23p:"",d2w:"",d2d:"", d31t:"",d31p:"",d32t:"",d32p:"",d33t:"",d33p:"",d3w:"",d3d:""}; </v>
      </c>
      <c r="DO38" s="110"/>
      <c r="DP38" s="110"/>
      <c r="DQ38" s="111" t="str">
        <f aca="false">"D6.scenario.defSelectValue["""&amp;U38&amp;"""]= [ """&amp;CLEAN(V38)&amp;""", """&amp;CLEAN(W38)&amp;IF(X38="","",""", """&amp;CLEAN(X38))&amp;IF(Y38="","",""", """&amp;CLEAN(Y38))&amp;IF(Z38="","",""", """&amp;CLEAN(Z38))&amp;IF(AA38="","",""", """&amp;CLEAN(AA38))&amp;IF(AB38="","",""", """&amp;CLEAN(AB38))&amp;IF(AC38="","",""", """&amp;CLEAN(AC38))&amp;IF(AD38="","",""", """&amp;CLEAN(AD38))&amp;IF(AE38="","",""", """&amp;CLEAN(AE38))&amp;IF(AF38="","",""", """&amp;CLEAN(AF38))&amp;IF(AG38="","",""", """&amp;CLEAN(AG38))&amp;IF(AH38="","",""", """&amp;CLEAN(AH38))&amp;IF(AI38="","",""", """&amp;CLEAN(AI38))&amp;IF(AJ38="","",""", """&amp;CLEAN(AJ38))&amp;IF(AK38="","",""", """&amp;CLEAN(AK38))&amp;""" ];"</f>
        <v>D6.scenario.defSelectValue["sel091"]= [ "選んで下さい", "1000円", "2000円", "3000円", "5000円", "7000円", "1万円", "1万2000円", "1万5000円", "2万円", "3万円", "それ以上" ];</v>
      </c>
      <c r="DR38" s="112"/>
      <c r="DS38" s="112"/>
      <c r="DT38" s="112" t="str">
        <f aca="false">"D6.scenario.defSelectData['"&amp;U38&amp;"']= [ '"&amp;BC38&amp;"', '"&amp;BD38&amp;"', '"&amp;BE38&amp;IF(BF38="","","', '"&amp;BF38)&amp;IF(BG38="","","', '"&amp;BG38)&amp;IF(BH38="","","', '"&amp;BH38)&amp;IF(BI38="","","', '"&amp;BI38)&amp;IF(BJ38="","","', '"&amp;BJ38)&amp;IF(BK38="","","', '"&amp;BK38)&amp;IF(BL38="","","', '"&amp;BL38)&amp;IF(BM38="","","', '"&amp;BM38)&amp;IF(BN38="","","', '"&amp;BN38)&amp;IF(BO38="","","', '"&amp;BO38)&amp;IF(BP38="","","', '"&amp;BP38)&amp;IF(BQ38="","","', '"&amp;BQ38)&amp;IF(BR38="","","', '"&amp;BR38)&amp;"' ];"</f>
        <v>D6.scenario.defSelectData['sel091']= [ '-1', '1000', '2000', '3000', '5000', '7000', '10000', '12000', '15000', '20000', '30000', '40000' ];</v>
      </c>
    </row>
    <row r="39" s="88" customFormat="true" ht="43.5" hidden="false" customHeight="true" outlineLevel="0" collapsed="false">
      <c r="A39" s="66"/>
      <c r="B39" s="95" t="s">
        <v>1237</v>
      </c>
      <c r="C39" s="103" t="s">
        <v>1159</v>
      </c>
      <c r="D39" s="104" t="s">
        <v>1159</v>
      </c>
      <c r="E39" s="95" t="s">
        <v>1236</v>
      </c>
      <c r="F39" s="103" t="s">
        <v>1144</v>
      </c>
      <c r="G39" s="104" t="s">
        <v>1144</v>
      </c>
      <c r="H39" s="103" t="s">
        <v>1160</v>
      </c>
      <c r="I39" s="104" t="s">
        <v>1160</v>
      </c>
      <c r="J39" s="103" t="str">
        <f aca="false">IF(K39="","",K39)</f>
        <v>sel092</v>
      </c>
      <c r="K39" s="104" t="str">
        <f aca="false">"sel"&amp;MID($B39,2,5)</f>
        <v>sel092</v>
      </c>
      <c r="L39" s="105"/>
      <c r="M39" s="105"/>
      <c r="N39" s="105"/>
      <c r="O39" s="95" t="s">
        <v>931</v>
      </c>
      <c r="P39" s="105"/>
      <c r="Q39" s="105"/>
      <c r="R39" s="95" t="n">
        <v>-1</v>
      </c>
      <c r="S39" s="66"/>
      <c r="T39" s="66"/>
      <c r="U39" s="106" t="str">
        <f aca="false">J39</f>
        <v>sel092</v>
      </c>
      <c r="V39" s="103" t="s">
        <v>979</v>
      </c>
      <c r="W39" s="103" t="s">
        <v>1147</v>
      </c>
      <c r="X39" s="103" t="s">
        <v>1148</v>
      </c>
      <c r="Y39" s="103" t="s">
        <v>1149</v>
      </c>
      <c r="Z39" s="103" t="s">
        <v>1150</v>
      </c>
      <c r="AA39" s="103" t="s">
        <v>1151</v>
      </c>
      <c r="AB39" s="103" t="s">
        <v>1152</v>
      </c>
      <c r="AC39" s="103" t="s">
        <v>1153</v>
      </c>
      <c r="AD39" s="103" t="s">
        <v>1154</v>
      </c>
      <c r="AE39" s="103" t="s">
        <v>1155</v>
      </c>
      <c r="AF39" s="103" t="s">
        <v>1156</v>
      </c>
      <c r="AG39" s="103" t="s">
        <v>1157</v>
      </c>
      <c r="AH39" s="103"/>
      <c r="AI39" s="103"/>
      <c r="AJ39" s="103"/>
      <c r="AK39" s="103"/>
      <c r="AL39" s="104" t="s">
        <v>979</v>
      </c>
      <c r="AM39" s="104" t="s">
        <v>1147</v>
      </c>
      <c r="AN39" s="104" t="s">
        <v>1148</v>
      </c>
      <c r="AO39" s="104" t="s">
        <v>1149</v>
      </c>
      <c r="AP39" s="104" t="s">
        <v>1150</v>
      </c>
      <c r="AQ39" s="104" t="s">
        <v>1151</v>
      </c>
      <c r="AR39" s="107" t="s">
        <v>1152</v>
      </c>
      <c r="AS39" s="104" t="s">
        <v>1153</v>
      </c>
      <c r="AT39" s="104" t="s">
        <v>1154</v>
      </c>
      <c r="AU39" s="104" t="s">
        <v>1155</v>
      </c>
      <c r="AV39" s="104" t="s">
        <v>1156</v>
      </c>
      <c r="AW39" s="104" t="s">
        <v>1157</v>
      </c>
      <c r="AX39" s="104"/>
      <c r="AY39" s="104"/>
      <c r="AZ39" s="104"/>
      <c r="BA39" s="104"/>
      <c r="BB39" s="66"/>
      <c r="BC39" s="103" t="n">
        <v>-1</v>
      </c>
      <c r="BD39" s="103" t="n">
        <v>1000</v>
      </c>
      <c r="BE39" s="103" t="n">
        <v>2000</v>
      </c>
      <c r="BF39" s="103" t="n">
        <v>3000</v>
      </c>
      <c r="BG39" s="103" t="n">
        <v>5000</v>
      </c>
      <c r="BH39" s="103" t="n">
        <v>7000</v>
      </c>
      <c r="BI39" s="103" t="n">
        <v>10000</v>
      </c>
      <c r="BJ39" s="103" t="n">
        <v>12000</v>
      </c>
      <c r="BK39" s="103" t="n">
        <v>15000</v>
      </c>
      <c r="BL39" s="103" t="n">
        <v>20000</v>
      </c>
      <c r="BM39" s="103" t="n">
        <v>30000</v>
      </c>
      <c r="BN39" s="103" t="n">
        <v>40000</v>
      </c>
      <c r="BO39" s="103"/>
      <c r="BP39" s="103"/>
      <c r="BQ39" s="103"/>
      <c r="BR39" s="103"/>
      <c r="BS39" s="104" t="n">
        <v>-1</v>
      </c>
      <c r="BT39" s="104" t="n">
        <f aca="false">VALUE(LEFT(AM39,LEN(AM39)-1))</f>
        <v>1000</v>
      </c>
      <c r="BU39" s="104" t="n">
        <f aca="false">VALUE(LEFT(AN39,LEN(AN39)-1))</f>
        <v>2000</v>
      </c>
      <c r="BV39" s="104" t="n">
        <f aca="false">VALUE(LEFT(AO39,LEN(AO39)-1))</f>
        <v>3000</v>
      </c>
      <c r="BW39" s="104" t="n">
        <f aca="false">VALUE(LEFT(AP39,LEN(AP39)-1))</f>
        <v>5000</v>
      </c>
      <c r="BX39" s="104" t="n">
        <f aca="false">VALUE(LEFT(AQ39,LEN(AQ39)-1))</f>
        <v>7000</v>
      </c>
      <c r="BY39" s="104" t="n">
        <v>10000</v>
      </c>
      <c r="BZ39" s="104" t="n">
        <v>12000</v>
      </c>
      <c r="CA39" s="104" t="n">
        <v>15000</v>
      </c>
      <c r="CB39" s="104" t="n">
        <v>20000</v>
      </c>
      <c r="CC39" s="104" t="n">
        <v>30000</v>
      </c>
      <c r="CD39" s="104" t="n">
        <v>40000</v>
      </c>
      <c r="CE39" s="104"/>
      <c r="CF39" s="104"/>
      <c r="CG39" s="104"/>
      <c r="CH39" s="104"/>
      <c r="CJ39" s="95"/>
      <c r="CK39" s="95"/>
      <c r="CL39" s="95"/>
      <c r="CM39" s="95"/>
      <c r="CN39" s="95"/>
      <c r="CO39" s="95"/>
      <c r="CP39" s="95"/>
      <c r="CQ39" s="95"/>
      <c r="CR39" s="95"/>
      <c r="CS39" s="95"/>
      <c r="CT39" s="95"/>
      <c r="CU39" s="95"/>
      <c r="CV39" s="95"/>
      <c r="CW39" s="95"/>
      <c r="CX39" s="95"/>
      <c r="CY39" s="95"/>
      <c r="CZ39" s="95"/>
      <c r="DA39" s="95"/>
      <c r="DB39" s="95"/>
      <c r="DC39" s="95"/>
      <c r="DD39" s="95"/>
      <c r="DE39" s="95"/>
      <c r="DF39" s="95"/>
      <c r="DG39" s="95"/>
      <c r="DL39" s="108"/>
      <c r="DM39" s="108"/>
      <c r="DN39" s="109" t="str">
        <f aca="false">"D6.scenario.defInput["""&amp;B39&amp;"""] = {  "&amp;E$2&amp;":"""&amp;E39&amp;""",  "&amp;C$2&amp;":"""&amp;CLEAN(SUBSTITUTE(C39,"""",""""))&amp;""",  "&amp;F$2&amp;":"""&amp;F39&amp;""",  "&amp;H$2&amp;":"""&amp;CLEAN(SUBSTITUTE(H39,"""",""""))&amp;""", "&amp;J$2&amp;":"""&amp;J39&amp;""", "&amp;L$2&amp;":"""&amp;L39&amp;""", "&amp;M$2&amp;":"""&amp;M39&amp;""", "&amp;N$2&amp;":"""&amp;N39&amp;""", "&amp;O$2&amp;":"""&amp;O39&amp;""", "&amp;P$2&amp;":"""&amp;P39&amp;""", "&amp;Q$2&amp;":"""&amp;Q39&amp;""", "&amp;R$2&amp;":"""&amp;R39&amp;""", d11t:"""&amp;CJ39&amp;""",d11p:"""&amp;CK39&amp;""",d12t:"""&amp;CL39&amp;""",d12p:"""&amp;CM39&amp;""",d13t:"""&amp;CN39&amp;""",d13p:"""&amp;CO39&amp;""",d1w:"""&amp;CP39&amp;""",d1d:"""&amp;CQ39&amp;""", d21t:"""&amp;CR39&amp;""",d21p:"""&amp;CS39&amp;""",d22t:"""&amp;CT39&amp;""",d22p:"""&amp;CU39&amp;""",d23t:"""&amp;CV39&amp;""",d23p:"""&amp;CW39&amp;""",d2w:"""&amp;CX39&amp;""",d2d:"""&amp;CY39&amp;""", d31t:"""&amp;CZ39&amp;""",d31p:"""&amp;DA39&amp;""",d32t:"""&amp;DB39&amp;""",d32p:"""&amp;DC39&amp;""",d33t:"""&amp;DD39&amp;""",d33p:"""&amp;DE39&amp;""",d3w:"""&amp;DF39&amp;""",d3d:"""&amp;DG39&amp;"""}; "</f>
        <v>D6.scenario.defInput["i092"] = {  cons:"consSeason",  title:"売電金額",  unit:"円",  text:"太陽光発電で1ヶ月あたりどのくらい電気を売ることができますか。", inputType:"sel092", right:"", postfix:"", nodata:"", varType:"Number", min:"", max:"", defaultValue:"-1", d11t:"",d11p:"",d12t:"",d12p:"",d13t:"",d13p:"",d1w:"",d1d:"", d21t:"",d21p:"",d22t:"",d22p:"",d23t:"",d23p:"",d2w:"",d2d:"", d31t:"",d31p:"",d32t:"",d32p:"",d33t:"",d33p:"",d3w:"",d3d:""}; </v>
      </c>
      <c r="DO39" s="110"/>
      <c r="DP39" s="110"/>
      <c r="DQ39" s="111" t="str">
        <f aca="false">"D6.scenario.defSelectValue["""&amp;U39&amp;"""]= [ """&amp;CLEAN(V39)&amp;""", """&amp;CLEAN(W39)&amp;IF(X39="","",""", """&amp;CLEAN(X39))&amp;IF(Y39="","",""", """&amp;CLEAN(Y39))&amp;IF(Z39="","",""", """&amp;CLEAN(Z39))&amp;IF(AA39="","",""", """&amp;CLEAN(AA39))&amp;IF(AB39="","",""", """&amp;CLEAN(AB39))&amp;IF(AC39="","",""", """&amp;CLEAN(AC39))&amp;IF(AD39="","",""", """&amp;CLEAN(AD39))&amp;IF(AE39="","",""", """&amp;CLEAN(AE39))&amp;IF(AF39="","",""", """&amp;CLEAN(AF39))&amp;IF(AG39="","",""", """&amp;CLEAN(AG39))&amp;IF(AH39="","",""", """&amp;CLEAN(AH39))&amp;IF(AI39="","",""", """&amp;CLEAN(AI39))&amp;IF(AJ39="","",""", """&amp;CLEAN(AJ39))&amp;IF(AK39="","",""", """&amp;CLEAN(AK39))&amp;""" ];"</f>
        <v>D6.scenario.defSelectValue["sel092"]= [ "選んで下さい", "1000円", "2000円", "3000円", "5000円", "7000円", "1万円", "1万2000円", "1万5000円", "2万円", "3万円", "それ以上" ];</v>
      </c>
      <c r="DR39" s="112"/>
      <c r="DS39" s="112"/>
      <c r="DT39" s="112" t="str">
        <f aca="false">"D6.scenario.defSelectData['"&amp;U39&amp;"']= [ '"&amp;BC39&amp;"', '"&amp;BD39&amp;"', '"&amp;BE39&amp;IF(BF39="","","', '"&amp;BF39)&amp;IF(BG39="","","', '"&amp;BG39)&amp;IF(BH39="","","', '"&amp;BH39)&amp;IF(BI39="","","', '"&amp;BI39)&amp;IF(BJ39="","","', '"&amp;BJ39)&amp;IF(BK39="","","', '"&amp;BK39)&amp;IF(BL39="","","', '"&amp;BL39)&amp;IF(BM39="","","', '"&amp;BM39)&amp;IF(BN39="","","', '"&amp;BN39)&amp;IF(BO39="","","', '"&amp;BO39)&amp;IF(BP39="","","', '"&amp;BP39)&amp;IF(BQ39="","","', '"&amp;BQ39)&amp;IF(BR39="","","', '"&amp;BR39)&amp;"' ];"</f>
        <v>D6.scenario.defSelectData['sel092']= [ '-1', '1000', '2000', '3000', '5000', '7000', '10000', '12000', '15000', '20000', '30000', '40000' ];</v>
      </c>
    </row>
    <row r="40" s="88" customFormat="true" ht="43.5" hidden="false" customHeight="true" outlineLevel="0" collapsed="false">
      <c r="A40" s="66"/>
      <c r="B40" s="95" t="s">
        <v>1238</v>
      </c>
      <c r="C40" s="103" t="s">
        <v>1162</v>
      </c>
      <c r="D40" s="104" t="s">
        <v>1162</v>
      </c>
      <c r="E40" s="95" t="s">
        <v>1236</v>
      </c>
      <c r="F40" s="103" t="s">
        <v>1144</v>
      </c>
      <c r="G40" s="104" t="s">
        <v>1144</v>
      </c>
      <c r="H40" s="103" t="s">
        <v>1164</v>
      </c>
      <c r="I40" s="104" t="s">
        <v>1164</v>
      </c>
      <c r="J40" s="103" t="str">
        <f aca="false">IF(K40="","",K40)</f>
        <v>sel093</v>
      </c>
      <c r="K40" s="104" t="str">
        <f aca="false">"sel"&amp;MID($B40,2,5)</f>
        <v>sel093</v>
      </c>
      <c r="L40" s="105"/>
      <c r="M40" s="105"/>
      <c r="N40" s="105"/>
      <c r="O40" s="95" t="s">
        <v>931</v>
      </c>
      <c r="P40" s="105"/>
      <c r="Q40" s="105"/>
      <c r="R40" s="95" t="n">
        <v>-1</v>
      </c>
      <c r="S40" s="66"/>
      <c r="T40" s="66"/>
      <c r="U40" s="106" t="str">
        <f aca="false">J40</f>
        <v>sel093</v>
      </c>
      <c r="V40" s="103" t="s">
        <v>979</v>
      </c>
      <c r="W40" s="103" t="s">
        <v>1165</v>
      </c>
      <c r="X40" s="103" t="s">
        <v>1147</v>
      </c>
      <c r="Y40" s="103" t="s">
        <v>1148</v>
      </c>
      <c r="Z40" s="103" t="s">
        <v>1149</v>
      </c>
      <c r="AA40" s="103" t="s">
        <v>1150</v>
      </c>
      <c r="AB40" s="103" t="s">
        <v>1151</v>
      </c>
      <c r="AC40" s="103" t="s">
        <v>1152</v>
      </c>
      <c r="AD40" s="103" t="s">
        <v>1153</v>
      </c>
      <c r="AE40" s="103" t="s">
        <v>1154</v>
      </c>
      <c r="AF40" s="103" t="s">
        <v>1155</v>
      </c>
      <c r="AG40" s="103" t="s">
        <v>1156</v>
      </c>
      <c r="AH40" s="103" t="s">
        <v>1157</v>
      </c>
      <c r="AI40" s="103"/>
      <c r="AJ40" s="103"/>
      <c r="AK40" s="103"/>
      <c r="AL40" s="104" t="s">
        <v>979</v>
      </c>
      <c r="AM40" s="107" t="s">
        <v>1165</v>
      </c>
      <c r="AN40" s="104" t="s">
        <v>1147</v>
      </c>
      <c r="AO40" s="104" t="s">
        <v>1148</v>
      </c>
      <c r="AP40" s="107" t="s">
        <v>1149</v>
      </c>
      <c r="AQ40" s="107" t="s">
        <v>1150</v>
      </c>
      <c r="AR40" s="107" t="s">
        <v>1151</v>
      </c>
      <c r="AS40" s="107" t="s">
        <v>1152</v>
      </c>
      <c r="AT40" s="104" t="s">
        <v>1153</v>
      </c>
      <c r="AU40" s="104" t="s">
        <v>1154</v>
      </c>
      <c r="AV40" s="104" t="s">
        <v>1155</v>
      </c>
      <c r="AW40" s="104" t="s">
        <v>1156</v>
      </c>
      <c r="AX40" s="104" t="s">
        <v>1157</v>
      </c>
      <c r="AY40" s="104"/>
      <c r="AZ40" s="104"/>
      <c r="BA40" s="104"/>
      <c r="BB40" s="66"/>
      <c r="BC40" s="103" t="n">
        <v>-1</v>
      </c>
      <c r="BD40" s="103" t="n">
        <v>0</v>
      </c>
      <c r="BE40" s="103" t="n">
        <v>1000</v>
      </c>
      <c r="BF40" s="103" t="n">
        <v>2000</v>
      </c>
      <c r="BG40" s="103" t="n">
        <v>3000</v>
      </c>
      <c r="BH40" s="103" t="n">
        <v>5000</v>
      </c>
      <c r="BI40" s="103" t="n">
        <v>7000</v>
      </c>
      <c r="BJ40" s="103" t="n">
        <v>10000</v>
      </c>
      <c r="BK40" s="103" t="n">
        <v>12000</v>
      </c>
      <c r="BL40" s="103" t="n">
        <v>15000</v>
      </c>
      <c r="BM40" s="103" t="n">
        <v>20000</v>
      </c>
      <c r="BN40" s="103" t="n">
        <v>30000</v>
      </c>
      <c r="BO40" s="103" t="n">
        <v>40000</v>
      </c>
      <c r="BP40" s="103"/>
      <c r="BQ40" s="103"/>
      <c r="BR40" s="103"/>
      <c r="BS40" s="104" t="n">
        <v>-1</v>
      </c>
      <c r="BT40" s="104" t="n">
        <v>0</v>
      </c>
      <c r="BU40" s="104" t="n">
        <f aca="false">VALUE(LEFT(AN40,LEN(AN40)-1))</f>
        <v>1000</v>
      </c>
      <c r="BV40" s="104" t="n">
        <f aca="false">VALUE(LEFT(AO40,LEN(AO40)-1))</f>
        <v>2000</v>
      </c>
      <c r="BW40" s="104" t="n">
        <f aca="false">VALUE(LEFT(AP40,LEN(AP40)-1))</f>
        <v>3000</v>
      </c>
      <c r="BX40" s="104" t="n">
        <f aca="false">VALUE(LEFT(AQ40,LEN(AQ40)-1))</f>
        <v>5000</v>
      </c>
      <c r="BY40" s="104" t="n">
        <f aca="false">VALUE(LEFT(AR40,LEN(AR40)-1))</f>
        <v>7000</v>
      </c>
      <c r="BZ40" s="104" t="n">
        <v>10000</v>
      </c>
      <c r="CA40" s="104" t="n">
        <v>12000</v>
      </c>
      <c r="CB40" s="104" t="n">
        <v>15000</v>
      </c>
      <c r="CC40" s="104" t="n">
        <v>20000</v>
      </c>
      <c r="CD40" s="104" t="n">
        <v>30000</v>
      </c>
      <c r="CE40" s="104" t="n">
        <v>40000</v>
      </c>
      <c r="CF40" s="104"/>
      <c r="CG40" s="104"/>
      <c r="CH40" s="104"/>
      <c r="CJ40" s="95"/>
      <c r="CK40" s="95"/>
      <c r="CL40" s="95"/>
      <c r="CM40" s="95"/>
      <c r="CN40" s="95"/>
      <c r="CO40" s="95"/>
      <c r="CP40" s="95"/>
      <c r="CQ40" s="95"/>
      <c r="CR40" s="95"/>
      <c r="CS40" s="95"/>
      <c r="CT40" s="95"/>
      <c r="CU40" s="95"/>
      <c r="CV40" s="95"/>
      <c r="CW40" s="95"/>
      <c r="CX40" s="95"/>
      <c r="CY40" s="95"/>
      <c r="CZ40" s="95"/>
      <c r="DA40" s="95"/>
      <c r="DB40" s="95"/>
      <c r="DC40" s="95"/>
      <c r="DD40" s="95"/>
      <c r="DE40" s="95"/>
      <c r="DF40" s="95"/>
      <c r="DG40" s="95"/>
      <c r="DL40" s="108"/>
      <c r="DM40" s="108"/>
      <c r="DN40" s="109" t="str">
        <f aca="false">"D6.scenario.defInput["""&amp;B40&amp;"""] = {  "&amp;E$2&amp;":"""&amp;E40&amp;""",  "&amp;C$2&amp;":"""&amp;CLEAN(SUBSTITUTE(C40,"""",""""))&amp;""",  "&amp;F$2&amp;":"""&amp;F40&amp;""",  "&amp;H$2&amp;":"""&amp;CLEAN(SUBSTITUTE(H40,"""",""""))&amp;""", "&amp;J$2&amp;":"""&amp;J40&amp;""", "&amp;L$2&amp;":"""&amp;L40&amp;""", "&amp;M$2&amp;":"""&amp;M40&amp;""", "&amp;N$2&amp;":"""&amp;N40&amp;""", "&amp;O$2&amp;":"""&amp;O40&amp;""", "&amp;P$2&amp;":"""&amp;P40&amp;""", "&amp;Q$2&amp;":"""&amp;Q40&amp;""", "&amp;R$2&amp;":"""&amp;R40&amp;""", d11t:"""&amp;CJ40&amp;""",d11p:"""&amp;CK40&amp;""",d12t:"""&amp;CL40&amp;""",d12p:"""&amp;CM40&amp;""",d13t:"""&amp;CN40&amp;""",d13p:"""&amp;CO40&amp;""",d1w:"""&amp;CP40&amp;""",d1d:"""&amp;CQ40&amp;""", d21t:"""&amp;CR40&amp;""",d21p:"""&amp;CS40&amp;""",d22t:"""&amp;CT40&amp;""",d22p:"""&amp;CU40&amp;""",d23t:"""&amp;CV40&amp;""",d23p:"""&amp;CW40&amp;""",d2w:"""&amp;CX40&amp;""",d2d:"""&amp;CY40&amp;""", d31t:"""&amp;CZ40&amp;""",d31p:"""&amp;DA40&amp;""",d32t:"""&amp;DB40&amp;""",d32p:"""&amp;DC40&amp;""",d33t:"""&amp;DD40&amp;""",d33p:"""&amp;DE40&amp;""",d3w:"""&amp;DF40&amp;""",d3d:"""&amp;DG40&amp;"""}; "</f>
        <v>D6.scenario.defInput["i093"] = {  cons:"consSeason",  title:"ガス代",  unit:"円",  text:"1ヶ月のおおよそのガス代を選んで下さい。", inputType:"sel093", right:"", postfix:"", nodata:"", varType:"Number", min:"", max:"", defaultValue:"-1", d11t:"",d11p:"",d12t:"",d12p:"",d13t:"",d13p:"",d1w:"",d1d:"", d21t:"",d21p:"",d22t:"",d22p:"",d23t:"",d23p:"",d2w:"",d2d:"", d31t:"",d31p:"",d32t:"",d32p:"",d33t:"",d33p:"",d3w:"",d3d:""}; </v>
      </c>
      <c r="DO40" s="110"/>
      <c r="DP40" s="110"/>
      <c r="DQ40" s="111" t="str">
        <f aca="false">"D6.scenario.defSelectValue["""&amp;U40&amp;"""]= [ """&amp;CLEAN(V40)&amp;""", """&amp;CLEAN(W40)&amp;IF(X40="","",""", """&amp;CLEAN(X40))&amp;IF(Y40="","",""", """&amp;CLEAN(Y40))&amp;IF(Z40="","",""", """&amp;CLEAN(Z40))&amp;IF(AA40="","",""", """&amp;CLEAN(AA40))&amp;IF(AB40="","",""", """&amp;CLEAN(AB40))&amp;IF(AC40="","",""", """&amp;CLEAN(AC40))&amp;IF(AD40="","",""", """&amp;CLEAN(AD40))&amp;IF(AE40="","",""", """&amp;CLEAN(AE40))&amp;IF(AF40="","",""", """&amp;CLEAN(AF40))&amp;IF(AG40="","",""", """&amp;CLEAN(AG40))&amp;IF(AH40="","",""", """&amp;CLEAN(AH40))&amp;IF(AI40="","",""", """&amp;CLEAN(AI40))&amp;IF(AJ40="","",""", """&amp;CLEAN(AJ40))&amp;IF(AK40="","",""", """&amp;CLEAN(AK40))&amp;""" ];"</f>
        <v>D6.scenario.defSelectValue["sel093"]= [ "選んで下さい", "オール電化（使わない）", "1000円", "2000円", "3000円", "5000円", "7000円", "1万円", "1万2000円", "1万5000円", "2万円", "3万円", "それ以上" ];</v>
      </c>
      <c r="DR40" s="112"/>
      <c r="DS40" s="112"/>
      <c r="DT40" s="112" t="str">
        <f aca="false">"D6.scenario.defSelectData['"&amp;U40&amp;"']= [ '"&amp;BC40&amp;"', '"&amp;BD40&amp;"', '"&amp;BE40&amp;IF(BF40="","","', '"&amp;BF40)&amp;IF(BG40="","","', '"&amp;BG40)&amp;IF(BH40="","","', '"&amp;BH40)&amp;IF(BI40="","","', '"&amp;BI40)&amp;IF(BJ40="","","', '"&amp;BJ40)&amp;IF(BK40="","","', '"&amp;BK40)&amp;IF(BL40="","","', '"&amp;BL40)&amp;IF(BM40="","","', '"&amp;BM40)&amp;IF(BN40="","","', '"&amp;BN40)&amp;IF(BO40="","","', '"&amp;BO40)&amp;IF(BP40="","","', '"&amp;BP40)&amp;IF(BQ40="","","', '"&amp;BQ40)&amp;IF(BR40="","","', '"&amp;BR40)&amp;"' ];"</f>
        <v>D6.scenario.defSelectData['sel093']= [ '-1', '0', '1000', '2000', '3000', '5000', '7000', '10000', '12000', '15000', '20000', '30000', '40000' ];</v>
      </c>
    </row>
    <row r="41" s="88" customFormat="true" ht="43.5" hidden="false" customHeight="true" outlineLevel="0" collapsed="false">
      <c r="A41" s="66"/>
      <c r="B41" s="95" t="s">
        <v>1239</v>
      </c>
      <c r="C41" s="103" t="s">
        <v>1167</v>
      </c>
      <c r="D41" s="104" t="s">
        <v>1167</v>
      </c>
      <c r="E41" s="95" t="s">
        <v>1236</v>
      </c>
      <c r="F41" s="103" t="s">
        <v>1144</v>
      </c>
      <c r="G41" s="104" t="s">
        <v>1144</v>
      </c>
      <c r="H41" s="103" t="s">
        <v>1169</v>
      </c>
      <c r="I41" s="104" t="s">
        <v>1169</v>
      </c>
      <c r="J41" s="103" t="str">
        <f aca="false">IF(K41="","",K41)</f>
        <v>sel094</v>
      </c>
      <c r="K41" s="104" t="str">
        <f aca="false">"sel"&amp;MID($B41,2,5)</f>
        <v>sel094</v>
      </c>
      <c r="L41" s="105"/>
      <c r="M41" s="105"/>
      <c r="N41" s="105"/>
      <c r="O41" s="95" t="s">
        <v>931</v>
      </c>
      <c r="P41" s="105"/>
      <c r="Q41" s="105"/>
      <c r="R41" s="95" t="n">
        <v>-1</v>
      </c>
      <c r="S41" s="66"/>
      <c r="T41" s="66"/>
      <c r="U41" s="106" t="str">
        <f aca="false">J41</f>
        <v>sel094</v>
      </c>
      <c r="V41" s="103" t="s">
        <v>979</v>
      </c>
      <c r="W41" s="103" t="s">
        <v>1170</v>
      </c>
      <c r="X41" s="103" t="s">
        <v>1171</v>
      </c>
      <c r="Y41" s="103" t="s">
        <v>1172</v>
      </c>
      <c r="Z41" s="103" t="s">
        <v>1173</v>
      </c>
      <c r="AA41" s="103" t="s">
        <v>1174</v>
      </c>
      <c r="AB41" s="103" t="s">
        <v>1175</v>
      </c>
      <c r="AC41" s="103" t="s">
        <v>1176</v>
      </c>
      <c r="AD41" s="103" t="s">
        <v>1177</v>
      </c>
      <c r="AE41" s="103" t="s">
        <v>1178</v>
      </c>
      <c r="AF41" s="103" t="s">
        <v>1157</v>
      </c>
      <c r="AG41" s="103"/>
      <c r="AH41" s="103"/>
      <c r="AI41" s="103"/>
      <c r="AJ41" s="103"/>
      <c r="AK41" s="103"/>
      <c r="AL41" s="104" t="s">
        <v>979</v>
      </c>
      <c r="AM41" s="107" t="s">
        <v>1170</v>
      </c>
      <c r="AN41" s="104" t="s">
        <v>1171</v>
      </c>
      <c r="AO41" s="104" t="s">
        <v>1172</v>
      </c>
      <c r="AP41" s="107" t="s">
        <v>1173</v>
      </c>
      <c r="AQ41" s="107" t="s">
        <v>1174</v>
      </c>
      <c r="AR41" s="107" t="s">
        <v>1175</v>
      </c>
      <c r="AS41" s="107" t="s">
        <v>1176</v>
      </c>
      <c r="AT41" s="107" t="s">
        <v>1177</v>
      </c>
      <c r="AU41" s="104" t="s">
        <v>1178</v>
      </c>
      <c r="AV41" s="104" t="s">
        <v>1157</v>
      </c>
      <c r="AW41" s="104"/>
      <c r="AX41" s="104"/>
      <c r="AY41" s="104"/>
      <c r="AZ41" s="104"/>
      <c r="BA41" s="104"/>
      <c r="BB41" s="66"/>
      <c r="BC41" s="103" t="n">
        <v>-1</v>
      </c>
      <c r="BD41" s="103" t="n">
        <v>0</v>
      </c>
      <c r="BE41" s="103" t="n">
        <v>900</v>
      </c>
      <c r="BF41" s="103" t="n">
        <v>1800</v>
      </c>
      <c r="BG41" s="103" t="n">
        <v>3600</v>
      </c>
      <c r="BH41" s="103" t="n">
        <v>5400</v>
      </c>
      <c r="BI41" s="103" t="n">
        <v>7200</v>
      </c>
      <c r="BJ41" s="103" t="n">
        <v>10800</v>
      </c>
      <c r="BK41" s="103" t="n">
        <v>14400</v>
      </c>
      <c r="BL41" s="103" t="n">
        <v>21600</v>
      </c>
      <c r="BM41" s="103" t="n">
        <v>30000</v>
      </c>
      <c r="BN41" s="103"/>
      <c r="BO41" s="103"/>
      <c r="BP41" s="103"/>
      <c r="BQ41" s="103"/>
      <c r="BR41" s="103"/>
      <c r="BS41" s="104" t="n">
        <v>-1</v>
      </c>
      <c r="BT41" s="104" t="n">
        <v>0</v>
      </c>
      <c r="BU41" s="104" t="n">
        <v>900</v>
      </c>
      <c r="BV41" s="104" t="n">
        <v>1800</v>
      </c>
      <c r="BW41" s="104" t="n">
        <v>3600</v>
      </c>
      <c r="BX41" s="104" t="n">
        <v>5400</v>
      </c>
      <c r="BY41" s="104" t="n">
        <v>7200</v>
      </c>
      <c r="BZ41" s="104" t="n">
        <v>10800</v>
      </c>
      <c r="CA41" s="104" t="n">
        <v>14400</v>
      </c>
      <c r="CB41" s="104" t="n">
        <v>21600</v>
      </c>
      <c r="CC41" s="104" t="n">
        <v>30000</v>
      </c>
      <c r="CD41" s="104"/>
      <c r="CE41" s="104"/>
      <c r="CF41" s="104"/>
      <c r="CG41" s="104"/>
      <c r="CH41" s="104"/>
      <c r="CJ41" s="95"/>
      <c r="CK41" s="95"/>
      <c r="CL41" s="95"/>
      <c r="CM41" s="95"/>
      <c r="CN41" s="95"/>
      <c r="CO41" s="95"/>
      <c r="CP41" s="95"/>
      <c r="CQ41" s="95"/>
      <c r="CR41" s="95"/>
      <c r="CS41" s="95"/>
      <c r="CT41" s="95"/>
      <c r="CU41" s="95"/>
      <c r="CV41" s="95"/>
      <c r="CW41" s="95"/>
      <c r="CX41" s="95"/>
      <c r="CY41" s="95"/>
      <c r="CZ41" s="95"/>
      <c r="DA41" s="95"/>
      <c r="DB41" s="95"/>
      <c r="DC41" s="95"/>
      <c r="DD41" s="95"/>
      <c r="DE41" s="95"/>
      <c r="DF41" s="95"/>
      <c r="DG41" s="95"/>
      <c r="DL41" s="108"/>
      <c r="DM41" s="108"/>
      <c r="DN41" s="109" t="str">
        <f aca="false">"D6.scenario.defInput["""&amp;B41&amp;"""] = {  "&amp;E$2&amp;":"""&amp;E41&amp;""",  "&amp;C$2&amp;":"""&amp;CLEAN(SUBSTITUTE(C41,"""",""""))&amp;""",  "&amp;F$2&amp;":"""&amp;F41&amp;""",  "&amp;H$2&amp;":"""&amp;CLEAN(SUBSTITUTE(H41,"""",""""))&amp;""", "&amp;J$2&amp;":"""&amp;J41&amp;""", "&amp;L$2&amp;":"""&amp;L41&amp;""", "&amp;M$2&amp;":"""&amp;M41&amp;""", "&amp;N$2&amp;":"""&amp;N41&amp;""", "&amp;O$2&amp;":"""&amp;O41&amp;""", "&amp;P$2&amp;":"""&amp;P41&amp;""", "&amp;Q$2&amp;":"""&amp;Q41&amp;""", "&amp;R$2&amp;":"""&amp;R41&amp;""", d11t:"""&amp;CJ41&amp;""",d11p:"""&amp;CK41&amp;""",d12t:"""&amp;CL41&amp;""",d12p:"""&amp;CM41&amp;""",d13t:"""&amp;CN41&amp;""",d13p:"""&amp;CO41&amp;""",d1w:"""&amp;CP41&amp;""",d1d:"""&amp;CQ41&amp;""", d21t:"""&amp;CR41&amp;""",d21p:"""&amp;CS41&amp;""",d22t:"""&amp;CT41&amp;""",d22p:"""&amp;CU41&amp;""",d23t:"""&amp;CV41&amp;""",d23p:"""&amp;CW41&amp;""",d2w:"""&amp;CX41&amp;""",d2d:"""&amp;CY41&amp;""", d31t:"""&amp;CZ41&amp;""",d31p:"""&amp;DA41&amp;""",d32t:"""&amp;DB41&amp;""",d32p:"""&amp;DC41&amp;""",d33t:"""&amp;DD41&amp;""",d33p:"""&amp;DE41&amp;""",d3w:"""&amp;DF41&amp;""",d3d:"""&amp;DG41&amp;"""}; "</f>
        <v>D6.scenario.defInput["i094"] = {  cons:"consSeason",  title:"灯油購入量",  unit:"円",  text:"1ヶ月あたりのおおよその灯油使用量を選んでください。", inputType:"sel094", right:"", postfix:"", nodata:"", varType:"Number", min:"", max:"", defaultValue:"-1", d11t:"",d11p:"",d12t:"",d12p:"",d13t:"",d13p:"",d1w:"",d1d:"", d21t:"",d21p:"",d22t:"",d22p:"",d23t:"",d23p:"",d2w:"",d2d:"", d31t:"",d31p:"",d32t:"",d32p:"",d33t:"",d33p:"",d3w:"",d3d:""}; </v>
      </c>
      <c r="DO41" s="110"/>
      <c r="DP41" s="110"/>
      <c r="DQ41" s="111" t="str">
        <f aca="false">"D6.scenario.defSelectValue["""&amp;U41&amp;"""]= [ """&amp;CLEAN(V41)&amp;""", """&amp;CLEAN(W41)&amp;IF(X41="","",""", """&amp;CLEAN(X41))&amp;IF(Y41="","",""", """&amp;CLEAN(Y41))&amp;IF(Z41="","",""", """&amp;CLEAN(Z41))&amp;IF(AA41="","",""", """&amp;CLEAN(AA41))&amp;IF(AB41="","",""", """&amp;CLEAN(AB41))&amp;IF(AC41="","",""", """&amp;CLEAN(AC41))&amp;IF(AD41="","",""", """&amp;CLEAN(AD41))&amp;IF(AE41="","",""", """&amp;CLEAN(AE41))&amp;IF(AF41="","",""", """&amp;CLEAN(AF41))&amp;IF(AG41="","",""", """&amp;CLEAN(AG41))&amp;IF(AH41="","",""", """&amp;CLEAN(AH41))&amp;IF(AI41="","",""", """&amp;CLEAN(AI41))&amp;IF(AJ41="","",""", """&amp;CLEAN(AJ41))&amp;IF(AK41="","",""", """&amp;CLEAN(AK41))&amp;""" ];"</f>
        <v>D6.scenario.defSelectValue["sel094"]= [ "選んで下さい", "使わない", "2ヶ月で1缶（9L)", "月1缶（18L)", "月2缶（36L)", "月3缶（54L)", "週1缶（72L)", "5日で1缶（108L)", "週2缶（144L)", "週3缶（216L)", "それ以上" ];</v>
      </c>
      <c r="DR41" s="112"/>
      <c r="DS41" s="112"/>
      <c r="DT41" s="112" t="str">
        <f aca="false">"D6.scenario.defSelectData['"&amp;U41&amp;"']= [ '"&amp;BC41&amp;"', '"&amp;BD41&amp;"', '"&amp;BE41&amp;IF(BF41="","","', '"&amp;BF41)&amp;IF(BG41="","","', '"&amp;BG41)&amp;IF(BH41="","","', '"&amp;BH41)&amp;IF(BI41="","","', '"&amp;BI41)&amp;IF(BJ41="","","', '"&amp;BJ41)&amp;IF(BK41="","","', '"&amp;BK41)&amp;IF(BL41="","","', '"&amp;BL41)&amp;IF(BM41="","","', '"&amp;BM41)&amp;IF(BN41="","","', '"&amp;BN41)&amp;IF(BO41="","","', '"&amp;BO41)&amp;IF(BP41="","","', '"&amp;BP41)&amp;IF(BQ41="","","', '"&amp;BQ41)&amp;IF(BR41="","","', '"&amp;BR41)&amp;"' ];"</f>
        <v>D6.scenario.defSelectData['sel094']= [ '-1', '0', '900', '1800', '3600', '5400', '7200', '10800', '14400', '21600', '30000' ];</v>
      </c>
    </row>
    <row r="42" s="88" customFormat="true" ht="43.5" hidden="false" customHeight="true" outlineLevel="0" collapsed="false">
      <c r="A42" s="66"/>
      <c r="B42" s="95" t="s">
        <v>1240</v>
      </c>
      <c r="C42" s="103" t="s">
        <v>1241</v>
      </c>
      <c r="D42" s="104" t="s">
        <v>1241</v>
      </c>
      <c r="E42" s="95" t="s">
        <v>228</v>
      </c>
      <c r="F42" s="103"/>
      <c r="G42" s="104"/>
      <c r="H42" s="103" t="s">
        <v>1242</v>
      </c>
      <c r="I42" s="104" t="s">
        <v>1242</v>
      </c>
      <c r="J42" s="103" t="str">
        <f aca="false">IF(K42="","",K42)</f>
        <v>sel101</v>
      </c>
      <c r="K42" s="104" t="str">
        <f aca="false">"sel"&amp;MID($B42,2,5)</f>
        <v>sel101</v>
      </c>
      <c r="L42" s="105"/>
      <c r="M42" s="105"/>
      <c r="N42" s="105"/>
      <c r="O42" s="95" t="s">
        <v>931</v>
      </c>
      <c r="P42" s="105"/>
      <c r="Q42" s="105"/>
      <c r="R42" s="95" t="n">
        <v>-1</v>
      </c>
      <c r="S42" s="66"/>
      <c r="T42" s="66"/>
      <c r="U42" s="106" t="str">
        <f aca="false">J42</f>
        <v>sel101</v>
      </c>
      <c r="V42" s="103" t="s">
        <v>979</v>
      </c>
      <c r="W42" s="103" t="s">
        <v>1243</v>
      </c>
      <c r="X42" s="103" t="s">
        <v>1244</v>
      </c>
      <c r="Y42" s="103" t="s">
        <v>1245</v>
      </c>
      <c r="Z42" s="103" t="s">
        <v>1246</v>
      </c>
      <c r="AA42" s="103" t="s">
        <v>550</v>
      </c>
      <c r="AB42" s="103" t="s">
        <v>1247</v>
      </c>
      <c r="AC42" s="103" t="s">
        <v>1248</v>
      </c>
      <c r="AD42" s="103" t="s">
        <v>1249</v>
      </c>
      <c r="AE42" s="103" t="s">
        <v>1250</v>
      </c>
      <c r="AF42" s="103"/>
      <c r="AG42" s="103"/>
      <c r="AH42" s="103"/>
      <c r="AI42" s="103"/>
      <c r="AJ42" s="103"/>
      <c r="AK42" s="103"/>
      <c r="AL42" s="104" t="s">
        <v>979</v>
      </c>
      <c r="AM42" s="107" t="s">
        <v>1243</v>
      </c>
      <c r="AN42" s="107" t="s">
        <v>1244</v>
      </c>
      <c r="AO42" s="107" t="s">
        <v>1245</v>
      </c>
      <c r="AP42" s="104" t="s">
        <v>1246</v>
      </c>
      <c r="AQ42" s="107" t="s">
        <v>550</v>
      </c>
      <c r="AR42" s="107" t="s">
        <v>1247</v>
      </c>
      <c r="AS42" s="104" t="s">
        <v>1248</v>
      </c>
      <c r="AT42" s="104" t="s">
        <v>1249</v>
      </c>
      <c r="AU42" s="104" t="s">
        <v>1250</v>
      </c>
      <c r="AV42" s="104"/>
      <c r="AW42" s="104"/>
      <c r="AX42" s="104"/>
      <c r="AY42" s="104"/>
      <c r="AZ42" s="104"/>
      <c r="BA42" s="104"/>
      <c r="BB42" s="66"/>
      <c r="BC42" s="103" t="n">
        <v>-1</v>
      </c>
      <c r="BD42" s="103" t="n">
        <v>1</v>
      </c>
      <c r="BE42" s="103" t="n">
        <v>2</v>
      </c>
      <c r="BF42" s="103" t="n">
        <v>3</v>
      </c>
      <c r="BG42" s="103" t="n">
        <v>4</v>
      </c>
      <c r="BH42" s="103" t="n">
        <v>5</v>
      </c>
      <c r="BI42" s="103" t="n">
        <v>6</v>
      </c>
      <c r="BJ42" s="103" t="n">
        <v>7</v>
      </c>
      <c r="BK42" s="103" t="n">
        <v>8</v>
      </c>
      <c r="BL42" s="103" t="n">
        <v>9</v>
      </c>
      <c r="BM42" s="103"/>
      <c r="BN42" s="103"/>
      <c r="BO42" s="103"/>
      <c r="BP42" s="103"/>
      <c r="BQ42" s="103"/>
      <c r="BR42" s="103"/>
      <c r="BS42" s="104" t="n">
        <v>-1</v>
      </c>
      <c r="BT42" s="104" t="n">
        <v>1</v>
      </c>
      <c r="BU42" s="104" t="n">
        <v>2</v>
      </c>
      <c r="BV42" s="104" t="n">
        <v>3</v>
      </c>
      <c r="BW42" s="104" t="n">
        <v>4</v>
      </c>
      <c r="BX42" s="104" t="n">
        <v>5</v>
      </c>
      <c r="BY42" s="104" t="n">
        <v>6</v>
      </c>
      <c r="BZ42" s="104" t="n">
        <v>7</v>
      </c>
      <c r="CA42" s="104" t="n">
        <v>8</v>
      </c>
      <c r="CB42" s="104" t="n">
        <v>9</v>
      </c>
      <c r="CC42" s="104"/>
      <c r="CD42" s="104"/>
      <c r="CE42" s="104"/>
      <c r="CF42" s="104"/>
      <c r="CG42" s="104"/>
      <c r="CH42" s="104"/>
      <c r="CJ42" s="95"/>
      <c r="CK42" s="95"/>
      <c r="CL42" s="95"/>
      <c r="CM42" s="95"/>
      <c r="CN42" s="95"/>
      <c r="CO42" s="95"/>
      <c r="CP42" s="95"/>
      <c r="CQ42" s="95"/>
      <c r="CR42" s="95" t="n">
        <v>6</v>
      </c>
      <c r="CS42" s="95" t="n">
        <v>2</v>
      </c>
      <c r="CT42" s="95" t="n">
        <v>3</v>
      </c>
      <c r="CU42" s="95" t="n">
        <v>0</v>
      </c>
      <c r="CV42" s="95" t="n">
        <v>2</v>
      </c>
      <c r="CW42" s="95" t="n">
        <v>1</v>
      </c>
      <c r="CX42" s="95" t="n">
        <v>2</v>
      </c>
      <c r="CY42" s="95" t="n">
        <v>0</v>
      </c>
      <c r="CZ42" s="95"/>
      <c r="DA42" s="95"/>
      <c r="DB42" s="95"/>
      <c r="DC42" s="95"/>
      <c r="DD42" s="95"/>
      <c r="DE42" s="95"/>
      <c r="DF42" s="95"/>
      <c r="DG42" s="95"/>
      <c r="DL42" s="108"/>
      <c r="DM42" s="108"/>
      <c r="DN42" s="109" t="str">
        <f aca="false">"D6.scenario.defInput["""&amp;B42&amp;"""] = {  "&amp;E$2&amp;":"""&amp;E42&amp;""",  "&amp;C$2&amp;":"""&amp;CLEAN(SUBSTITUTE(C42,"""",""""))&amp;""",  "&amp;F$2&amp;":"""&amp;F42&amp;""",  "&amp;H$2&amp;":"""&amp;CLEAN(SUBSTITUTE(H42,"""",""""))&amp;""", "&amp;J$2&amp;":"""&amp;J42&amp;""", "&amp;L$2&amp;":"""&amp;L42&amp;""", "&amp;M$2&amp;":"""&amp;M42&amp;""", "&amp;N$2&amp;":"""&amp;N42&amp;""", "&amp;O$2&amp;":"""&amp;O42&amp;""", "&amp;P$2&amp;":"""&amp;P42&amp;""", "&amp;Q$2&amp;":"""&amp;Q42&amp;""", "&amp;R$2&amp;":"""&amp;R42&amp;""", d11t:"""&amp;CJ42&amp;""",d11p:"""&amp;CK42&amp;""",d12t:"""&amp;CL42&amp;""",d12p:"""&amp;CM42&amp;""",d13t:"""&amp;CN42&amp;""",d13p:"""&amp;CO42&amp;""",d1w:"""&amp;CP42&amp;""",d1d:"""&amp;CQ42&amp;""", d21t:"""&amp;CR42&amp;""",d21p:"""&amp;CS42&amp;""",d22t:"""&amp;CT42&amp;""",d22p:"""&amp;CU42&amp;""",d23t:"""&amp;CV42&amp;""",d23p:"""&amp;CW42&amp;""",d2w:"""&amp;CX42&amp;""",d2d:"""&amp;CY42&amp;""", d31t:"""&amp;CZ42&amp;""",d31p:"""&amp;DA42&amp;""",d32t:"""&amp;DB42&amp;""",d32p:"""&amp;DC42&amp;""",d33t:"""&amp;DD42&amp;""",d33p:"""&amp;DE42&amp;""",d3w:"""&amp;DF42&amp;""",d3d:"""&amp;DG42&amp;"""}; "</f>
        <v>D6.scenario.defInput["i101"] = {  cons:"consHWsum",  title:"給湯器の種類",  unit:"",  text:"お風呂のお湯を沸かす給湯器は、どんな機器ですか。", inputType:"sel101", right:"", postfix:"", nodata:"", varType:"Number", min:"", max:"", defaultValue:"-1", d11t:"",d11p:"",d12t:"",d12p:"",d13t:"",d13p:"",d1w:"",d1d:"", d21t:"6",d21p:"2",d22t:"3",d22p:"0",d23t:"2",d23p:"1",d2w:"2",d2d:"0", d31t:"",d31p:"",d32t:"",d32p:"",d33t:"",d33p:"",d3w:"",d3d:""}; </v>
      </c>
      <c r="DO42" s="110"/>
      <c r="DP42" s="110"/>
      <c r="DQ42" s="111" t="str">
        <f aca="false">"D6.scenario.defSelectValue["""&amp;U42&amp;"""]= [ """&amp;CLEAN(V42)&amp;""", """&amp;CLEAN(W42)&amp;IF(X42="","",""", """&amp;CLEAN(X42))&amp;IF(Y42="","",""", """&amp;CLEAN(Y42))&amp;IF(Z42="","",""", """&amp;CLEAN(Z42))&amp;IF(AA42="","",""", """&amp;CLEAN(AA42))&amp;IF(AB42="","",""", """&amp;CLEAN(AB42))&amp;IF(AC42="","",""", """&amp;CLEAN(AC42))&amp;IF(AD42="","",""", """&amp;CLEAN(AD42))&amp;IF(AE42="","",""", """&amp;CLEAN(AE42))&amp;IF(AF42="","",""", """&amp;CLEAN(AF42))&amp;IF(AG42="","",""", """&amp;CLEAN(AG42))&amp;IF(AH42="","",""", """&amp;CLEAN(AH42))&amp;IF(AI42="","",""", """&amp;CLEAN(AI42))&amp;IF(AJ42="","",""", """&amp;CLEAN(AJ42))&amp;IF(AK42="","",""", """&amp;CLEAN(AK42))&amp;""" ];"</f>
        <v>D6.scenario.defSelectValue["sel101"]= [ "選んで下さい", "ガス給湯器", "エコジョーズ（ガス潜熱回収型）", "灯油給湯器", "エコフィール（灯油潜熱回収型）", "電気温水器", "エコキュート（電気）", "エコウィル（コジェネ）", "エネファーム（燃料電池）", "薪" ];</v>
      </c>
      <c r="DR42" s="112"/>
      <c r="DS42" s="112"/>
      <c r="DT42" s="112" t="str">
        <f aca="false">"D6.scenario.defSelectData['"&amp;U42&amp;"']= [ '"&amp;BC42&amp;"', '"&amp;BD42&amp;"', '"&amp;BE42&amp;IF(BF42="","","', '"&amp;BF42)&amp;IF(BG42="","","', '"&amp;BG42)&amp;IF(BH42="","","', '"&amp;BH42)&amp;IF(BI42="","","', '"&amp;BI42)&amp;IF(BJ42="","","', '"&amp;BJ42)&amp;IF(BK42="","","', '"&amp;BK42)&amp;IF(BL42="","","', '"&amp;BL42)&amp;IF(BM42="","","', '"&amp;BM42)&amp;IF(BN42="","","', '"&amp;BN42)&amp;IF(BO42="","","', '"&amp;BO42)&amp;IF(BP42="","","', '"&amp;BP42)&amp;IF(BQ42="","","', '"&amp;BQ42)&amp;IF(BR42="","","', '"&amp;BR42)&amp;"' ];"</f>
        <v>D6.scenario.defSelectData['sel101']= [ '-1', '1', '2', '3', '4', '5', '6', '7', '8', '9' ];</v>
      </c>
    </row>
    <row r="43" s="88" customFormat="true" ht="43.5" hidden="false" customHeight="true" outlineLevel="0" collapsed="false">
      <c r="A43" s="66"/>
      <c r="B43" s="95" t="s">
        <v>1251</v>
      </c>
      <c r="C43" s="103" t="s">
        <v>580</v>
      </c>
      <c r="D43" s="104" t="s">
        <v>580</v>
      </c>
      <c r="E43" s="95" t="s">
        <v>228</v>
      </c>
      <c r="F43" s="103"/>
      <c r="G43" s="104"/>
      <c r="H43" s="103" t="s">
        <v>1252</v>
      </c>
      <c r="I43" s="104" t="s">
        <v>1252</v>
      </c>
      <c r="J43" s="103" t="str">
        <f aca="false">IF(K43="","",K43)</f>
        <v>sel102</v>
      </c>
      <c r="K43" s="104" t="str">
        <f aca="false">"sel"&amp;MID($B43,2,5)</f>
        <v>sel102</v>
      </c>
      <c r="L43" s="105"/>
      <c r="M43" s="105"/>
      <c r="N43" s="105"/>
      <c r="O43" s="95" t="s">
        <v>931</v>
      </c>
      <c r="P43" s="105"/>
      <c r="Q43" s="105"/>
      <c r="R43" s="95" t="n">
        <v>-1</v>
      </c>
      <c r="S43" s="66"/>
      <c r="T43" s="66"/>
      <c r="U43" s="106" t="str">
        <f aca="false">J43</f>
        <v>sel102</v>
      </c>
      <c r="V43" s="103" t="s">
        <v>979</v>
      </c>
      <c r="W43" s="103" t="s">
        <v>1253</v>
      </c>
      <c r="X43" s="103" t="s">
        <v>1254</v>
      </c>
      <c r="Y43" s="103" t="s">
        <v>1255</v>
      </c>
      <c r="Z43" s="103"/>
      <c r="AA43" s="103"/>
      <c r="AB43" s="103"/>
      <c r="AC43" s="103"/>
      <c r="AD43" s="103"/>
      <c r="AE43" s="103"/>
      <c r="AF43" s="103"/>
      <c r="AG43" s="103"/>
      <c r="AH43" s="103"/>
      <c r="AI43" s="103"/>
      <c r="AJ43" s="103"/>
      <c r="AK43" s="103"/>
      <c r="AL43" s="104" t="s">
        <v>979</v>
      </c>
      <c r="AM43" s="107" t="s">
        <v>1253</v>
      </c>
      <c r="AN43" s="104" t="s">
        <v>1254</v>
      </c>
      <c r="AO43" s="107" t="s">
        <v>1255</v>
      </c>
      <c r="AP43" s="104"/>
      <c r="AQ43" s="104"/>
      <c r="AR43" s="104"/>
      <c r="AS43" s="104"/>
      <c r="AT43" s="104"/>
      <c r="AU43" s="104"/>
      <c r="AV43" s="104"/>
      <c r="AW43" s="104"/>
      <c r="AX43" s="104"/>
      <c r="AY43" s="104"/>
      <c r="AZ43" s="104"/>
      <c r="BA43" s="104"/>
      <c r="BB43" s="66"/>
      <c r="BC43" s="103" t="n">
        <v>-1</v>
      </c>
      <c r="BD43" s="103" t="n">
        <v>1</v>
      </c>
      <c r="BE43" s="103" t="n">
        <v>2</v>
      </c>
      <c r="BF43" s="103" t="n">
        <v>3</v>
      </c>
      <c r="BG43" s="103"/>
      <c r="BH43" s="103"/>
      <c r="BI43" s="103"/>
      <c r="BJ43" s="103"/>
      <c r="BK43" s="103"/>
      <c r="BL43" s="103"/>
      <c r="BM43" s="103"/>
      <c r="BN43" s="103"/>
      <c r="BO43" s="103"/>
      <c r="BP43" s="103"/>
      <c r="BQ43" s="103"/>
      <c r="BR43" s="103"/>
      <c r="BS43" s="104" t="n">
        <v>-1</v>
      </c>
      <c r="BT43" s="104" t="n">
        <v>1</v>
      </c>
      <c r="BU43" s="104" t="n">
        <v>2</v>
      </c>
      <c r="BV43" s="104" t="n">
        <v>3</v>
      </c>
      <c r="BW43" s="104"/>
      <c r="BX43" s="104"/>
      <c r="BY43" s="104"/>
      <c r="BZ43" s="104"/>
      <c r="CA43" s="104"/>
      <c r="CB43" s="104"/>
      <c r="CC43" s="104"/>
      <c r="CD43" s="104"/>
      <c r="CE43" s="104"/>
      <c r="CF43" s="104"/>
      <c r="CG43" s="104"/>
      <c r="CH43" s="104"/>
      <c r="CJ43" s="95" t="n">
        <v>3</v>
      </c>
      <c r="CK43" s="95" t="n">
        <v>0</v>
      </c>
      <c r="CL43" s="95" t="n">
        <v>1</v>
      </c>
      <c r="CM43" s="95" t="n">
        <v>2</v>
      </c>
      <c r="CN43" s="95"/>
      <c r="CO43" s="95"/>
      <c r="CP43" s="95" t="n">
        <v>2</v>
      </c>
      <c r="CQ43" s="95" t="n">
        <v>0</v>
      </c>
      <c r="CR43" s="95" t="n">
        <v>3</v>
      </c>
      <c r="CS43" s="95" t="n">
        <v>0</v>
      </c>
      <c r="CT43" s="95" t="n">
        <v>1</v>
      </c>
      <c r="CU43" s="95" t="n">
        <v>2</v>
      </c>
      <c r="CV43" s="95"/>
      <c r="CW43" s="95"/>
      <c r="CX43" s="95" t="n">
        <v>2</v>
      </c>
      <c r="CY43" s="95" t="n">
        <v>0</v>
      </c>
      <c r="CZ43" s="95" t="n">
        <v>3</v>
      </c>
      <c r="DA43" s="95" t="n">
        <v>0</v>
      </c>
      <c r="DB43" s="95" t="n">
        <v>1</v>
      </c>
      <c r="DC43" s="95" t="n">
        <v>2</v>
      </c>
      <c r="DD43" s="95"/>
      <c r="DE43" s="95"/>
      <c r="DF43" s="95" t="n">
        <v>2</v>
      </c>
      <c r="DG43" s="95" t="n">
        <v>0</v>
      </c>
      <c r="DL43" s="108"/>
      <c r="DM43" s="108"/>
      <c r="DN43" s="109" t="str">
        <f aca="false">"D6.scenario.defInput["""&amp;B43&amp;"""] = {  "&amp;E$2&amp;":"""&amp;E43&amp;""",  "&amp;C$2&amp;":"""&amp;CLEAN(SUBSTITUTE(C43,"""",""""))&amp;""",  "&amp;F$2&amp;":"""&amp;F43&amp;""",  "&amp;H$2&amp;":"""&amp;CLEAN(SUBSTITUTE(H43,"""",""""))&amp;""", "&amp;J$2&amp;":"""&amp;J43&amp;""", "&amp;L$2&amp;":"""&amp;L43&amp;""", "&amp;M$2&amp;":"""&amp;M43&amp;""", "&amp;N$2&amp;":"""&amp;N43&amp;""", "&amp;O$2&amp;":"""&amp;O43&amp;""", "&amp;P$2&amp;":"""&amp;P43&amp;""", "&amp;Q$2&amp;":"""&amp;Q43&amp;""", "&amp;R$2&amp;":"""&amp;R43&amp;""", d11t:"""&amp;CJ43&amp;""",d11p:"""&amp;CK43&amp;""",d12t:"""&amp;CL43&amp;""",d12p:"""&amp;CM43&amp;""",d13t:"""&amp;CN43&amp;""",d13p:"""&amp;CO43&amp;""",d1w:"""&amp;CP43&amp;""",d1d:"""&amp;CQ43&amp;""", d21t:"""&amp;CR43&amp;""",d21p:"""&amp;CS43&amp;""",d22t:"""&amp;CT43&amp;""",d22p:"""&amp;CU43&amp;""",d23t:"""&amp;CV43&amp;""",d23p:"""&amp;CW43&amp;""",d2w:"""&amp;CX43&amp;""",d2d:"""&amp;CY43&amp;""", d31t:"""&amp;CZ43&amp;""",d31p:"""&amp;DA43&amp;""",d32t:"""&amp;DB43&amp;""",d32p:"""&amp;DC43&amp;""",d33t:"""&amp;DD43&amp;""",d33p:"""&amp;DE43&amp;""",d3w:"""&amp;DF43&amp;""",d3d:"""&amp;DG43&amp;"""}; "</f>
        <v>D6.scenario.defInput["i102"] = {  cons:"consHWsum",  title:"太陽熱温水器",  unit:"",  text:"太陽熱温水器を利用していますか", inputType:"sel102", right:"", postfix:"", nodata:"", varType:"Number", min:"", max:"", defaultValue:"-1", d11t:"3",d11p:"0",d12t:"1",d12p:"2",d13t:"",d13p:"",d1w:"2",d1d:"0", d21t:"3",d21p:"0",d22t:"1",d22p:"2",d23t:"",d23p:"",d2w:"2",d2d:"0", d31t:"3",d31p:"0",d32t:"1",d32p:"2",d33t:"",d33p:"",d3w:"2",d3d:"0"}; </v>
      </c>
      <c r="DO43" s="110"/>
      <c r="DP43" s="110"/>
      <c r="DQ43" s="111" t="str">
        <f aca="false">"D6.scenario.defSelectValue["""&amp;U43&amp;"""]= [ """&amp;CLEAN(V43)&amp;""", """&amp;CLEAN(W43)&amp;IF(X43="","",""", """&amp;CLEAN(X43))&amp;IF(Y43="","",""", """&amp;CLEAN(Y43))&amp;IF(Z43="","",""", """&amp;CLEAN(Z43))&amp;IF(AA43="","",""", """&amp;CLEAN(AA43))&amp;IF(AB43="","",""", """&amp;CLEAN(AB43))&amp;IF(AC43="","",""", """&amp;CLEAN(AC43))&amp;IF(AD43="","",""", """&amp;CLEAN(AD43))&amp;IF(AE43="","",""", """&amp;CLEAN(AE43))&amp;IF(AF43="","",""", """&amp;CLEAN(AF43))&amp;IF(AG43="","",""", """&amp;CLEAN(AG43))&amp;IF(AH43="","",""", """&amp;CLEAN(AH43))&amp;IF(AI43="","",""", """&amp;CLEAN(AI43))&amp;IF(AJ43="","",""", """&amp;CLEAN(AJ43))&amp;IF(AK43="","",""", """&amp;CLEAN(AK43))&amp;""" ];"</f>
        <v>D6.scenario.defSelectValue["sel102"]= [ "選んで下さい", "利用している", "時々利用している", "利用していない" ];</v>
      </c>
      <c r="DR43" s="112"/>
      <c r="DS43" s="112"/>
      <c r="DT43" s="112" t="str">
        <f aca="false">"D6.scenario.defSelectData['"&amp;U43&amp;"']= [ '"&amp;BC43&amp;"', '"&amp;BD43&amp;"', '"&amp;BE43&amp;IF(BF43="","","', '"&amp;BF43)&amp;IF(BG43="","","', '"&amp;BG43)&amp;IF(BH43="","","', '"&amp;BH43)&amp;IF(BI43="","","', '"&amp;BI43)&amp;IF(BJ43="","","', '"&amp;BJ43)&amp;IF(BK43="","","', '"&amp;BK43)&amp;IF(BL43="","","', '"&amp;BL43)&amp;IF(BM43="","","', '"&amp;BM43)&amp;IF(BN43="","","', '"&amp;BN43)&amp;IF(BO43="","","', '"&amp;BO43)&amp;IF(BP43="","","', '"&amp;BP43)&amp;IF(BQ43="","","', '"&amp;BQ43)&amp;IF(BR43="","","', '"&amp;BR43)&amp;"' ];"</f>
        <v>D6.scenario.defSelectData['sel102']= [ '-1', '1', '2', '3' ];</v>
      </c>
    </row>
    <row r="44" s="88" customFormat="true" ht="43.5" hidden="false" customHeight="true" outlineLevel="0" collapsed="false">
      <c r="A44" s="66"/>
      <c r="B44" s="95" t="s">
        <v>1256</v>
      </c>
      <c r="C44" s="103" t="s">
        <v>1257</v>
      </c>
      <c r="D44" s="104" t="s">
        <v>1257</v>
      </c>
      <c r="E44" s="95" t="s">
        <v>230</v>
      </c>
      <c r="F44" s="103" t="s">
        <v>1258</v>
      </c>
      <c r="G44" s="104" t="s">
        <v>1258</v>
      </c>
      <c r="H44" s="103" t="s">
        <v>1259</v>
      </c>
      <c r="I44" s="104" t="s">
        <v>1260</v>
      </c>
      <c r="J44" s="103" t="str">
        <f aca="false">IF(K44="","",K44)</f>
        <v>sel103</v>
      </c>
      <c r="K44" s="104" t="str">
        <f aca="false">"sel"&amp;MID($B44,2,5)</f>
        <v>sel103</v>
      </c>
      <c r="L44" s="105"/>
      <c r="M44" s="105"/>
      <c r="N44" s="105"/>
      <c r="O44" s="95" t="s">
        <v>931</v>
      </c>
      <c r="P44" s="105"/>
      <c r="Q44" s="105"/>
      <c r="R44" s="95" t="n">
        <v>-1</v>
      </c>
      <c r="S44" s="66"/>
      <c r="T44" s="66"/>
      <c r="U44" s="106" t="str">
        <f aca="false">J44</f>
        <v>sel103</v>
      </c>
      <c r="V44" s="103" t="s">
        <v>979</v>
      </c>
      <c r="W44" s="103" t="s">
        <v>1261</v>
      </c>
      <c r="X44" s="103" t="s">
        <v>1262</v>
      </c>
      <c r="Y44" s="103" t="s">
        <v>1263</v>
      </c>
      <c r="Z44" s="103" t="s">
        <v>1264</v>
      </c>
      <c r="AA44" s="103" t="s">
        <v>1265</v>
      </c>
      <c r="AB44" s="103" t="s">
        <v>1266</v>
      </c>
      <c r="AC44" s="103"/>
      <c r="AD44" s="103"/>
      <c r="AE44" s="103"/>
      <c r="AF44" s="103"/>
      <c r="AG44" s="103"/>
      <c r="AH44" s="103"/>
      <c r="AI44" s="103"/>
      <c r="AJ44" s="103"/>
      <c r="AK44" s="103"/>
      <c r="AL44" s="104" t="s">
        <v>979</v>
      </c>
      <c r="AM44" s="104" t="s">
        <v>1261</v>
      </c>
      <c r="AN44" s="104" t="s">
        <v>1262</v>
      </c>
      <c r="AO44" s="104" t="s">
        <v>1263</v>
      </c>
      <c r="AP44" s="104" t="s">
        <v>1264</v>
      </c>
      <c r="AQ44" s="107" t="s">
        <v>1265</v>
      </c>
      <c r="AR44" s="107" t="s">
        <v>1266</v>
      </c>
      <c r="AS44" s="104"/>
      <c r="AT44" s="104"/>
      <c r="AU44" s="104"/>
      <c r="AV44" s="104"/>
      <c r="AW44" s="104"/>
      <c r="AX44" s="104"/>
      <c r="AY44" s="104"/>
      <c r="AZ44" s="104"/>
      <c r="BA44" s="104"/>
      <c r="BB44" s="66"/>
      <c r="BC44" s="103" t="n">
        <v>-1</v>
      </c>
      <c r="BD44" s="103" t="n">
        <v>0</v>
      </c>
      <c r="BE44" s="103" t="n">
        <v>1</v>
      </c>
      <c r="BF44" s="103" t="n">
        <v>2</v>
      </c>
      <c r="BG44" s="103" t="n">
        <v>3.5</v>
      </c>
      <c r="BH44" s="103" t="n">
        <v>5.5</v>
      </c>
      <c r="BI44" s="103" t="n">
        <v>7</v>
      </c>
      <c r="BJ44" s="103"/>
      <c r="BK44" s="103"/>
      <c r="BL44" s="103"/>
      <c r="BM44" s="103"/>
      <c r="BN44" s="103"/>
      <c r="BO44" s="103"/>
      <c r="BP44" s="103"/>
      <c r="BQ44" s="103"/>
      <c r="BR44" s="103"/>
      <c r="BS44" s="104" t="n">
        <v>-1</v>
      </c>
      <c r="BT44" s="104" t="n">
        <v>0</v>
      </c>
      <c r="BU44" s="104" t="n">
        <v>1</v>
      </c>
      <c r="BV44" s="104" t="n">
        <v>2</v>
      </c>
      <c r="BW44" s="104" t="n">
        <v>3.5</v>
      </c>
      <c r="BX44" s="104" t="n">
        <v>5.5</v>
      </c>
      <c r="BY44" s="104" t="n">
        <v>7</v>
      </c>
      <c r="BZ44" s="104"/>
      <c r="CA44" s="104"/>
      <c r="CB44" s="104"/>
      <c r="CC44" s="104"/>
      <c r="CD44" s="104"/>
      <c r="CE44" s="104"/>
      <c r="CF44" s="104"/>
      <c r="CG44" s="104"/>
      <c r="CH44" s="104"/>
      <c r="CJ44" s="95"/>
      <c r="CK44" s="95"/>
      <c r="CL44" s="95"/>
      <c r="CM44" s="95"/>
      <c r="CN44" s="95"/>
      <c r="CO44" s="95"/>
      <c r="CP44" s="95"/>
      <c r="CQ44" s="95"/>
      <c r="CR44" s="95"/>
      <c r="CS44" s="95"/>
      <c r="CT44" s="95"/>
      <c r="CU44" s="95"/>
      <c r="CV44" s="95"/>
      <c r="CW44" s="95"/>
      <c r="CX44" s="95"/>
      <c r="CY44" s="95"/>
      <c r="CZ44" s="95" t="n">
        <v>5</v>
      </c>
      <c r="DA44" s="95" t="n">
        <v>0</v>
      </c>
      <c r="DB44" s="95" t="n">
        <v>2</v>
      </c>
      <c r="DC44" s="95" t="n">
        <v>1</v>
      </c>
      <c r="DD44" s="95" t="n">
        <v>0</v>
      </c>
      <c r="DE44" s="95" t="n">
        <v>2</v>
      </c>
      <c r="DF44" s="95" t="n">
        <v>2</v>
      </c>
      <c r="DG44" s="95" t="n">
        <v>0</v>
      </c>
      <c r="DL44" s="108"/>
      <c r="DM44" s="108"/>
      <c r="DN44" s="109" t="str">
        <f aca="false">"D6.scenario.defInput["""&amp;B44&amp;"""] = {  "&amp;E$2&amp;":"""&amp;E44&amp;""",  "&amp;C$2&amp;":"""&amp;CLEAN(SUBSTITUTE(C44,"""",""""))&amp;""",  "&amp;F$2&amp;":"""&amp;F44&amp;""",  "&amp;H$2&amp;":"""&amp;CLEAN(SUBSTITUTE(H44,"""",""""))&amp;""", "&amp;J$2&amp;":"""&amp;J44&amp;""", "&amp;L$2&amp;":"""&amp;L44&amp;""", "&amp;M$2&amp;":"""&amp;M44&amp;""", "&amp;N$2&amp;":"""&amp;N44&amp;""", "&amp;O$2&amp;":"""&amp;O44&amp;""", "&amp;P$2&amp;":"""&amp;P44&amp;""", "&amp;Q$2&amp;":"""&amp;Q44&amp;""", "&amp;R$2&amp;":"""&amp;R44&amp;""", d11t:"""&amp;CJ44&amp;""",d11p:"""&amp;CK44&amp;""",d12t:"""&amp;CL44&amp;""",d12p:"""&amp;CM44&amp;""",d13t:"""&amp;CN44&amp;""",d13p:"""&amp;CO44&amp;""",d1w:"""&amp;CP44&amp;""",d1d:"""&amp;CQ44&amp;""", d21t:"""&amp;CR44&amp;""",d21p:"""&amp;CS44&amp;""",d22t:"""&amp;CT44&amp;""",d22p:"""&amp;CU44&amp;""",d23t:"""&amp;CV44&amp;""",d23p:"""&amp;CW44&amp;""",d2w:"""&amp;CX44&amp;""",d2d:"""&amp;CY44&amp;""", d31t:"""&amp;CZ44&amp;""",d31p:"""&amp;DA44&amp;""",d32t:"""&amp;DB44&amp;""",d32p:"""&amp;DC44&amp;""",d33t:"""&amp;DD44&amp;""",d33p:"""&amp;DE44&amp;""",d3w:"""&amp;DF44&amp;""",d3d:"""&amp;DG44&amp;"""}; "</f>
        <v>D6.scenario.defInput["i103"] = {  cons:"consHWtub",  title:"風呂沸かし日数（夏以外）",  unit:"日/週",  text:"夏以外の季節で、お風呂を沸かすのは、1週間に何日くらいですか。", inputType:"sel103", right:"", postfix:"", nodata:"", varType:"Number", min:"", max:"", defaultValue:"-1", d11t:"",d11p:"",d12t:"",d12p:"",d13t:"",d13p:"",d1w:"",d1d:"", d21t:"",d21p:"",d22t:"",d22p:"",d23t:"",d23p:"",d2w:"",d2d:"", d31t:"5",d31p:"0",d32t:"2",d32p:"1",d33t:"0",d33p:"2",d3w:"2",d3d:"0"}; </v>
      </c>
      <c r="DO44" s="110"/>
      <c r="DP44" s="110"/>
      <c r="DQ44" s="111" t="str">
        <f aca="false">"D6.scenario.defSelectValue["""&amp;U44&amp;"""]= [ """&amp;CLEAN(V44)&amp;""", """&amp;CLEAN(W44)&amp;IF(X44="","",""", """&amp;CLEAN(X44))&amp;IF(Y44="","",""", """&amp;CLEAN(Y44))&amp;IF(Z44="","",""", """&amp;CLEAN(Z44))&amp;IF(AA44="","",""", """&amp;CLEAN(AA44))&amp;IF(AB44="","",""", """&amp;CLEAN(AB44))&amp;IF(AC44="","",""", """&amp;CLEAN(AC44))&amp;IF(AD44="","",""", """&amp;CLEAN(AD44))&amp;IF(AE44="","",""", """&amp;CLEAN(AE44))&amp;IF(AF44="","",""", """&amp;CLEAN(AF44))&amp;IF(AG44="","",""", """&amp;CLEAN(AG44))&amp;IF(AH44="","",""", """&amp;CLEAN(AH44))&amp;IF(AI44="","",""", """&amp;CLEAN(AI44))&amp;IF(AJ44="","",""", """&amp;CLEAN(AJ44))&amp;IF(AK44="","",""", """&amp;CLEAN(AK44))&amp;""" ];"</f>
        <v>D6.scenario.defSelectValue["sel103"]= [ "選んで下さい", "お湯をためない", "週1日", "週2日", "2日に1回程度", "週5～6日", "毎日" ];</v>
      </c>
      <c r="DR44" s="112"/>
      <c r="DS44" s="112"/>
      <c r="DT44" s="112" t="str">
        <f aca="false">"D6.scenario.defSelectData['"&amp;U44&amp;"']= [ '"&amp;BC44&amp;"', '"&amp;BD44&amp;"', '"&amp;BE44&amp;IF(BF44="","","', '"&amp;BF44)&amp;IF(BG44="","","', '"&amp;BG44)&amp;IF(BH44="","","', '"&amp;BH44)&amp;IF(BI44="","","', '"&amp;BI44)&amp;IF(BJ44="","","', '"&amp;BJ44)&amp;IF(BK44="","","', '"&amp;BK44)&amp;IF(BL44="","","', '"&amp;BL44)&amp;IF(BM44="","","', '"&amp;BM44)&amp;IF(BN44="","","', '"&amp;BN44)&amp;IF(BO44="","","', '"&amp;BO44)&amp;IF(BP44="","","', '"&amp;BP44)&amp;IF(BQ44="","","', '"&amp;BQ44)&amp;IF(BR44="","","', '"&amp;BR44)&amp;"' ];"</f>
        <v>D6.scenario.defSelectData['sel103']= [ '-1', '0', '1', '2', '3.5', '5.5', '7' ];</v>
      </c>
    </row>
    <row r="45" s="88" customFormat="true" ht="43.5" hidden="false" customHeight="true" outlineLevel="0" collapsed="false">
      <c r="A45" s="66"/>
      <c r="B45" s="95" t="s">
        <v>1267</v>
      </c>
      <c r="C45" s="103" t="s">
        <v>1268</v>
      </c>
      <c r="D45" s="104" t="s">
        <v>1268</v>
      </c>
      <c r="E45" s="95" t="s">
        <v>230</v>
      </c>
      <c r="F45" s="103" t="s">
        <v>1258</v>
      </c>
      <c r="G45" s="104" t="s">
        <v>1258</v>
      </c>
      <c r="H45" s="103" t="s">
        <v>1269</v>
      </c>
      <c r="I45" s="104" t="s">
        <v>1269</v>
      </c>
      <c r="J45" s="103" t="str">
        <f aca="false">IF(K45="","",K45)</f>
        <v>sel104</v>
      </c>
      <c r="K45" s="104" t="str">
        <f aca="false">"sel"&amp;MID($B45,2,5)</f>
        <v>sel104</v>
      </c>
      <c r="L45" s="105"/>
      <c r="M45" s="105"/>
      <c r="N45" s="105"/>
      <c r="O45" s="95" t="s">
        <v>931</v>
      </c>
      <c r="P45" s="105"/>
      <c r="Q45" s="105"/>
      <c r="R45" s="95" t="n">
        <v>-1</v>
      </c>
      <c r="S45" s="66"/>
      <c r="T45" s="66"/>
      <c r="U45" s="106" t="str">
        <f aca="false">J45</f>
        <v>sel104</v>
      </c>
      <c r="V45" s="103" t="s">
        <v>979</v>
      </c>
      <c r="W45" s="103" t="s">
        <v>1261</v>
      </c>
      <c r="X45" s="103" t="s">
        <v>1262</v>
      </c>
      <c r="Y45" s="103" t="s">
        <v>1263</v>
      </c>
      <c r="Z45" s="103" t="s">
        <v>1264</v>
      </c>
      <c r="AA45" s="103" t="s">
        <v>1265</v>
      </c>
      <c r="AB45" s="103" t="s">
        <v>1266</v>
      </c>
      <c r="AC45" s="103"/>
      <c r="AD45" s="103"/>
      <c r="AE45" s="103"/>
      <c r="AF45" s="103"/>
      <c r="AG45" s="103"/>
      <c r="AH45" s="103"/>
      <c r="AI45" s="103"/>
      <c r="AJ45" s="103"/>
      <c r="AK45" s="103"/>
      <c r="AL45" s="104" t="s">
        <v>979</v>
      </c>
      <c r="AM45" s="107" t="s">
        <v>1261</v>
      </c>
      <c r="AN45" s="104" t="s">
        <v>1262</v>
      </c>
      <c r="AO45" s="104" t="s">
        <v>1263</v>
      </c>
      <c r="AP45" s="104" t="s">
        <v>1264</v>
      </c>
      <c r="AQ45" s="104" t="s">
        <v>1265</v>
      </c>
      <c r="AR45" s="107" t="s">
        <v>1266</v>
      </c>
      <c r="AS45" s="104"/>
      <c r="AT45" s="104"/>
      <c r="AU45" s="104"/>
      <c r="AV45" s="104"/>
      <c r="AW45" s="104"/>
      <c r="AX45" s="104"/>
      <c r="AY45" s="104"/>
      <c r="AZ45" s="104"/>
      <c r="BA45" s="104"/>
      <c r="BB45" s="66"/>
      <c r="BC45" s="103" t="n">
        <v>-1</v>
      </c>
      <c r="BD45" s="103" t="n">
        <v>0</v>
      </c>
      <c r="BE45" s="103" t="n">
        <v>1</v>
      </c>
      <c r="BF45" s="103" t="n">
        <v>2</v>
      </c>
      <c r="BG45" s="103" t="n">
        <v>3.5</v>
      </c>
      <c r="BH45" s="103" t="n">
        <v>5.5</v>
      </c>
      <c r="BI45" s="103" t="n">
        <v>7</v>
      </c>
      <c r="BJ45" s="103"/>
      <c r="BK45" s="103"/>
      <c r="BL45" s="103"/>
      <c r="BM45" s="103"/>
      <c r="BN45" s="103"/>
      <c r="BO45" s="103"/>
      <c r="BP45" s="103"/>
      <c r="BQ45" s="103"/>
      <c r="BR45" s="103"/>
      <c r="BS45" s="104" t="n">
        <v>-1</v>
      </c>
      <c r="BT45" s="104" t="n">
        <v>0</v>
      </c>
      <c r="BU45" s="104" t="n">
        <v>1</v>
      </c>
      <c r="BV45" s="104" t="n">
        <v>2</v>
      </c>
      <c r="BW45" s="104" t="n">
        <v>3.5</v>
      </c>
      <c r="BX45" s="104" t="n">
        <v>5.5</v>
      </c>
      <c r="BY45" s="104" t="n">
        <v>7</v>
      </c>
      <c r="BZ45" s="104"/>
      <c r="CA45" s="104"/>
      <c r="CB45" s="104"/>
      <c r="CC45" s="104"/>
      <c r="CD45" s="104"/>
      <c r="CE45" s="104"/>
      <c r="CF45" s="104"/>
      <c r="CG45" s="104"/>
      <c r="CH45" s="104"/>
      <c r="CJ45" s="95"/>
      <c r="CK45" s="95"/>
      <c r="CL45" s="95"/>
      <c r="CM45" s="95"/>
      <c r="CN45" s="95"/>
      <c r="CO45" s="95"/>
      <c r="CP45" s="95"/>
      <c r="CQ45" s="95"/>
      <c r="CR45" s="95"/>
      <c r="CS45" s="95"/>
      <c r="CT45" s="95"/>
      <c r="CU45" s="95"/>
      <c r="CV45" s="95"/>
      <c r="CW45" s="95"/>
      <c r="CX45" s="95"/>
      <c r="CY45" s="95"/>
      <c r="CZ45" s="95" t="n">
        <v>5</v>
      </c>
      <c r="DA45" s="95" t="n">
        <v>0</v>
      </c>
      <c r="DB45" s="95" t="n">
        <v>2</v>
      </c>
      <c r="DC45" s="95" t="n">
        <v>1</v>
      </c>
      <c r="DD45" s="95" t="n">
        <v>0</v>
      </c>
      <c r="DE45" s="95" t="n">
        <v>2</v>
      </c>
      <c r="DF45" s="95" t="n">
        <v>2</v>
      </c>
      <c r="DG45" s="95" t="n">
        <v>0</v>
      </c>
      <c r="DL45" s="108"/>
      <c r="DM45" s="108"/>
      <c r="DN45" s="109" t="str">
        <f aca="false">"D6.scenario.defInput["""&amp;B45&amp;"""] = {  "&amp;E$2&amp;":"""&amp;E45&amp;""",  "&amp;C$2&amp;":"""&amp;CLEAN(SUBSTITUTE(C45,"""",""""))&amp;""",  "&amp;F$2&amp;":"""&amp;F45&amp;""",  "&amp;H$2&amp;":"""&amp;CLEAN(SUBSTITUTE(H45,"""",""""))&amp;""", "&amp;J$2&amp;":"""&amp;J45&amp;""", "&amp;L$2&amp;":"""&amp;L45&amp;""", "&amp;M$2&amp;":"""&amp;M45&amp;""", "&amp;N$2&amp;":"""&amp;N45&amp;""", "&amp;O$2&amp;":"""&amp;O45&amp;""", "&amp;P$2&amp;":"""&amp;P45&amp;""", "&amp;Q$2&amp;":"""&amp;Q45&amp;""", "&amp;R$2&amp;":"""&amp;R45&amp;""", d11t:"""&amp;CJ45&amp;""",d11p:"""&amp;CK45&amp;""",d12t:"""&amp;CL45&amp;""",d12p:"""&amp;CM45&amp;""",d13t:"""&amp;CN45&amp;""",d13p:"""&amp;CO45&amp;""",d1w:"""&amp;CP45&amp;""",d1d:"""&amp;CQ45&amp;""", d21t:"""&amp;CR45&amp;""",d21p:"""&amp;CS45&amp;""",d22t:"""&amp;CT45&amp;""",d22p:"""&amp;CU45&amp;""",d23t:"""&amp;CV45&amp;""",d23p:"""&amp;CW45&amp;""",d2w:"""&amp;CX45&amp;""",d2d:"""&amp;CY45&amp;""", d31t:"""&amp;CZ45&amp;""",d31p:"""&amp;DA45&amp;""",d32t:"""&amp;DB45&amp;""",d32p:"""&amp;DC45&amp;""",d33t:"""&amp;DD45&amp;""",d33p:"""&amp;DE45&amp;""",d3w:"""&amp;DF45&amp;""",d3d:"""&amp;DG45&amp;"""}; "</f>
        <v>D6.scenario.defInput["i104"] = {  cons:"consHWtub",  title:"風呂沸かし日数（夏）",  unit:"日/週",  text:"夏場にお風呂を沸かすのは、1週間に何日くらいですか。", inputType:"sel104", right:"", postfix:"", nodata:"", varType:"Number", min:"", max:"", defaultValue:"-1", d11t:"",d11p:"",d12t:"",d12p:"",d13t:"",d13p:"",d1w:"",d1d:"", d21t:"",d21p:"",d22t:"",d22p:"",d23t:"",d23p:"",d2w:"",d2d:"", d31t:"5",d31p:"0",d32t:"2",d32p:"1",d33t:"0",d33p:"2",d3w:"2",d3d:"0"}; </v>
      </c>
      <c r="DO45" s="110"/>
      <c r="DP45" s="110"/>
      <c r="DQ45" s="111" t="str">
        <f aca="false">"D6.scenario.defSelectValue["""&amp;U45&amp;"""]= [ """&amp;CLEAN(V45)&amp;""", """&amp;CLEAN(W45)&amp;IF(X45="","",""", """&amp;CLEAN(X45))&amp;IF(Y45="","",""", """&amp;CLEAN(Y45))&amp;IF(Z45="","",""", """&amp;CLEAN(Z45))&amp;IF(AA45="","",""", """&amp;CLEAN(AA45))&amp;IF(AB45="","",""", """&amp;CLEAN(AB45))&amp;IF(AC45="","",""", """&amp;CLEAN(AC45))&amp;IF(AD45="","",""", """&amp;CLEAN(AD45))&amp;IF(AE45="","",""", """&amp;CLEAN(AE45))&amp;IF(AF45="","",""", """&amp;CLEAN(AF45))&amp;IF(AG45="","",""", """&amp;CLEAN(AG45))&amp;IF(AH45="","",""", """&amp;CLEAN(AH45))&amp;IF(AI45="","",""", """&amp;CLEAN(AI45))&amp;IF(AJ45="","",""", """&amp;CLEAN(AJ45))&amp;IF(AK45="","",""", """&amp;CLEAN(AK45))&amp;""" ];"</f>
        <v>D6.scenario.defSelectValue["sel104"]= [ "選んで下さい", "お湯をためない", "週1日", "週2日", "2日に1回程度", "週5～6日", "毎日" ];</v>
      </c>
      <c r="DR45" s="112"/>
      <c r="DS45" s="112"/>
      <c r="DT45" s="112" t="str">
        <f aca="false">"D6.scenario.defSelectData['"&amp;U45&amp;"']= [ '"&amp;BC45&amp;"', '"&amp;BD45&amp;"', '"&amp;BE45&amp;IF(BF45="","","', '"&amp;BF45)&amp;IF(BG45="","","', '"&amp;BG45)&amp;IF(BH45="","","', '"&amp;BH45)&amp;IF(BI45="","","', '"&amp;BI45)&amp;IF(BJ45="","","', '"&amp;BJ45)&amp;IF(BK45="","","', '"&amp;BK45)&amp;IF(BL45="","","', '"&amp;BL45)&amp;IF(BM45="","","', '"&amp;BM45)&amp;IF(BN45="","","', '"&amp;BN45)&amp;IF(BO45="","","', '"&amp;BO45)&amp;IF(BP45="","","', '"&amp;BP45)&amp;IF(BQ45="","","', '"&amp;BQ45)&amp;IF(BR45="","","', '"&amp;BR45)&amp;"' ];"</f>
        <v>D6.scenario.defSelectData['sel104']= [ '-1', '0', '1', '2', '3.5', '5.5', '7' ];</v>
      </c>
    </row>
    <row r="46" s="88" customFormat="true" ht="43.5" hidden="false" customHeight="true" outlineLevel="0" collapsed="false">
      <c r="A46" s="66"/>
      <c r="B46" s="95" t="s">
        <v>1270</v>
      </c>
      <c r="C46" s="103" t="s">
        <v>1271</v>
      </c>
      <c r="D46" s="104" t="s">
        <v>1271</v>
      </c>
      <c r="E46" s="95" t="s">
        <v>232</v>
      </c>
      <c r="F46" s="103" t="s">
        <v>1272</v>
      </c>
      <c r="G46" s="104" t="s">
        <v>1272</v>
      </c>
      <c r="H46" s="103" t="s">
        <v>1273</v>
      </c>
      <c r="I46" s="104" t="s">
        <v>1274</v>
      </c>
      <c r="J46" s="103" t="str">
        <f aca="false">IF(K46="","",K46)</f>
        <v>sel105</v>
      </c>
      <c r="K46" s="104" t="str">
        <f aca="false">"sel"&amp;MID($B46,2,5)</f>
        <v>sel105</v>
      </c>
      <c r="L46" s="105"/>
      <c r="M46" s="105"/>
      <c r="N46" s="105"/>
      <c r="O46" s="95" t="s">
        <v>931</v>
      </c>
      <c r="P46" s="105"/>
      <c r="Q46" s="105"/>
      <c r="R46" s="95" t="n">
        <v>-1</v>
      </c>
      <c r="S46" s="66"/>
      <c r="T46" s="66"/>
      <c r="U46" s="106" t="str">
        <f aca="false">J46</f>
        <v>sel105</v>
      </c>
      <c r="V46" s="103" t="s">
        <v>979</v>
      </c>
      <c r="W46" s="103" t="s">
        <v>1170</v>
      </c>
      <c r="X46" s="103" t="s">
        <v>1275</v>
      </c>
      <c r="Y46" s="103" t="s">
        <v>1276</v>
      </c>
      <c r="Z46" s="103" t="s">
        <v>1277</v>
      </c>
      <c r="AA46" s="103" t="s">
        <v>1278</v>
      </c>
      <c r="AB46" s="103" t="s">
        <v>1279</v>
      </c>
      <c r="AC46" s="103" t="s">
        <v>1280</v>
      </c>
      <c r="AD46" s="103" t="s">
        <v>1281</v>
      </c>
      <c r="AE46" s="103" t="s">
        <v>1282</v>
      </c>
      <c r="AF46" s="103" t="s">
        <v>1283</v>
      </c>
      <c r="AG46" s="103"/>
      <c r="AH46" s="103"/>
      <c r="AI46" s="103"/>
      <c r="AJ46" s="103"/>
      <c r="AK46" s="103"/>
      <c r="AL46" s="104" t="s">
        <v>979</v>
      </c>
      <c r="AM46" s="104" t="s">
        <v>1170</v>
      </c>
      <c r="AN46" s="104" t="s">
        <v>1275</v>
      </c>
      <c r="AO46" s="104" t="s">
        <v>1276</v>
      </c>
      <c r="AP46" s="107" t="s">
        <v>1277</v>
      </c>
      <c r="AQ46" s="107" t="s">
        <v>1278</v>
      </c>
      <c r="AR46" s="107" t="s">
        <v>1279</v>
      </c>
      <c r="AS46" s="107" t="s">
        <v>1280</v>
      </c>
      <c r="AT46" s="104" t="s">
        <v>1281</v>
      </c>
      <c r="AU46" s="104" t="s">
        <v>1282</v>
      </c>
      <c r="AV46" s="104" t="s">
        <v>1283</v>
      </c>
      <c r="AW46" s="104"/>
      <c r="AX46" s="104"/>
      <c r="AY46" s="104"/>
      <c r="AZ46" s="104"/>
      <c r="BA46" s="104"/>
      <c r="BB46" s="66"/>
      <c r="BC46" s="103" t="n">
        <v>-1</v>
      </c>
      <c r="BD46" s="103" t="n">
        <v>0</v>
      </c>
      <c r="BE46" s="103" t="n">
        <v>5</v>
      </c>
      <c r="BF46" s="103" t="n">
        <v>10</v>
      </c>
      <c r="BG46" s="103" t="n">
        <v>15</v>
      </c>
      <c r="BH46" s="103" t="n">
        <v>20</v>
      </c>
      <c r="BI46" s="103" t="n">
        <v>30</v>
      </c>
      <c r="BJ46" s="103" t="n">
        <v>40</v>
      </c>
      <c r="BK46" s="103" t="n">
        <v>60</v>
      </c>
      <c r="BL46" s="103" t="n">
        <v>90</v>
      </c>
      <c r="BM46" s="103" t="n">
        <v>120</v>
      </c>
      <c r="BN46" s="103"/>
      <c r="BO46" s="103"/>
      <c r="BP46" s="103"/>
      <c r="BQ46" s="103"/>
      <c r="BR46" s="103"/>
      <c r="BS46" s="104" t="n">
        <v>-1</v>
      </c>
      <c r="BT46" s="104" t="n">
        <v>0</v>
      </c>
      <c r="BU46" s="104" t="n">
        <v>5</v>
      </c>
      <c r="BV46" s="104" t="n">
        <v>10</v>
      </c>
      <c r="BW46" s="104" t="n">
        <v>15</v>
      </c>
      <c r="BX46" s="104" t="n">
        <v>20</v>
      </c>
      <c r="BY46" s="104" t="n">
        <v>30</v>
      </c>
      <c r="BZ46" s="104" t="n">
        <v>40</v>
      </c>
      <c r="CA46" s="104" t="n">
        <v>60</v>
      </c>
      <c r="CB46" s="104" t="n">
        <v>90</v>
      </c>
      <c r="CC46" s="104" t="n">
        <v>120</v>
      </c>
      <c r="CD46" s="104"/>
      <c r="CE46" s="104"/>
      <c r="CF46" s="104"/>
      <c r="CG46" s="104"/>
      <c r="CH46" s="104"/>
      <c r="CJ46" s="95" t="n">
        <v>40</v>
      </c>
      <c r="CK46" s="95" t="n">
        <v>0</v>
      </c>
      <c r="CL46" s="95" t="n">
        <v>20</v>
      </c>
      <c r="CM46" s="95" t="n">
        <v>1</v>
      </c>
      <c r="CN46" s="95" t="n">
        <v>0</v>
      </c>
      <c r="CO46" s="95" t="n">
        <v>2</v>
      </c>
      <c r="CP46" s="95" t="n">
        <v>2</v>
      </c>
      <c r="CQ46" s="95" t="n">
        <v>0</v>
      </c>
      <c r="CR46" s="95"/>
      <c r="CS46" s="95"/>
      <c r="CT46" s="95"/>
      <c r="CU46" s="95"/>
      <c r="CV46" s="95"/>
      <c r="CW46" s="95"/>
      <c r="CX46" s="95"/>
      <c r="CY46" s="95"/>
      <c r="CZ46" s="95" t="n">
        <v>40</v>
      </c>
      <c r="DA46" s="95" t="n">
        <v>0</v>
      </c>
      <c r="DB46" s="95" t="n">
        <v>20</v>
      </c>
      <c r="DC46" s="95" t="n">
        <v>1</v>
      </c>
      <c r="DD46" s="95" t="n">
        <v>0</v>
      </c>
      <c r="DE46" s="95" t="n">
        <v>2</v>
      </c>
      <c r="DF46" s="95" t="n">
        <v>2</v>
      </c>
      <c r="DG46" s="95" t="n">
        <v>0</v>
      </c>
      <c r="DL46" s="108"/>
      <c r="DM46" s="108"/>
      <c r="DN46" s="109" t="str">
        <f aca="false">"D6.scenario.defInput["""&amp;B46&amp;"""] = {  "&amp;E$2&amp;":"""&amp;E46&amp;""",  "&amp;C$2&amp;":"""&amp;CLEAN(SUBSTITUTE(C46,"""",""""))&amp;""",  "&amp;F$2&amp;":"""&amp;F46&amp;""",  "&amp;H$2&amp;":"""&amp;CLEAN(SUBSTITUTE(H46,"""",""""))&amp;""", "&amp;J$2&amp;":"""&amp;J46&amp;""", "&amp;L$2&amp;":"""&amp;L46&amp;""", "&amp;M$2&amp;":"""&amp;M46&amp;""", "&amp;N$2&amp;":"""&amp;N46&amp;""", "&amp;O$2&amp;":"""&amp;O46&amp;""", "&amp;P$2&amp;":"""&amp;P46&amp;""", "&amp;Q$2&amp;":"""&amp;Q46&amp;""", "&amp;R$2&amp;":"""&amp;R46&amp;""", d11t:"""&amp;CJ46&amp;""",d11p:"""&amp;CK46&amp;""",d12t:"""&amp;CL46&amp;""",d12p:"""&amp;CM46&amp;""",d13t:"""&amp;CN46&amp;""",d13p:"""&amp;CO46&amp;""",d1w:"""&amp;CP46&amp;""",d1d:"""&amp;CQ46&amp;""", d21t:"""&amp;CR46&amp;""",d21p:"""&amp;CS46&amp;""",d22t:"""&amp;CT46&amp;""",d22p:"""&amp;CU46&amp;""",d23t:"""&amp;CV46&amp;""",d23p:"""&amp;CW46&amp;""",d2w:"""&amp;CX46&amp;""",d2d:"""&amp;CY46&amp;""", d31t:"""&amp;CZ46&amp;""",d31p:"""&amp;DA46&amp;""",d32t:"""&amp;DB46&amp;""",d32p:"""&amp;DC46&amp;""",d33t:"""&amp;DD46&amp;""",d33p:"""&amp;DE46&amp;""",d3w:"""&amp;DF46&amp;""",d3d:"""&amp;DG46&amp;"""}; "</f>
        <v>D6.scenario.defInput["i105"] = {  cons:"consHWshower",  title:"シャワー時間(夏以外）",  unit:"分/日",  text:"夏以外の季節で、家族全員でシャワーを使う時間は、1日何分くらいですか。平均的には1人5分程度です。", inputType:"sel105", right:"", postfix:"", nodata:"", varType:"Number", min:"", max:"", defaultValue:"-1", d11t:"40",d11p:"0",d12t:"20",d12p:"1",d13t:"0",d13p:"2",d1w:"2",d1d:"0", d21t:"",d21p:"",d22t:"",d22p:"",d23t:"",d23p:"",d2w:"",d2d:"", d31t:"40",d31p:"0",d32t:"20",d32p:"1",d33t:"0",d33p:"2",d3w:"2",d3d:"0"}; </v>
      </c>
      <c r="DO46" s="110"/>
      <c r="DP46" s="110"/>
      <c r="DQ46" s="111" t="str">
        <f aca="false">"D6.scenario.defSelectValue["""&amp;U46&amp;"""]= [ """&amp;CLEAN(V46)&amp;""", """&amp;CLEAN(W46)&amp;IF(X46="","",""", """&amp;CLEAN(X46))&amp;IF(Y46="","",""", """&amp;CLEAN(Y46))&amp;IF(Z46="","",""", """&amp;CLEAN(Z46))&amp;IF(AA46="","",""", """&amp;CLEAN(AA46))&amp;IF(AB46="","",""", """&amp;CLEAN(AB46))&amp;IF(AC46="","",""", """&amp;CLEAN(AC46))&amp;IF(AD46="","",""", """&amp;CLEAN(AD46))&amp;IF(AE46="","",""", """&amp;CLEAN(AE46))&amp;IF(AF46="","",""", """&amp;CLEAN(AF46))&amp;IF(AG46="","",""", """&amp;CLEAN(AG46))&amp;IF(AH46="","",""", """&amp;CLEAN(AH46))&amp;IF(AI46="","",""", """&amp;CLEAN(AI46))&amp;IF(AJ46="","",""", """&amp;CLEAN(AJ46))&amp;IF(AK46="","",""", """&amp;CLEAN(AK46))&amp;""" ];"</f>
        <v>D6.scenario.defSelectValue["sel105"]= [ "選んで下さい", "使わない", "5分", "10分", "15分", "20分", "30分", "40分", "60分", "90分", "120分" ];</v>
      </c>
      <c r="DR46" s="112"/>
      <c r="DS46" s="112"/>
      <c r="DT46" s="112" t="str">
        <f aca="false">"D6.scenario.defSelectData['"&amp;U46&amp;"']= [ '"&amp;BC46&amp;"', '"&amp;BD46&amp;"', '"&amp;BE46&amp;IF(BF46="","","', '"&amp;BF46)&amp;IF(BG46="","","', '"&amp;BG46)&amp;IF(BH46="","","', '"&amp;BH46)&amp;IF(BI46="","","', '"&amp;BI46)&amp;IF(BJ46="","","', '"&amp;BJ46)&amp;IF(BK46="","","', '"&amp;BK46)&amp;IF(BL46="","","', '"&amp;BL46)&amp;IF(BM46="","","', '"&amp;BM46)&amp;IF(BN46="","","', '"&amp;BN46)&amp;IF(BO46="","","', '"&amp;BO46)&amp;IF(BP46="","","', '"&amp;BP46)&amp;IF(BQ46="","","', '"&amp;BQ46)&amp;IF(BR46="","","', '"&amp;BR46)&amp;"' ];"</f>
        <v>D6.scenario.defSelectData['sel105']= [ '-1', '0', '5', '10', '15', '20', '30', '40', '60', '90', '120' ];</v>
      </c>
    </row>
    <row r="47" s="88" customFormat="true" ht="43.5" hidden="false" customHeight="true" outlineLevel="0" collapsed="false">
      <c r="A47" s="66"/>
      <c r="B47" s="95" t="s">
        <v>1284</v>
      </c>
      <c r="C47" s="103" t="s">
        <v>1285</v>
      </c>
      <c r="D47" s="104" t="s">
        <v>1285</v>
      </c>
      <c r="E47" s="95" t="s">
        <v>232</v>
      </c>
      <c r="F47" s="103" t="s">
        <v>1272</v>
      </c>
      <c r="G47" s="104" t="s">
        <v>1272</v>
      </c>
      <c r="H47" s="103" t="s">
        <v>1286</v>
      </c>
      <c r="I47" s="104" t="s">
        <v>1286</v>
      </c>
      <c r="J47" s="103" t="str">
        <f aca="false">IF(K47="","",K47)</f>
        <v>sel106</v>
      </c>
      <c r="K47" s="104" t="str">
        <f aca="false">"sel"&amp;MID($B47,2,5)</f>
        <v>sel106</v>
      </c>
      <c r="L47" s="105"/>
      <c r="M47" s="105"/>
      <c r="N47" s="105"/>
      <c r="O47" s="95" t="s">
        <v>931</v>
      </c>
      <c r="P47" s="105"/>
      <c r="Q47" s="105"/>
      <c r="R47" s="95" t="n">
        <v>-1</v>
      </c>
      <c r="S47" s="66"/>
      <c r="T47" s="66"/>
      <c r="U47" s="106" t="str">
        <f aca="false">J47</f>
        <v>sel106</v>
      </c>
      <c r="V47" s="103" t="s">
        <v>979</v>
      </c>
      <c r="W47" s="103" t="s">
        <v>1170</v>
      </c>
      <c r="X47" s="103" t="s">
        <v>1275</v>
      </c>
      <c r="Y47" s="103" t="s">
        <v>1276</v>
      </c>
      <c r="Z47" s="103" t="s">
        <v>1277</v>
      </c>
      <c r="AA47" s="103" t="s">
        <v>1278</v>
      </c>
      <c r="AB47" s="103" t="s">
        <v>1279</v>
      </c>
      <c r="AC47" s="103" t="s">
        <v>1280</v>
      </c>
      <c r="AD47" s="103" t="s">
        <v>1281</v>
      </c>
      <c r="AE47" s="103" t="s">
        <v>1282</v>
      </c>
      <c r="AF47" s="103" t="s">
        <v>1283</v>
      </c>
      <c r="AG47" s="103"/>
      <c r="AH47" s="103"/>
      <c r="AI47" s="103"/>
      <c r="AJ47" s="103"/>
      <c r="AK47" s="103"/>
      <c r="AL47" s="104" t="s">
        <v>979</v>
      </c>
      <c r="AM47" s="104" t="s">
        <v>1170</v>
      </c>
      <c r="AN47" s="104" t="s">
        <v>1275</v>
      </c>
      <c r="AO47" s="104" t="s">
        <v>1276</v>
      </c>
      <c r="AP47" s="107" t="s">
        <v>1277</v>
      </c>
      <c r="AQ47" s="107" t="s">
        <v>1278</v>
      </c>
      <c r="AR47" s="107" t="s">
        <v>1279</v>
      </c>
      <c r="AS47" s="107" t="s">
        <v>1280</v>
      </c>
      <c r="AT47" s="104" t="s">
        <v>1281</v>
      </c>
      <c r="AU47" s="104" t="s">
        <v>1282</v>
      </c>
      <c r="AV47" s="104" t="s">
        <v>1283</v>
      </c>
      <c r="AW47" s="104"/>
      <c r="AX47" s="104"/>
      <c r="AY47" s="104"/>
      <c r="AZ47" s="104"/>
      <c r="BA47" s="104"/>
      <c r="BB47" s="66"/>
      <c r="BC47" s="103" t="n">
        <v>-1</v>
      </c>
      <c r="BD47" s="103" t="n">
        <v>0</v>
      </c>
      <c r="BE47" s="103" t="n">
        <v>5</v>
      </c>
      <c r="BF47" s="103" t="n">
        <v>10</v>
      </c>
      <c r="BG47" s="103" t="n">
        <v>15</v>
      </c>
      <c r="BH47" s="103" t="n">
        <v>20</v>
      </c>
      <c r="BI47" s="103" t="n">
        <v>30</v>
      </c>
      <c r="BJ47" s="103" t="n">
        <v>40</v>
      </c>
      <c r="BK47" s="103" t="n">
        <v>60</v>
      </c>
      <c r="BL47" s="103" t="n">
        <v>90</v>
      </c>
      <c r="BM47" s="103" t="n">
        <v>120</v>
      </c>
      <c r="BN47" s="103"/>
      <c r="BO47" s="103"/>
      <c r="BP47" s="103"/>
      <c r="BQ47" s="103"/>
      <c r="BR47" s="103"/>
      <c r="BS47" s="104" t="n">
        <v>-1</v>
      </c>
      <c r="BT47" s="104" t="n">
        <v>0</v>
      </c>
      <c r="BU47" s="104" t="n">
        <v>5</v>
      </c>
      <c r="BV47" s="104" t="n">
        <v>10</v>
      </c>
      <c r="BW47" s="104" t="n">
        <v>15</v>
      </c>
      <c r="BX47" s="104" t="n">
        <v>20</v>
      </c>
      <c r="BY47" s="104" t="n">
        <v>30</v>
      </c>
      <c r="BZ47" s="104" t="n">
        <v>40</v>
      </c>
      <c r="CA47" s="104" t="n">
        <v>60</v>
      </c>
      <c r="CB47" s="104" t="n">
        <v>90</v>
      </c>
      <c r="CC47" s="104" t="n">
        <v>120</v>
      </c>
      <c r="CD47" s="104"/>
      <c r="CE47" s="104"/>
      <c r="CF47" s="104"/>
      <c r="CG47" s="104"/>
      <c r="CH47" s="104"/>
      <c r="CJ47" s="95" t="n">
        <v>40</v>
      </c>
      <c r="CK47" s="95" t="n">
        <v>0</v>
      </c>
      <c r="CL47" s="95" t="n">
        <v>20</v>
      </c>
      <c r="CM47" s="95" t="n">
        <v>1</v>
      </c>
      <c r="CN47" s="95" t="n">
        <v>0</v>
      </c>
      <c r="CO47" s="95" t="n">
        <v>2</v>
      </c>
      <c r="CP47" s="95" t="n">
        <v>2</v>
      </c>
      <c r="CQ47" s="95" t="n">
        <v>0</v>
      </c>
      <c r="CR47" s="95"/>
      <c r="CS47" s="95"/>
      <c r="CT47" s="95"/>
      <c r="CU47" s="95"/>
      <c r="CV47" s="95"/>
      <c r="CW47" s="95"/>
      <c r="CX47" s="95"/>
      <c r="CY47" s="95"/>
      <c r="CZ47" s="95" t="n">
        <v>40</v>
      </c>
      <c r="DA47" s="95" t="n">
        <v>0</v>
      </c>
      <c r="DB47" s="95" t="n">
        <v>20</v>
      </c>
      <c r="DC47" s="95" t="n">
        <v>1</v>
      </c>
      <c r="DD47" s="95" t="n">
        <v>0</v>
      </c>
      <c r="DE47" s="95" t="n">
        <v>2</v>
      </c>
      <c r="DF47" s="95" t="n">
        <v>2</v>
      </c>
      <c r="DG47" s="95" t="n">
        <v>0</v>
      </c>
      <c r="DL47" s="108"/>
      <c r="DM47" s="108"/>
      <c r="DN47" s="109" t="str">
        <f aca="false">"D6.scenario.defInput["""&amp;B47&amp;"""] = {  "&amp;E$2&amp;":"""&amp;E47&amp;""",  "&amp;C$2&amp;":"""&amp;CLEAN(SUBSTITUTE(C47,"""",""""))&amp;""",  "&amp;F$2&amp;":"""&amp;F47&amp;""",  "&amp;H$2&amp;":"""&amp;CLEAN(SUBSTITUTE(H47,"""",""""))&amp;""", "&amp;J$2&amp;":"""&amp;J47&amp;""", "&amp;L$2&amp;":"""&amp;L47&amp;""", "&amp;M$2&amp;":"""&amp;M47&amp;""", "&amp;N$2&amp;":"""&amp;N47&amp;""", "&amp;O$2&amp;":"""&amp;O47&amp;""", "&amp;P$2&amp;":"""&amp;P47&amp;""", "&amp;Q$2&amp;":"""&amp;Q47&amp;""", "&amp;R$2&amp;":"""&amp;R47&amp;""", d11t:"""&amp;CJ47&amp;""",d11p:"""&amp;CK47&amp;""",d12t:"""&amp;CL47&amp;""",d12p:"""&amp;CM47&amp;""",d13t:"""&amp;CN47&amp;""",d13p:"""&amp;CO47&amp;""",d1w:"""&amp;CP47&amp;""",d1d:"""&amp;CQ47&amp;""", d21t:"""&amp;CR47&amp;""",d21p:"""&amp;CS47&amp;""",d22t:"""&amp;CT47&amp;""",d22p:"""&amp;CU47&amp;""",d23t:"""&amp;CV47&amp;""",d23p:"""&amp;CW47&amp;""",d2w:"""&amp;CX47&amp;""",d2d:"""&amp;CY47&amp;""", d31t:"""&amp;CZ47&amp;""",d31p:"""&amp;DA47&amp;""",d32t:"""&amp;DB47&amp;""",d32p:"""&amp;DC47&amp;""",d33t:"""&amp;DD47&amp;""",d33p:"""&amp;DE47&amp;""",d3w:"""&amp;DF47&amp;""",d3d:"""&amp;DG47&amp;"""}; "</f>
        <v>D6.scenario.defInput["i106"] = {  cons:"consHWshower",  title:"シャワー時間(夏）",  unit:"分/日",  text:"夏場に家族全員でシャワーを使う時間は、1日何分くらいですか。", inputType:"sel106", right:"", postfix:"", nodata:"", varType:"Number", min:"", max:"", defaultValue:"-1", d11t:"40",d11p:"0",d12t:"20",d12p:"1",d13t:"0",d13p:"2",d1w:"2",d1d:"0", d21t:"",d21p:"",d22t:"",d22p:"",d23t:"",d23p:"",d2w:"",d2d:"", d31t:"40",d31p:"0",d32t:"20",d32p:"1",d33t:"0",d33p:"2",d3w:"2",d3d:"0"}; </v>
      </c>
      <c r="DO47" s="110"/>
      <c r="DP47" s="110"/>
      <c r="DQ47" s="111" t="str">
        <f aca="false">"D6.scenario.defSelectValue["""&amp;U47&amp;"""]= [ """&amp;CLEAN(V47)&amp;""", """&amp;CLEAN(W47)&amp;IF(X47="","",""", """&amp;CLEAN(X47))&amp;IF(Y47="","",""", """&amp;CLEAN(Y47))&amp;IF(Z47="","",""", """&amp;CLEAN(Z47))&amp;IF(AA47="","",""", """&amp;CLEAN(AA47))&amp;IF(AB47="","",""", """&amp;CLEAN(AB47))&amp;IF(AC47="","",""", """&amp;CLEAN(AC47))&amp;IF(AD47="","",""", """&amp;CLEAN(AD47))&amp;IF(AE47="","",""", """&amp;CLEAN(AE47))&amp;IF(AF47="","",""", """&amp;CLEAN(AF47))&amp;IF(AG47="","",""", """&amp;CLEAN(AG47))&amp;IF(AH47="","",""", """&amp;CLEAN(AH47))&amp;IF(AI47="","",""", """&amp;CLEAN(AI47))&amp;IF(AJ47="","",""", """&amp;CLEAN(AJ47))&amp;IF(AK47="","",""", """&amp;CLEAN(AK47))&amp;""" ];"</f>
        <v>D6.scenario.defSelectValue["sel106"]= [ "選んで下さい", "使わない", "5分", "10分", "15分", "20分", "30分", "40分", "60分", "90分", "120分" ];</v>
      </c>
      <c r="DR47" s="112"/>
      <c r="DS47" s="112"/>
      <c r="DT47" s="112" t="str">
        <f aca="false">"D6.scenario.defSelectData['"&amp;U47&amp;"']= [ '"&amp;BC47&amp;"', '"&amp;BD47&amp;"', '"&amp;BE47&amp;IF(BF47="","","', '"&amp;BF47)&amp;IF(BG47="","","', '"&amp;BG47)&amp;IF(BH47="","","', '"&amp;BH47)&amp;IF(BI47="","","', '"&amp;BI47)&amp;IF(BJ47="","","', '"&amp;BJ47)&amp;IF(BK47="","","', '"&amp;BK47)&amp;IF(BL47="","","', '"&amp;BL47)&amp;IF(BM47="","","', '"&amp;BM47)&amp;IF(BN47="","","', '"&amp;BN47)&amp;IF(BO47="","","', '"&amp;BO47)&amp;IF(BP47="","","', '"&amp;BP47)&amp;IF(BQ47="","","', '"&amp;BQ47)&amp;IF(BR47="","","', '"&amp;BR47)&amp;"' ];"</f>
        <v>D6.scenario.defSelectData['sel106']= [ '-1', '0', '5', '10', '15', '20', '30', '40', '60', '90', '120' ];</v>
      </c>
    </row>
    <row r="48" s="88" customFormat="true" ht="43.5" hidden="false" customHeight="true" outlineLevel="0" collapsed="false">
      <c r="A48" s="66"/>
      <c r="B48" s="95" t="s">
        <v>1287</v>
      </c>
      <c r="C48" s="103" t="s">
        <v>1288</v>
      </c>
      <c r="D48" s="104" t="s">
        <v>1288</v>
      </c>
      <c r="E48" s="95" t="s">
        <v>230</v>
      </c>
      <c r="F48" s="103"/>
      <c r="G48" s="104"/>
      <c r="H48" s="103" t="s">
        <v>1289</v>
      </c>
      <c r="I48" s="104" t="s">
        <v>1288</v>
      </c>
      <c r="J48" s="103" t="str">
        <f aca="false">IF(K48="","",K48)</f>
        <v>sel107</v>
      </c>
      <c r="K48" s="104" t="str">
        <f aca="false">"sel"&amp;MID($B48,2,5)</f>
        <v>sel107</v>
      </c>
      <c r="L48" s="105"/>
      <c r="M48" s="105"/>
      <c r="N48" s="105"/>
      <c r="O48" s="95" t="s">
        <v>931</v>
      </c>
      <c r="P48" s="105"/>
      <c r="Q48" s="105"/>
      <c r="R48" s="95" t="n">
        <v>-1</v>
      </c>
      <c r="S48" s="66"/>
      <c r="T48" s="66"/>
      <c r="U48" s="106" t="str">
        <f aca="false">J48</f>
        <v>sel107</v>
      </c>
      <c r="V48" s="103" t="s">
        <v>979</v>
      </c>
      <c r="W48" s="103" t="s">
        <v>1290</v>
      </c>
      <c r="X48" s="103" t="s">
        <v>1291</v>
      </c>
      <c r="Y48" s="103" t="s">
        <v>1292</v>
      </c>
      <c r="Z48" s="103"/>
      <c r="AA48" s="103"/>
      <c r="AB48" s="103"/>
      <c r="AC48" s="103"/>
      <c r="AD48" s="103"/>
      <c r="AE48" s="103"/>
      <c r="AF48" s="103"/>
      <c r="AG48" s="103"/>
      <c r="AH48" s="103"/>
      <c r="AI48" s="103"/>
      <c r="AJ48" s="103"/>
      <c r="AK48" s="103"/>
      <c r="AL48" s="104" t="s">
        <v>979</v>
      </c>
      <c r="AM48" s="107" t="s">
        <v>1290</v>
      </c>
      <c r="AN48" s="107" t="s">
        <v>1291</v>
      </c>
      <c r="AO48" s="107" t="s">
        <v>1292</v>
      </c>
      <c r="AP48" s="104"/>
      <c r="AQ48" s="104"/>
      <c r="AR48" s="104"/>
      <c r="AS48" s="104"/>
      <c r="AT48" s="104"/>
      <c r="AU48" s="104"/>
      <c r="AV48" s="104"/>
      <c r="AW48" s="104"/>
      <c r="AX48" s="104"/>
      <c r="AY48" s="104"/>
      <c r="AZ48" s="104"/>
      <c r="BA48" s="104"/>
      <c r="BB48" s="66"/>
      <c r="BC48" s="113" t="n">
        <v>-1</v>
      </c>
      <c r="BD48" s="103" t="n">
        <v>8</v>
      </c>
      <c r="BE48" s="103" t="n">
        <v>4</v>
      </c>
      <c r="BF48" s="103" t="n">
        <v>0</v>
      </c>
      <c r="BG48" s="103"/>
      <c r="BH48" s="103"/>
      <c r="BI48" s="103"/>
      <c r="BJ48" s="103"/>
      <c r="BK48" s="103"/>
      <c r="BL48" s="103"/>
      <c r="BM48" s="103"/>
      <c r="BN48" s="103"/>
      <c r="BO48" s="103"/>
      <c r="BP48" s="103"/>
      <c r="BQ48" s="103"/>
      <c r="BR48" s="103"/>
      <c r="BS48" s="114" t="n">
        <v>-1</v>
      </c>
      <c r="BT48" s="104" t="n">
        <v>8</v>
      </c>
      <c r="BU48" s="104" t="n">
        <v>4</v>
      </c>
      <c r="BV48" s="104" t="n">
        <v>0</v>
      </c>
      <c r="BW48" s="104"/>
      <c r="BX48" s="104"/>
      <c r="BY48" s="104"/>
      <c r="BZ48" s="104"/>
      <c r="CA48" s="104"/>
      <c r="CB48" s="104"/>
      <c r="CC48" s="104"/>
      <c r="CD48" s="104"/>
      <c r="CE48" s="104"/>
      <c r="CF48" s="104"/>
      <c r="CG48" s="104"/>
      <c r="CH48" s="104"/>
      <c r="CJ48" s="95"/>
      <c r="CK48" s="95"/>
      <c r="CL48" s="95"/>
      <c r="CM48" s="95"/>
      <c r="CN48" s="95"/>
      <c r="CO48" s="95"/>
      <c r="CP48" s="95"/>
      <c r="CQ48" s="95"/>
      <c r="CR48" s="95"/>
      <c r="CS48" s="95"/>
      <c r="CT48" s="95"/>
      <c r="CU48" s="95"/>
      <c r="CV48" s="95"/>
      <c r="CW48" s="95"/>
      <c r="CX48" s="95"/>
      <c r="CY48" s="95"/>
      <c r="CZ48" s="95" t="n">
        <v>8</v>
      </c>
      <c r="DA48" s="95" t="n">
        <v>0</v>
      </c>
      <c r="DB48" s="95" t="n">
        <v>0</v>
      </c>
      <c r="DC48" s="95" t="n">
        <v>2</v>
      </c>
      <c r="DD48" s="95"/>
      <c r="DE48" s="95"/>
      <c r="DF48" s="95" t="n">
        <v>2</v>
      </c>
      <c r="DG48" s="95" t="n">
        <v>0</v>
      </c>
      <c r="DL48" s="108"/>
      <c r="DM48" s="108"/>
      <c r="DN48" s="109" t="str">
        <f aca="false">"D6.scenario.defInput["""&amp;B48&amp;"""] = {  "&amp;E$2&amp;":"""&amp;E48&amp;""",  "&amp;C$2&amp;":"""&amp;CLEAN(SUBSTITUTE(C48,"""",""""))&amp;""",  "&amp;F$2&amp;":"""&amp;F48&amp;""",  "&amp;H$2&amp;":"""&amp;CLEAN(SUBSTITUTE(H48,"""",""""))&amp;""", "&amp;J$2&amp;":"""&amp;J48&amp;""", "&amp;L$2&amp;":"""&amp;L48&amp;""", "&amp;M$2&amp;":"""&amp;M48&amp;""", "&amp;N$2&amp;":"""&amp;N48&amp;""", "&amp;O$2&amp;":"""&amp;O48&amp;""", "&amp;P$2&amp;":"""&amp;P48&amp;""", "&amp;Q$2&amp;":"""&amp;Q48&amp;""", "&amp;R$2&amp;":"""&amp;R48&amp;""", d11t:"""&amp;CJ48&amp;""",d11p:"""&amp;CK48&amp;""",d12t:"""&amp;CL48&amp;""",d12p:"""&amp;CM48&amp;""",d13t:"""&amp;CN48&amp;""",d13p:"""&amp;CO48&amp;""",d1w:"""&amp;CP48&amp;""",d1d:"""&amp;CQ48&amp;""", d21t:"""&amp;CR48&amp;""",d21p:"""&amp;CS48&amp;""",d22t:"""&amp;CT48&amp;""",d22p:"""&amp;CU48&amp;""",d23t:"""&amp;CV48&amp;""",d23p:"""&amp;CW48&amp;""",d2w:"""&amp;CX48&amp;""",d2d:"""&amp;CY48&amp;""", d31t:"""&amp;CZ48&amp;""",d31p:"""&amp;DA48&amp;""",d32t:"""&amp;DB48&amp;""",d32p:"""&amp;DC48&amp;""",d33t:"""&amp;DD48&amp;""",d33p:"""&amp;DE48&amp;""",d3w:"""&amp;DF48&amp;""",d3d:"""&amp;DG48&amp;"""}; "</f>
        <v>D6.scenario.defInput["i107"] = {  cons:"consHWtub",  title:"お湯はりの高さ",  unit:"",  text:"浴槽にどの高さまでお湯をためますか", inputType:"sel107", right:"", postfix:"", nodata:"", varType:"Number", min:"", max:"", defaultValue:"-1", d11t:"",d11p:"",d12t:"",d12p:"",d13t:"",d13p:"",d1w:"",d1d:"", d21t:"",d21p:"",d22t:"",d22p:"",d23t:"",d23p:"",d2w:"",d2d:"", d31t:"8",d31p:"0",d32t:"0",d32p:"2",d33t:"",d33p:"",d3w:"2",d3d:"0"}; </v>
      </c>
      <c r="DO48" s="110"/>
      <c r="DP48" s="110"/>
      <c r="DQ48" s="111" t="str">
        <f aca="false">"D6.scenario.defSelectValue["""&amp;U48&amp;"""]= [ """&amp;CLEAN(V48)&amp;""", """&amp;CLEAN(W48)&amp;IF(X48="","",""", """&amp;CLEAN(X48))&amp;IF(Y48="","",""", """&amp;CLEAN(Y48))&amp;IF(Z48="","",""", """&amp;CLEAN(Z48))&amp;IF(AA48="","",""", """&amp;CLEAN(AA48))&amp;IF(AB48="","",""", """&amp;CLEAN(AB48))&amp;IF(AC48="","",""", """&amp;CLEAN(AC48))&amp;IF(AD48="","",""", """&amp;CLEAN(AD48))&amp;IF(AE48="","",""", """&amp;CLEAN(AE48))&amp;IF(AF48="","",""", """&amp;CLEAN(AF48))&amp;IF(AG48="","",""", """&amp;CLEAN(AG48))&amp;IF(AH48="","",""", """&amp;CLEAN(AH48))&amp;IF(AI48="","",""", """&amp;CLEAN(AI48))&amp;IF(AJ48="","",""", """&amp;CLEAN(AJ48))&amp;IF(AK48="","",""", """&amp;CLEAN(AK48))&amp;""" ];"</f>
        <v>D6.scenario.defSelectValue["sel107"]= [ "選んで下さい", "肩までつかる程度", "半身浴", "お湯をはらない" ];</v>
      </c>
      <c r="DR48" s="112"/>
      <c r="DS48" s="112"/>
      <c r="DT48" s="112" t="str">
        <f aca="false">"D6.scenario.defSelectData['"&amp;U48&amp;"']= [ '"&amp;BC48&amp;"', '"&amp;BD48&amp;"', '"&amp;BE48&amp;IF(BF48="","","', '"&amp;BF48)&amp;IF(BG48="","","', '"&amp;BG48)&amp;IF(BH48="","","', '"&amp;BH48)&amp;IF(BI48="","","', '"&amp;BI48)&amp;IF(BJ48="","","', '"&amp;BJ48)&amp;IF(BK48="","","', '"&amp;BK48)&amp;IF(BL48="","","', '"&amp;BL48)&amp;IF(BM48="","","', '"&amp;BM48)&amp;IF(BN48="","","', '"&amp;BN48)&amp;IF(BO48="","","', '"&amp;BO48)&amp;IF(BP48="","","', '"&amp;BP48)&amp;IF(BQ48="","","', '"&amp;BQ48)&amp;IF(BR48="","","', '"&amp;BR48)&amp;"' ];"</f>
        <v>D6.scenario.defSelectData['sel107']= [ '-1', '8', '4', '0' ];</v>
      </c>
    </row>
    <row r="49" s="88" customFormat="true" ht="43.5" hidden="false" customHeight="true" outlineLevel="0" collapsed="false">
      <c r="A49" s="66"/>
      <c r="B49" s="95" t="s">
        <v>1293</v>
      </c>
      <c r="C49" s="103" t="s">
        <v>1294</v>
      </c>
      <c r="D49" s="104" t="s">
        <v>1294</v>
      </c>
      <c r="E49" s="95" t="s">
        <v>230</v>
      </c>
      <c r="F49" s="103" t="s">
        <v>1295</v>
      </c>
      <c r="G49" s="104" t="s">
        <v>1295</v>
      </c>
      <c r="H49" s="103" t="s">
        <v>1296</v>
      </c>
      <c r="I49" s="104" t="s">
        <v>1296</v>
      </c>
      <c r="J49" s="103" t="str">
        <f aca="false">IF(K49="","",K49)</f>
        <v>sel108</v>
      </c>
      <c r="K49" s="104" t="str">
        <f aca="false">"sel"&amp;MID($B49,2,5)</f>
        <v>sel108</v>
      </c>
      <c r="L49" s="105"/>
      <c r="M49" s="105"/>
      <c r="N49" s="105"/>
      <c r="O49" s="95" t="s">
        <v>931</v>
      </c>
      <c r="P49" s="105"/>
      <c r="Q49" s="105"/>
      <c r="R49" s="95" t="n">
        <v>-1</v>
      </c>
      <c r="S49" s="66"/>
      <c r="T49" s="66"/>
      <c r="U49" s="106" t="str">
        <f aca="false">J49</f>
        <v>sel108</v>
      </c>
      <c r="V49" s="103" t="s">
        <v>979</v>
      </c>
      <c r="W49" s="103" t="s">
        <v>1098</v>
      </c>
      <c r="X49" s="103" t="s">
        <v>1297</v>
      </c>
      <c r="Y49" s="103" t="s">
        <v>1298</v>
      </c>
      <c r="Z49" s="103" t="s">
        <v>1299</v>
      </c>
      <c r="AA49" s="103" t="s">
        <v>1300</v>
      </c>
      <c r="AB49" s="103" t="s">
        <v>1301</v>
      </c>
      <c r="AC49" s="103"/>
      <c r="AD49" s="103"/>
      <c r="AE49" s="103"/>
      <c r="AF49" s="103"/>
      <c r="AG49" s="103"/>
      <c r="AH49" s="103"/>
      <c r="AI49" s="103"/>
      <c r="AJ49" s="103"/>
      <c r="AK49" s="103"/>
      <c r="AL49" s="104" t="s">
        <v>979</v>
      </c>
      <c r="AM49" s="107" t="s">
        <v>1098</v>
      </c>
      <c r="AN49" s="104" t="s">
        <v>1297</v>
      </c>
      <c r="AO49" s="107" t="s">
        <v>1298</v>
      </c>
      <c r="AP49" s="104" t="s">
        <v>1299</v>
      </c>
      <c r="AQ49" s="104" t="s">
        <v>1300</v>
      </c>
      <c r="AR49" s="104" t="s">
        <v>1301</v>
      </c>
      <c r="AS49" s="104"/>
      <c r="AT49" s="104"/>
      <c r="AU49" s="104"/>
      <c r="AV49" s="104"/>
      <c r="AW49" s="104"/>
      <c r="AX49" s="104"/>
      <c r="AY49" s="104"/>
      <c r="AZ49" s="104"/>
      <c r="BA49" s="104"/>
      <c r="BB49" s="66"/>
      <c r="BC49" s="103" t="n">
        <v>-1</v>
      </c>
      <c r="BD49" s="103" t="n">
        <v>0</v>
      </c>
      <c r="BE49" s="103" t="n">
        <v>3</v>
      </c>
      <c r="BF49" s="103" t="n">
        <v>6</v>
      </c>
      <c r="BG49" s="103" t="n">
        <v>10</v>
      </c>
      <c r="BH49" s="103" t="n">
        <v>16</v>
      </c>
      <c r="BI49" s="103" t="n">
        <v>24</v>
      </c>
      <c r="BJ49" s="103"/>
      <c r="BK49" s="103"/>
      <c r="BL49" s="103"/>
      <c r="BM49" s="103"/>
      <c r="BN49" s="103"/>
      <c r="BO49" s="103"/>
      <c r="BP49" s="103"/>
      <c r="BQ49" s="103"/>
      <c r="BR49" s="103"/>
      <c r="BS49" s="104" t="n">
        <v>-1</v>
      </c>
      <c r="BT49" s="104" t="n">
        <v>0</v>
      </c>
      <c r="BU49" s="104" t="n">
        <v>3</v>
      </c>
      <c r="BV49" s="104" t="n">
        <v>6</v>
      </c>
      <c r="BW49" s="104" t="n">
        <v>10</v>
      </c>
      <c r="BX49" s="104" t="n">
        <v>16</v>
      </c>
      <c r="BY49" s="104" t="n">
        <v>24</v>
      </c>
      <c r="BZ49" s="104"/>
      <c r="CA49" s="104"/>
      <c r="CB49" s="104"/>
      <c r="CC49" s="104"/>
      <c r="CD49" s="104"/>
      <c r="CE49" s="104"/>
      <c r="CF49" s="104"/>
      <c r="CG49" s="104"/>
      <c r="CH49" s="104"/>
      <c r="CJ49" s="95"/>
      <c r="CK49" s="95"/>
      <c r="CL49" s="95"/>
      <c r="CM49" s="95"/>
      <c r="CN49" s="95"/>
      <c r="CO49" s="95"/>
      <c r="CP49" s="95"/>
      <c r="CQ49" s="95"/>
      <c r="CR49" s="95"/>
      <c r="CS49" s="95"/>
      <c r="CT49" s="95"/>
      <c r="CU49" s="95"/>
      <c r="CV49" s="95"/>
      <c r="CW49" s="95"/>
      <c r="CX49" s="95"/>
      <c r="CY49" s="95"/>
      <c r="CZ49" s="95" t="n">
        <v>10</v>
      </c>
      <c r="DA49" s="95" t="n">
        <v>0</v>
      </c>
      <c r="DB49" s="95" t="n">
        <v>4</v>
      </c>
      <c r="DC49" s="95" t="n">
        <v>1</v>
      </c>
      <c r="DD49" s="95" t="n">
        <v>0</v>
      </c>
      <c r="DE49" s="95" t="n">
        <v>2</v>
      </c>
      <c r="DF49" s="95" t="n">
        <v>1</v>
      </c>
      <c r="DG49" s="95" t="n">
        <v>0</v>
      </c>
      <c r="DL49" s="108"/>
      <c r="DM49" s="108"/>
      <c r="DN49" s="109" t="str">
        <f aca="false">"D6.scenario.defInput["""&amp;B49&amp;"""] = {  "&amp;E$2&amp;":"""&amp;E49&amp;""",  "&amp;C$2&amp;":"""&amp;CLEAN(SUBSTITUTE(C49,"""",""""))&amp;""",  "&amp;F$2&amp;":"""&amp;F49&amp;""",  "&amp;H$2&amp;":"""&amp;CLEAN(SUBSTITUTE(H49,"""",""""))&amp;""", "&amp;J$2&amp;":"""&amp;J49&amp;""", "&amp;L$2&amp;":"""&amp;L49&amp;""", "&amp;M$2&amp;":"""&amp;M49&amp;""", "&amp;N$2&amp;":"""&amp;N49&amp;""", "&amp;O$2&amp;":"""&amp;O49&amp;""", "&amp;P$2&amp;":"""&amp;P49&amp;""", "&amp;Q$2&amp;":"""&amp;Q49&amp;""", "&amp;R$2&amp;":"""&amp;R49&amp;""", d11t:"""&amp;CJ49&amp;""",d11p:"""&amp;CK49&amp;""",d12t:"""&amp;CL49&amp;""",d12p:"""&amp;CM49&amp;""",d13t:"""&amp;CN49&amp;""",d13p:"""&amp;CO49&amp;""",d1w:"""&amp;CP49&amp;""",d1d:"""&amp;CQ49&amp;""", d21t:"""&amp;CR49&amp;""",d21p:"""&amp;CS49&amp;""",d22t:"""&amp;CT49&amp;""",d22p:"""&amp;CU49&amp;""",d23t:"""&amp;CV49&amp;""",d23p:"""&amp;CW49&amp;""",d2w:"""&amp;CX49&amp;""",d2d:"""&amp;CY49&amp;""", d31t:"""&amp;CZ49&amp;""",d31p:"""&amp;DA49&amp;""",d32t:"""&amp;DB49&amp;""",d32p:"""&amp;DC49&amp;""",d33t:"""&amp;DD49&amp;""",d33p:"""&amp;DE49&amp;""",d3w:"""&amp;DF49&amp;""",d3d:"""&amp;DG49&amp;"""}; "</f>
        <v>D6.scenario.defInput["i108"] = {  cons:"consHWtub",  title:"浴槽の保温時間",  unit:"時間",  text:"風呂の保温を1日何時間していますか", inputType:"sel108", right:"", postfix:"", nodata:"", varType:"Number", min:"", max:"", defaultValue:"-1", d11t:"",d11p:"",d12t:"",d12p:"",d13t:"",d13p:"",d1w:"",d1d:"", d21t:"",d21p:"",d22t:"",d22p:"",d23t:"",d23p:"",d2w:"",d2d:"", d31t:"10",d31p:"0",d32t:"4",d32p:"1",d33t:"0",d33p:"2",d3w:"1",d3d:"0"}; </v>
      </c>
      <c r="DO49" s="110"/>
      <c r="DP49" s="110"/>
      <c r="DQ49" s="111" t="str">
        <f aca="false">"D6.scenario.defSelectValue["""&amp;U49&amp;"""]= [ """&amp;CLEAN(V49)&amp;""", """&amp;CLEAN(W49)&amp;IF(X49="","",""", """&amp;CLEAN(X49))&amp;IF(Y49="","",""", """&amp;CLEAN(Y49))&amp;IF(Z49="","",""", """&amp;CLEAN(Z49))&amp;IF(AA49="","",""", """&amp;CLEAN(AA49))&amp;IF(AB49="","",""", """&amp;CLEAN(AB49))&amp;IF(AC49="","",""", """&amp;CLEAN(AC49))&amp;IF(AD49="","",""", """&amp;CLEAN(AD49))&amp;IF(AE49="","",""", """&amp;CLEAN(AE49))&amp;IF(AF49="","",""", """&amp;CLEAN(AF49))&amp;IF(AG49="","",""", """&amp;CLEAN(AG49))&amp;IF(AH49="","",""", """&amp;CLEAN(AH49))&amp;IF(AI49="","",""", """&amp;CLEAN(AI49))&amp;IF(AJ49="","",""", """&amp;CLEAN(AJ49))&amp;IF(AK49="","",""", """&amp;CLEAN(AK49))&amp;""" ];"</f>
        <v>D6.scenario.defSelectValue["sel108"]= [ "選んで下さい", "していない", "3時間", "6時間", "10時間", "16時間", "24時間" ];</v>
      </c>
      <c r="DR49" s="112"/>
      <c r="DS49" s="112"/>
      <c r="DT49" s="112" t="str">
        <f aca="false">"D6.scenario.defSelectData['"&amp;U49&amp;"']= [ '"&amp;BC49&amp;"', '"&amp;BD49&amp;"', '"&amp;BE49&amp;IF(BF49="","","', '"&amp;BF49)&amp;IF(BG49="","","', '"&amp;BG49)&amp;IF(BH49="","","', '"&amp;BH49)&amp;IF(BI49="","","', '"&amp;BI49)&amp;IF(BJ49="","","', '"&amp;BJ49)&amp;IF(BK49="","","', '"&amp;BK49)&amp;IF(BL49="","","', '"&amp;BL49)&amp;IF(BM49="","","', '"&amp;BM49)&amp;IF(BN49="","","', '"&amp;BN49)&amp;IF(BO49="","","', '"&amp;BO49)&amp;IF(BP49="","","', '"&amp;BP49)&amp;IF(BQ49="","","', '"&amp;BQ49)&amp;IF(BR49="","","', '"&amp;BR49)&amp;"' ];"</f>
        <v>D6.scenario.defSelectData['sel108']= [ '-1', '0', '3', '6', '10', '16', '24' ];</v>
      </c>
    </row>
    <row r="50" s="88" customFormat="true" ht="43.5" hidden="false" customHeight="true" outlineLevel="0" collapsed="false">
      <c r="A50" s="66"/>
      <c r="B50" s="95" t="s">
        <v>1302</v>
      </c>
      <c r="C50" s="103" t="s">
        <v>1303</v>
      </c>
      <c r="D50" s="104" t="s">
        <v>1303</v>
      </c>
      <c r="E50" s="95" t="s">
        <v>230</v>
      </c>
      <c r="F50" s="103"/>
      <c r="G50" s="104"/>
      <c r="H50" s="103" t="s">
        <v>1304</v>
      </c>
      <c r="I50" s="104" t="s">
        <v>1304</v>
      </c>
      <c r="J50" s="103" t="str">
        <f aca="false">IF(K50="","",K50)</f>
        <v>sel109</v>
      </c>
      <c r="K50" s="104" t="str">
        <f aca="false">"sel"&amp;MID($B50,2,5)</f>
        <v>sel109</v>
      </c>
      <c r="L50" s="105"/>
      <c r="M50" s="105"/>
      <c r="N50" s="105"/>
      <c r="O50" s="95" t="s">
        <v>931</v>
      </c>
      <c r="P50" s="105"/>
      <c r="Q50" s="105"/>
      <c r="R50" s="95" t="n">
        <v>-1</v>
      </c>
      <c r="S50" s="66"/>
      <c r="T50" s="66"/>
      <c r="U50" s="106" t="str">
        <f aca="false">J50</f>
        <v>sel109</v>
      </c>
      <c r="V50" s="103" t="s">
        <v>979</v>
      </c>
      <c r="W50" s="103" t="s">
        <v>1305</v>
      </c>
      <c r="X50" s="103" t="s">
        <v>1306</v>
      </c>
      <c r="Y50" s="103" t="s">
        <v>1307</v>
      </c>
      <c r="Z50" s="103" t="s">
        <v>1062</v>
      </c>
      <c r="AA50" s="103"/>
      <c r="AB50" s="103"/>
      <c r="AC50" s="103"/>
      <c r="AD50" s="103"/>
      <c r="AE50" s="103"/>
      <c r="AF50" s="103"/>
      <c r="AG50" s="103"/>
      <c r="AH50" s="103"/>
      <c r="AI50" s="103"/>
      <c r="AJ50" s="103"/>
      <c r="AK50" s="103"/>
      <c r="AL50" s="104" t="s">
        <v>979</v>
      </c>
      <c r="AM50" s="107" t="s">
        <v>1305</v>
      </c>
      <c r="AN50" s="107" t="s">
        <v>1306</v>
      </c>
      <c r="AO50" s="107" t="s">
        <v>1307</v>
      </c>
      <c r="AP50" s="107" t="s">
        <v>1062</v>
      </c>
      <c r="AQ50" s="104"/>
      <c r="AR50" s="104"/>
      <c r="AS50" s="104"/>
      <c r="AT50" s="104"/>
      <c r="AU50" s="104"/>
      <c r="AV50" s="104"/>
      <c r="AW50" s="104"/>
      <c r="AX50" s="104"/>
      <c r="AY50" s="104"/>
      <c r="AZ50" s="104"/>
      <c r="BA50" s="104"/>
      <c r="BB50" s="66"/>
      <c r="BC50" s="113" t="n">
        <v>-1</v>
      </c>
      <c r="BD50" s="103" t="n">
        <v>10</v>
      </c>
      <c r="BE50" s="103" t="n">
        <v>5</v>
      </c>
      <c r="BF50" s="103" t="n">
        <v>2</v>
      </c>
      <c r="BG50" s="103" t="n">
        <v>0</v>
      </c>
      <c r="BH50" s="103"/>
      <c r="BI50" s="103"/>
      <c r="BJ50" s="103"/>
      <c r="BK50" s="103"/>
      <c r="BL50" s="103"/>
      <c r="BM50" s="103"/>
      <c r="BN50" s="103"/>
      <c r="BO50" s="103"/>
      <c r="BP50" s="103"/>
      <c r="BQ50" s="103"/>
      <c r="BR50" s="103"/>
      <c r="BS50" s="114" t="n">
        <v>-1</v>
      </c>
      <c r="BT50" s="104" t="n">
        <v>10</v>
      </c>
      <c r="BU50" s="104" t="n">
        <v>5</v>
      </c>
      <c r="BV50" s="104" t="n">
        <v>2</v>
      </c>
      <c r="BW50" s="104" t="n">
        <v>0</v>
      </c>
      <c r="BX50" s="104"/>
      <c r="BY50" s="104"/>
      <c r="BZ50" s="104"/>
      <c r="CA50" s="104"/>
      <c r="CB50" s="104"/>
      <c r="CC50" s="104"/>
      <c r="CD50" s="104"/>
      <c r="CE50" s="104"/>
      <c r="CF50" s="104"/>
      <c r="CG50" s="104"/>
      <c r="CH50" s="104"/>
      <c r="CJ50" s="95"/>
      <c r="CK50" s="95"/>
      <c r="CL50" s="95"/>
      <c r="CM50" s="95"/>
      <c r="CN50" s="95"/>
      <c r="CO50" s="95"/>
      <c r="CP50" s="95"/>
      <c r="CQ50" s="95"/>
      <c r="CR50" s="95"/>
      <c r="CS50" s="95"/>
      <c r="CT50" s="95"/>
      <c r="CU50" s="95"/>
      <c r="CV50" s="95"/>
      <c r="CW50" s="95"/>
      <c r="CX50" s="95"/>
      <c r="CY50" s="95"/>
      <c r="CZ50" s="95"/>
      <c r="DA50" s="95"/>
      <c r="DB50" s="95"/>
      <c r="DC50" s="95"/>
      <c r="DD50" s="95"/>
      <c r="DE50" s="95"/>
      <c r="DF50" s="95"/>
      <c r="DG50" s="95"/>
      <c r="DL50" s="108"/>
      <c r="DM50" s="108"/>
      <c r="DN50" s="109" t="str">
        <f aca="false">"D6.scenario.defInput["""&amp;B50&amp;"""] = {  "&amp;E$2&amp;":"""&amp;E50&amp;""",  "&amp;C$2&amp;":"""&amp;CLEAN(SUBSTITUTE(C50,"""",""""))&amp;""",  "&amp;F$2&amp;":"""&amp;F50&amp;""",  "&amp;H$2&amp;":"""&amp;CLEAN(SUBSTITUTE(H50,"""",""""))&amp;""", "&amp;J$2&amp;":"""&amp;J50&amp;""", "&amp;L$2&amp;":"""&amp;L50&amp;""", "&amp;M$2&amp;":"""&amp;M50&amp;""", "&amp;N$2&amp;":"""&amp;N50&amp;""", "&amp;O$2&amp;":"""&amp;O50&amp;""", "&amp;P$2&amp;":"""&amp;P50&amp;""", "&amp;Q$2&amp;":"""&amp;Q50&amp;""", "&amp;R$2&amp;":"""&amp;R50&amp;""", d11t:"""&amp;CJ50&amp;""",d11p:"""&amp;CK50&amp;""",d12t:"""&amp;CL50&amp;""",d12p:"""&amp;CM50&amp;""",d13t:"""&amp;CN50&amp;""",d13p:"""&amp;CO50&amp;""",d1w:"""&amp;CP50&amp;""",d1d:"""&amp;CQ50&amp;""", d21t:"""&amp;CR50&amp;""",d21p:"""&amp;CS50&amp;""",d22t:"""&amp;CT50&amp;""",d22p:"""&amp;CU50&amp;""",d23t:"""&amp;CV50&amp;""",d23p:"""&amp;CW50&amp;""",d2w:"""&amp;CX50&amp;""",d2d:"""&amp;CY50&amp;""", d31t:"""&amp;CZ50&amp;""",d31p:"""&amp;DA50&amp;""",d32t:"""&amp;DB50&amp;""",d32p:"""&amp;DC50&amp;""",d33t:"""&amp;DD50&amp;""",d33p:"""&amp;DE50&amp;""",d3w:"""&amp;DF50&amp;""",d3d:"""&amp;DG50&amp;"""}; "</f>
        <v>D6.scenario.defInput["i109"] = {  cons:"consHWtub",  title:"浴槽のお湯で体を洗う",  unit:"",  text:"浴槽にためてあるときは浴槽のお湯を使いますか", inputType:"sel109", right:"", postfix:"", nodata:"", varType:"Number", min:"", max:"", defaultValue:"-1", d11t:"",d11p:"",d12t:"",d12p:"",d13t:"",d13p:"",d1w:"",d1d:"", d21t:"",d21p:"",d22t:"",d22p:"",d23t:"",d23p:"",d2w:"",d2d:"", d31t:"",d31p:"",d32t:"",d32p:"",d33t:"",d33p:"",d3w:"",d3d:""}; </v>
      </c>
      <c r="DO50" s="110"/>
      <c r="DP50" s="110"/>
      <c r="DQ50" s="111" t="str">
        <f aca="false">"D6.scenario.defSelectValue["""&amp;U50&amp;"""]= [ """&amp;CLEAN(V50)&amp;""", """&amp;CLEAN(W50)&amp;IF(X50="","",""", """&amp;CLEAN(X50))&amp;IF(Y50="","",""", """&amp;CLEAN(Y50))&amp;IF(Z50="","",""", """&amp;CLEAN(Z50))&amp;IF(AA50="","",""", """&amp;CLEAN(AA50))&amp;IF(AB50="","",""", """&amp;CLEAN(AB50))&amp;IF(AC50="","",""", """&amp;CLEAN(AC50))&amp;IF(AD50="","",""", """&amp;CLEAN(AD50))&amp;IF(AE50="","",""", """&amp;CLEAN(AE50))&amp;IF(AF50="","",""", """&amp;CLEAN(AF50))&amp;IF(AG50="","",""", """&amp;CLEAN(AG50))&amp;IF(AH50="","",""", """&amp;CLEAN(AH50))&amp;IF(AI50="","",""", """&amp;CLEAN(AI50))&amp;IF(AJ50="","",""", """&amp;CLEAN(AJ50))&amp;IF(AK50="","",""", """&amp;CLEAN(AK50))&amp;""" ];"</f>
        <v>D6.scenario.defSelectValue["sel109"]= [ "選んで下さい", "浴槽のお湯を使う", "半々くらい", "シャワーを使う", "わからない" ];</v>
      </c>
      <c r="DR50" s="112"/>
      <c r="DS50" s="112"/>
      <c r="DT50" s="112" t="str">
        <f aca="false">"D6.scenario.defSelectData['"&amp;U50&amp;"']= [ '"&amp;BC50&amp;"', '"&amp;BD50&amp;"', '"&amp;BE50&amp;IF(BF50="","","', '"&amp;BF50)&amp;IF(BG50="","","', '"&amp;BG50)&amp;IF(BH50="","","', '"&amp;BH50)&amp;IF(BI50="","","', '"&amp;BI50)&amp;IF(BJ50="","","', '"&amp;BJ50)&amp;IF(BK50="","","', '"&amp;BK50)&amp;IF(BL50="","","', '"&amp;BL50)&amp;IF(BM50="","","', '"&amp;BM50)&amp;IF(BN50="","","', '"&amp;BN50)&amp;IF(BO50="","","', '"&amp;BO50)&amp;IF(BP50="","","', '"&amp;BP50)&amp;IF(BQ50="","","', '"&amp;BQ50)&amp;IF(BR50="","","', '"&amp;BR50)&amp;"' ];"</f>
        <v>D6.scenario.defSelectData['sel109']= [ '-1', '10', '5', '2', '0' ];</v>
      </c>
    </row>
    <row r="51" s="88" customFormat="true" ht="43.5" hidden="false" customHeight="true" outlineLevel="0" collapsed="false">
      <c r="A51" s="66"/>
      <c r="B51" s="95" t="s">
        <v>1308</v>
      </c>
      <c r="C51" s="103" t="s">
        <v>1309</v>
      </c>
      <c r="D51" s="104" t="s">
        <v>1309</v>
      </c>
      <c r="E51" s="95" t="s">
        <v>230</v>
      </c>
      <c r="F51" s="103" t="s">
        <v>1310</v>
      </c>
      <c r="G51" s="104" t="s">
        <v>1310</v>
      </c>
      <c r="H51" s="103" t="s">
        <v>1311</v>
      </c>
      <c r="I51" s="104" t="s">
        <v>1311</v>
      </c>
      <c r="J51" s="103" t="str">
        <f aca="false">IF(K51="","",K51)</f>
        <v>sel110</v>
      </c>
      <c r="K51" s="104" t="str">
        <f aca="false">"sel"&amp;MID($B51,2,5)</f>
        <v>sel110</v>
      </c>
      <c r="L51" s="105"/>
      <c r="M51" s="105"/>
      <c r="N51" s="105"/>
      <c r="O51" s="95" t="s">
        <v>931</v>
      </c>
      <c r="P51" s="105"/>
      <c r="Q51" s="105"/>
      <c r="R51" s="95" t="n">
        <v>-1</v>
      </c>
      <c r="S51" s="66"/>
      <c r="T51" s="66"/>
      <c r="U51" s="106" t="str">
        <f aca="false">J51</f>
        <v>sel110</v>
      </c>
      <c r="V51" s="103" t="s">
        <v>979</v>
      </c>
      <c r="W51" s="103" t="s">
        <v>1312</v>
      </c>
      <c r="X51" s="103" t="s">
        <v>1313</v>
      </c>
      <c r="Y51" s="103" t="s">
        <v>1314</v>
      </c>
      <c r="Z51" s="103" t="s">
        <v>1062</v>
      </c>
      <c r="AA51" s="103"/>
      <c r="AB51" s="103"/>
      <c r="AC51" s="103"/>
      <c r="AD51" s="103"/>
      <c r="AE51" s="103"/>
      <c r="AF51" s="103"/>
      <c r="AG51" s="103"/>
      <c r="AH51" s="103"/>
      <c r="AI51" s="103"/>
      <c r="AJ51" s="103"/>
      <c r="AK51" s="103"/>
      <c r="AL51" s="104" t="s">
        <v>979</v>
      </c>
      <c r="AM51" s="107" t="s">
        <v>1312</v>
      </c>
      <c r="AN51" s="107" t="s">
        <v>1313</v>
      </c>
      <c r="AO51" s="104" t="s">
        <v>1314</v>
      </c>
      <c r="AP51" s="104" t="s">
        <v>1062</v>
      </c>
      <c r="AQ51" s="104"/>
      <c r="AR51" s="104"/>
      <c r="AS51" s="104"/>
      <c r="AT51" s="104"/>
      <c r="AU51" s="104"/>
      <c r="AV51" s="104"/>
      <c r="AW51" s="104"/>
      <c r="AX51" s="104"/>
      <c r="AY51" s="104"/>
      <c r="AZ51" s="104"/>
      <c r="BA51" s="104"/>
      <c r="BB51" s="66"/>
      <c r="BC51" s="113" t="n">
        <v>-1</v>
      </c>
      <c r="BD51" s="103" t="n">
        <v>10</v>
      </c>
      <c r="BE51" s="103" t="n">
        <v>5</v>
      </c>
      <c r="BF51" s="103" t="n">
        <v>5</v>
      </c>
      <c r="BG51" s="103" t="n">
        <v>0</v>
      </c>
      <c r="BH51" s="103"/>
      <c r="BI51" s="103"/>
      <c r="BJ51" s="103"/>
      <c r="BK51" s="103"/>
      <c r="BL51" s="103"/>
      <c r="BM51" s="103"/>
      <c r="BN51" s="103"/>
      <c r="BO51" s="103"/>
      <c r="BP51" s="103"/>
      <c r="BQ51" s="103"/>
      <c r="BR51" s="103"/>
      <c r="BS51" s="114" t="n">
        <v>-1</v>
      </c>
      <c r="BT51" s="104" t="n">
        <v>10</v>
      </c>
      <c r="BU51" s="104" t="n">
        <v>5</v>
      </c>
      <c r="BV51" s="104" t="n">
        <v>5</v>
      </c>
      <c r="BW51" s="104" t="n">
        <v>0</v>
      </c>
      <c r="BX51" s="104"/>
      <c r="BY51" s="104"/>
      <c r="BZ51" s="104"/>
      <c r="CA51" s="104"/>
      <c r="CB51" s="104"/>
      <c r="CC51" s="104"/>
      <c r="CD51" s="104"/>
      <c r="CE51" s="104"/>
      <c r="CF51" s="104"/>
      <c r="CG51" s="104"/>
      <c r="CH51" s="104"/>
      <c r="CJ51" s="95"/>
      <c r="CK51" s="95"/>
      <c r="CL51" s="95"/>
      <c r="CM51" s="95"/>
      <c r="CN51" s="95"/>
      <c r="CO51" s="95"/>
      <c r="CP51" s="95"/>
      <c r="CQ51" s="95"/>
      <c r="CR51" s="95"/>
      <c r="CS51" s="95"/>
      <c r="CT51" s="95"/>
      <c r="CU51" s="95"/>
      <c r="CV51" s="95"/>
      <c r="CW51" s="95"/>
      <c r="CX51" s="95"/>
      <c r="CY51" s="95"/>
      <c r="CZ51" s="95" t="n">
        <v>10</v>
      </c>
      <c r="DA51" s="95" t="n">
        <v>0</v>
      </c>
      <c r="DB51" s="95" t="n">
        <v>0</v>
      </c>
      <c r="DC51" s="95" t="n">
        <v>2</v>
      </c>
      <c r="DD51" s="95"/>
      <c r="DE51" s="95"/>
      <c r="DF51" s="95" t="n">
        <v>1</v>
      </c>
      <c r="DG51" s="95" t="n">
        <v>0</v>
      </c>
      <c r="DL51" s="108"/>
      <c r="DM51" s="108"/>
      <c r="DN51" s="109" t="str">
        <f aca="false">"D6.scenario.defInput["""&amp;B51&amp;"""] = {  "&amp;E$2&amp;":"""&amp;E51&amp;""",  "&amp;C$2&amp;":"""&amp;CLEAN(SUBSTITUTE(C51,"""",""""))&amp;""",  "&amp;F$2&amp;":"""&amp;F51&amp;""",  "&amp;H$2&amp;":"""&amp;CLEAN(SUBSTITUTE(H51,"""",""""))&amp;""", "&amp;J$2&amp;":"""&amp;J51&amp;""", "&amp;L$2&amp;":"""&amp;L51&amp;""", "&amp;M$2&amp;":"""&amp;M51&amp;""", "&amp;N$2&amp;":"""&amp;N51&amp;""", "&amp;O$2&amp;":"""&amp;O51&amp;""", "&amp;P$2&amp;":"""&amp;P51&amp;""", "&amp;Q$2&amp;":"""&amp;Q51&amp;""", "&amp;R$2&amp;":"""&amp;R51&amp;""", d11t:"""&amp;CJ51&amp;""",d11p:"""&amp;CK51&amp;""",d12t:"""&amp;CL51&amp;""",d12p:"""&amp;CM51&amp;""",d13t:"""&amp;CN51&amp;""",d13p:"""&amp;CO51&amp;""",d1w:"""&amp;CP51&amp;""",d1d:"""&amp;CQ51&amp;""", d21t:"""&amp;CR51&amp;""",d21p:"""&amp;CS51&amp;""",d22t:"""&amp;CT51&amp;""",d22p:"""&amp;CU51&amp;""",d23t:"""&amp;CV51&amp;""",d23p:"""&amp;CW51&amp;""",d2w:"""&amp;CX51&amp;""",d2d:"""&amp;CY51&amp;""", d31t:"""&amp;CZ51&amp;""",d31p:"""&amp;DA51&amp;""",d32t:"""&amp;DB51&amp;""",d32p:"""&amp;DC51&amp;""",d33t:"""&amp;DD51&amp;""",d33p:"""&amp;DE51&amp;""",d3w:"""&amp;DF51&amp;""",d3d:"""&amp;DG51&amp;"""}; "</f>
        <v>D6.scenario.defInput["i110"] = {  cons:"consHWtub",  title:"風呂のお湯を温め直す方法",  unit:"割",  text:"追い焚きはどのようにしていますか", inputType:"sel110", right:"", postfix:"", nodata:"", varType:"Number", min:"", max:"", defaultValue:"-1", d11t:"",d11p:"",d12t:"",d12p:"",d13t:"",d13p:"",d1w:"",d1d:"", d21t:"",d21p:"",d22t:"",d22p:"",d23t:"",d23p:"",d2w:"",d2d:"", d31t:"10",d31p:"0",d32t:"0",d32p:"2",d33t:"",d33p:"",d3w:"1",d3d:"0"}; </v>
      </c>
      <c r="DO51" s="110"/>
      <c r="DP51" s="110"/>
      <c r="DQ51" s="111" t="str">
        <f aca="false">"D6.scenario.defSelectValue["""&amp;U51&amp;"""]= [ """&amp;CLEAN(V51)&amp;""", """&amp;CLEAN(W51)&amp;IF(X51="","",""", """&amp;CLEAN(X51))&amp;IF(Y51="","",""", """&amp;CLEAN(Y51))&amp;IF(Z51="","",""", """&amp;CLEAN(Z51))&amp;IF(AA51="","",""", """&amp;CLEAN(AA51))&amp;IF(AB51="","",""", """&amp;CLEAN(AB51))&amp;IF(AC51="","",""", """&amp;CLEAN(AC51))&amp;IF(AD51="","",""", """&amp;CLEAN(AD51))&amp;IF(AE51="","",""", """&amp;CLEAN(AE51))&amp;IF(AF51="","",""", """&amp;CLEAN(AF51))&amp;IF(AG51="","",""", """&amp;CLEAN(AG51))&amp;IF(AH51="","",""", """&amp;CLEAN(AH51))&amp;IF(AI51="","",""", """&amp;CLEAN(AI51))&amp;IF(AJ51="","",""", """&amp;CLEAN(AJ51))&amp;IF(AK51="","",""", """&amp;CLEAN(AK51))&amp;""" ];"</f>
        <v>D6.scenario.defSelectValue["sel110"]= [ "選んで下さい", "常に自動で追い焚きをしている", "必要に応じて追い焚きをする", "必要に応じて注ぎ湯をする", "わからない" ];</v>
      </c>
      <c r="DR51" s="112"/>
      <c r="DS51" s="112"/>
      <c r="DT51" s="112" t="str">
        <f aca="false">"D6.scenario.defSelectData['"&amp;U51&amp;"']= [ '"&amp;BC51&amp;"', '"&amp;BD51&amp;"', '"&amp;BE51&amp;IF(BF51="","","', '"&amp;BF51)&amp;IF(BG51="","","', '"&amp;BG51)&amp;IF(BH51="","","', '"&amp;BH51)&amp;IF(BI51="","","', '"&amp;BI51)&amp;IF(BJ51="","","', '"&amp;BJ51)&amp;IF(BK51="","","', '"&amp;BK51)&amp;IF(BL51="","","', '"&amp;BL51)&amp;IF(BM51="","","', '"&amp;BM51)&amp;IF(BN51="","","', '"&amp;BN51)&amp;IF(BO51="","","', '"&amp;BO51)&amp;IF(BP51="","","', '"&amp;BP51)&amp;IF(BQ51="","","', '"&amp;BQ51)&amp;IF(BR51="","","', '"&amp;BR51)&amp;"' ];"</f>
        <v>D6.scenario.defSelectData['sel110']= [ '-1', '10', '5', '5', '0' ];</v>
      </c>
    </row>
    <row r="52" s="88" customFormat="true" ht="43.5" hidden="false" customHeight="true" outlineLevel="0" collapsed="false">
      <c r="A52" s="66"/>
      <c r="B52" s="95" t="s">
        <v>1315</v>
      </c>
      <c r="C52" s="103" t="s">
        <v>1316</v>
      </c>
      <c r="D52" s="104" t="s">
        <v>1316</v>
      </c>
      <c r="E52" s="95" t="s">
        <v>230</v>
      </c>
      <c r="F52" s="103" t="s">
        <v>1310</v>
      </c>
      <c r="G52" s="104" t="s">
        <v>1310</v>
      </c>
      <c r="H52" s="103" t="s">
        <v>1317</v>
      </c>
      <c r="I52" s="104" t="s">
        <v>1317</v>
      </c>
      <c r="J52" s="103" t="str">
        <f aca="false">IF(K52="","",K52)</f>
        <v>sel111</v>
      </c>
      <c r="K52" s="104" t="str">
        <f aca="false">"sel"&amp;MID($B52,2,5)</f>
        <v>sel111</v>
      </c>
      <c r="L52" s="105"/>
      <c r="M52" s="105"/>
      <c r="N52" s="105"/>
      <c r="O52" s="95" t="s">
        <v>931</v>
      </c>
      <c r="P52" s="105"/>
      <c r="Q52" s="105"/>
      <c r="R52" s="95" t="n">
        <v>-1</v>
      </c>
      <c r="S52" s="66"/>
      <c r="T52" s="66"/>
      <c r="U52" s="106" t="str">
        <f aca="false">J52</f>
        <v>sel111</v>
      </c>
      <c r="V52" s="103" t="s">
        <v>979</v>
      </c>
      <c r="W52" s="103" t="s">
        <v>1318</v>
      </c>
      <c r="X52" s="103" t="s">
        <v>1314</v>
      </c>
      <c r="Y52" s="103" t="s">
        <v>1319</v>
      </c>
      <c r="Z52" s="103" t="s">
        <v>1320</v>
      </c>
      <c r="AA52" s="103" t="s">
        <v>1062</v>
      </c>
      <c r="AB52" s="103"/>
      <c r="AC52" s="103"/>
      <c r="AD52" s="103"/>
      <c r="AE52" s="103"/>
      <c r="AF52" s="103"/>
      <c r="AG52" s="103"/>
      <c r="AH52" s="103"/>
      <c r="AI52" s="103"/>
      <c r="AJ52" s="103"/>
      <c r="AK52" s="103"/>
      <c r="AL52" s="104" t="s">
        <v>979</v>
      </c>
      <c r="AM52" s="104" t="s">
        <v>1318</v>
      </c>
      <c r="AN52" s="107" t="s">
        <v>1314</v>
      </c>
      <c r="AO52" s="107" t="s">
        <v>1319</v>
      </c>
      <c r="AP52" s="107" t="s">
        <v>1320</v>
      </c>
      <c r="AQ52" s="104" t="s">
        <v>1062</v>
      </c>
      <c r="AR52" s="104"/>
      <c r="AS52" s="104"/>
      <c r="AT52" s="104"/>
      <c r="AU52" s="104"/>
      <c r="AV52" s="104"/>
      <c r="AW52" s="104"/>
      <c r="AX52" s="104"/>
      <c r="AY52" s="104"/>
      <c r="AZ52" s="104"/>
      <c r="BA52" s="104"/>
      <c r="BB52" s="66"/>
      <c r="BC52" s="113" t="n">
        <v>-1</v>
      </c>
      <c r="BD52" s="103" t="n">
        <v>10</v>
      </c>
      <c r="BE52" s="103" t="n">
        <v>5</v>
      </c>
      <c r="BF52" s="103" t="n">
        <v>0</v>
      </c>
      <c r="BG52" s="103" t="n">
        <v>5</v>
      </c>
      <c r="BH52" s="103" t="n">
        <v>5</v>
      </c>
      <c r="BI52" s="103"/>
      <c r="BJ52" s="103"/>
      <c r="BK52" s="103"/>
      <c r="BL52" s="103"/>
      <c r="BM52" s="103"/>
      <c r="BN52" s="103"/>
      <c r="BO52" s="103"/>
      <c r="BP52" s="103"/>
      <c r="BQ52" s="103"/>
      <c r="BR52" s="103"/>
      <c r="BS52" s="114" t="n">
        <v>-1</v>
      </c>
      <c r="BT52" s="104" t="n">
        <v>10</v>
      </c>
      <c r="BU52" s="104" t="n">
        <v>5</v>
      </c>
      <c r="BV52" s="104" t="n">
        <v>0</v>
      </c>
      <c r="BW52" s="104" t="n">
        <v>5</v>
      </c>
      <c r="BX52" s="104" t="n">
        <v>5</v>
      </c>
      <c r="BY52" s="104"/>
      <c r="BZ52" s="104"/>
      <c r="CA52" s="104"/>
      <c r="CB52" s="104"/>
      <c r="CC52" s="104"/>
      <c r="CD52" s="104"/>
      <c r="CE52" s="104"/>
      <c r="CF52" s="104"/>
      <c r="CG52" s="104"/>
      <c r="CH52" s="104"/>
      <c r="CJ52" s="95"/>
      <c r="CK52" s="95"/>
      <c r="CL52" s="95"/>
      <c r="CM52" s="95"/>
      <c r="CN52" s="95"/>
      <c r="CO52" s="95"/>
      <c r="CP52" s="95"/>
      <c r="CQ52" s="95"/>
      <c r="CR52" s="95"/>
      <c r="CS52" s="95"/>
      <c r="CT52" s="95"/>
      <c r="CU52" s="95"/>
      <c r="CV52" s="95"/>
      <c r="CW52" s="95"/>
      <c r="CX52" s="95"/>
      <c r="CY52" s="95"/>
      <c r="CZ52" s="95"/>
      <c r="DA52" s="95"/>
      <c r="DB52" s="95"/>
      <c r="DC52" s="95"/>
      <c r="DD52" s="95"/>
      <c r="DE52" s="95"/>
      <c r="DF52" s="95"/>
      <c r="DG52" s="95"/>
      <c r="DL52" s="108"/>
      <c r="DM52" s="108"/>
      <c r="DN52" s="109" t="str">
        <f aca="false">"D6.scenario.defInput["""&amp;B52&amp;"""] = {  "&amp;E$2&amp;":"""&amp;E52&amp;""",  "&amp;C$2&amp;":"""&amp;CLEAN(SUBSTITUTE(C52,"""",""""))&amp;""",  "&amp;F$2&amp;":"""&amp;F52&amp;""",  "&amp;H$2&amp;":"""&amp;CLEAN(SUBSTITUTE(H52,"""",""""))&amp;""", "&amp;J$2&amp;":"""&amp;J52&amp;""", "&amp;L$2&amp;":"""&amp;L52&amp;""", "&amp;M$2&amp;":"""&amp;M52&amp;""", "&amp;N$2&amp;":"""&amp;N52&amp;""", "&amp;O$2&amp;":"""&amp;O52&amp;""", "&amp;P$2&amp;":"""&amp;P52&amp;""", "&amp;Q$2&amp;":"""&amp;Q52&amp;""", "&amp;R$2&amp;":"""&amp;R52&amp;""", d11t:"""&amp;CJ52&amp;""",d11p:"""&amp;CK52&amp;""",d12t:"""&amp;CL52&amp;""",d12p:"""&amp;CM52&amp;""",d13t:"""&amp;CN52&amp;""",d13p:"""&amp;CO52&amp;""",d1w:"""&amp;CP52&amp;""",d1d:"""&amp;CQ52&amp;""", d21t:"""&amp;CR52&amp;""",d21p:"""&amp;CS52&amp;""",d22t:"""&amp;CT52&amp;""",d22p:"""&amp;CU52&amp;""",d23t:"""&amp;CV52&amp;""",d23p:"""&amp;CW52&amp;""",d2w:"""&amp;CX52&amp;""",d2d:"""&amp;CY52&amp;""", d31t:"""&amp;CZ52&amp;""",d31p:"""&amp;DA52&amp;""",d32t:"""&amp;DB52&amp;""",d32p:"""&amp;DC52&amp;""",d33t:"""&amp;DD52&amp;""",d33p:"""&amp;DE52&amp;""",d3w:"""&amp;DF52&amp;""",d3d:"""&amp;DG52&amp;"""}; "</f>
        <v>D6.scenario.defInput["i111"] = {  cons:"consHWtub",  title:"風呂のお湯が少なくなったとき",  unit:"割",  text:"浴槽のお湯が少なくなったときにどうしますか", inputType:"sel111", right:"", postfix:"", nodata:"", varType:"Number", min:"", max:"", defaultValue:"-1", d11t:"",d11p:"",d12t:"",d12p:"",d13t:"",d13p:"",d1w:"",d1d:"", d21t:"",d21p:"",d22t:"",d22p:"",d23t:"",d23p:"",d2w:"",d2d:"", d31t:"",d31p:"",d32t:"",d32p:"",d33t:"",d33p:"",d3w:"",d3d:""}; </v>
      </c>
      <c r="DO52" s="110"/>
      <c r="DP52" s="110"/>
      <c r="DQ52" s="111" t="str">
        <f aca="false">"D6.scenario.defSelectValue["""&amp;U52&amp;"""]= [ """&amp;CLEAN(V52)&amp;""", """&amp;CLEAN(W52)&amp;IF(X52="","",""", """&amp;CLEAN(X52))&amp;IF(Y52="","",""", """&amp;CLEAN(Y52))&amp;IF(Z52="","",""", """&amp;CLEAN(Z52))&amp;IF(AA52="","",""", """&amp;CLEAN(AA52))&amp;IF(AB52="","",""", """&amp;CLEAN(AB52))&amp;IF(AC52="","",""", """&amp;CLEAN(AC52))&amp;IF(AD52="","",""", """&amp;CLEAN(AD52))&amp;IF(AE52="","",""", """&amp;CLEAN(AE52))&amp;IF(AF52="","",""", """&amp;CLEAN(AF52))&amp;IF(AG52="","",""", """&amp;CLEAN(AG52))&amp;IF(AH52="","",""", """&amp;CLEAN(AH52))&amp;IF(AI52="","",""", """&amp;CLEAN(AI52))&amp;IF(AJ52="","",""", """&amp;CLEAN(AJ52))&amp;IF(AK52="","",""", """&amp;CLEAN(AK52))&amp;""" ];"</f>
        <v>D6.scenario.defSelectValue["sel111"]= [ "選んで下さい", "常に自動でたし湯される", "必要に応じて注ぎ湯をする", "少ないままで入る", "その時どきで対応する", "わからない" ];</v>
      </c>
      <c r="DR52" s="112"/>
      <c r="DS52" s="112"/>
      <c r="DT52" s="112" t="str">
        <f aca="false">"D6.scenario.defSelectData['"&amp;U52&amp;"']= [ '"&amp;BC52&amp;"', '"&amp;BD52&amp;"', '"&amp;BE52&amp;IF(BF52="","","', '"&amp;BF52)&amp;IF(BG52="","","', '"&amp;BG52)&amp;IF(BH52="","","', '"&amp;BH52)&amp;IF(BI52="","","', '"&amp;BI52)&amp;IF(BJ52="","","', '"&amp;BJ52)&amp;IF(BK52="","","', '"&amp;BK52)&amp;IF(BL52="","","', '"&amp;BL52)&amp;IF(BM52="","","', '"&amp;BM52)&amp;IF(BN52="","","', '"&amp;BN52)&amp;IF(BO52="","","', '"&amp;BO52)&amp;IF(BP52="","","', '"&amp;BP52)&amp;IF(BQ52="","","', '"&amp;BQ52)&amp;IF(BR52="","","', '"&amp;BR52)&amp;"' ];"</f>
        <v>D6.scenario.defSelectData['sel111']= [ '-1', '10', '5', '0', '5', '5' ];</v>
      </c>
    </row>
    <row r="53" s="88" customFormat="true" ht="43.5" hidden="false" customHeight="true" outlineLevel="0" collapsed="false">
      <c r="A53" s="66"/>
      <c r="B53" s="95" t="s">
        <v>1321</v>
      </c>
      <c r="C53" s="103" t="s">
        <v>1322</v>
      </c>
      <c r="D53" s="104" t="s">
        <v>1322</v>
      </c>
      <c r="E53" s="95" t="s">
        <v>232</v>
      </c>
      <c r="F53" s="103" t="s">
        <v>1323</v>
      </c>
      <c r="G53" s="104" t="s">
        <v>1323</v>
      </c>
      <c r="H53" s="103" t="s">
        <v>1324</v>
      </c>
      <c r="I53" s="104" t="s">
        <v>1324</v>
      </c>
      <c r="J53" s="103" t="str">
        <f aca="false">IF(K53="","",K53)</f>
        <v>sel112</v>
      </c>
      <c r="K53" s="104" t="str">
        <f aca="false">"sel"&amp;MID($B53,2,5)</f>
        <v>sel112</v>
      </c>
      <c r="L53" s="105"/>
      <c r="M53" s="105"/>
      <c r="N53" s="105"/>
      <c r="O53" s="95" t="s">
        <v>931</v>
      </c>
      <c r="P53" s="105"/>
      <c r="Q53" s="105"/>
      <c r="R53" s="95" t="n">
        <v>-1</v>
      </c>
      <c r="S53" s="66"/>
      <c r="T53" s="66"/>
      <c r="U53" s="106" t="str">
        <f aca="false">J53</f>
        <v>sel112</v>
      </c>
      <c r="V53" s="103" t="s">
        <v>979</v>
      </c>
      <c r="W53" s="103" t="s">
        <v>1325</v>
      </c>
      <c r="X53" s="103" t="s">
        <v>1326</v>
      </c>
      <c r="Y53" s="103" t="s">
        <v>1327</v>
      </c>
      <c r="Z53" s="103" t="s">
        <v>1328</v>
      </c>
      <c r="AA53" s="103" t="s">
        <v>1329</v>
      </c>
      <c r="AB53" s="103" t="s">
        <v>1062</v>
      </c>
      <c r="AC53" s="103"/>
      <c r="AD53" s="103"/>
      <c r="AE53" s="103"/>
      <c r="AF53" s="103"/>
      <c r="AG53" s="103"/>
      <c r="AH53" s="103"/>
      <c r="AI53" s="103"/>
      <c r="AJ53" s="103"/>
      <c r="AK53" s="103"/>
      <c r="AL53" s="104" t="s">
        <v>979</v>
      </c>
      <c r="AM53" s="107" t="s">
        <v>1325</v>
      </c>
      <c r="AN53" s="107" t="s">
        <v>1326</v>
      </c>
      <c r="AO53" s="107" t="s">
        <v>1327</v>
      </c>
      <c r="AP53" s="104" t="s">
        <v>1328</v>
      </c>
      <c r="AQ53" s="104" t="s">
        <v>1329</v>
      </c>
      <c r="AR53" s="104" t="s">
        <v>1062</v>
      </c>
      <c r="AS53" s="104"/>
      <c r="AT53" s="104"/>
      <c r="AU53" s="104"/>
      <c r="AV53" s="104"/>
      <c r="AW53" s="104"/>
      <c r="AX53" s="104"/>
      <c r="AY53" s="104"/>
      <c r="AZ53" s="104"/>
      <c r="BA53" s="104"/>
      <c r="BB53" s="66"/>
      <c r="BC53" s="113" t="n">
        <v>-1</v>
      </c>
      <c r="BD53" s="103" t="n">
        <v>3</v>
      </c>
      <c r="BE53" s="103" t="n">
        <v>5</v>
      </c>
      <c r="BF53" s="103" t="n">
        <v>10</v>
      </c>
      <c r="BG53" s="103" t="n">
        <v>20</v>
      </c>
      <c r="BH53" s="103" t="n">
        <v>50</v>
      </c>
      <c r="BI53" s="103" t="n">
        <v>20</v>
      </c>
      <c r="BJ53" s="103"/>
      <c r="BK53" s="103"/>
      <c r="BL53" s="103"/>
      <c r="BM53" s="103"/>
      <c r="BN53" s="103"/>
      <c r="BO53" s="103"/>
      <c r="BP53" s="103"/>
      <c r="BQ53" s="103"/>
      <c r="BR53" s="103"/>
      <c r="BS53" s="114" t="n">
        <v>-1</v>
      </c>
      <c r="BT53" s="104" t="n">
        <v>3</v>
      </c>
      <c r="BU53" s="104" t="n">
        <v>5</v>
      </c>
      <c r="BV53" s="104" t="n">
        <v>10</v>
      </c>
      <c r="BW53" s="104" t="n">
        <v>20</v>
      </c>
      <c r="BX53" s="104" t="n">
        <v>50</v>
      </c>
      <c r="BY53" s="104" t="n">
        <v>20</v>
      </c>
      <c r="BZ53" s="104"/>
      <c r="CA53" s="104"/>
      <c r="CB53" s="104"/>
      <c r="CC53" s="104"/>
      <c r="CD53" s="104"/>
      <c r="CE53" s="104"/>
      <c r="CF53" s="104"/>
      <c r="CG53" s="104"/>
      <c r="CH53" s="104"/>
      <c r="CJ53" s="95"/>
      <c r="CK53" s="95"/>
      <c r="CL53" s="95"/>
      <c r="CM53" s="95"/>
      <c r="CN53" s="95"/>
      <c r="CO53" s="95"/>
      <c r="CP53" s="95"/>
      <c r="CQ53" s="95"/>
      <c r="CR53" s="95" t="n">
        <v>20</v>
      </c>
      <c r="CS53" s="95" t="n">
        <v>0</v>
      </c>
      <c r="CT53" s="95" t="n">
        <v>10</v>
      </c>
      <c r="CU53" s="95" t="n">
        <v>1</v>
      </c>
      <c r="CV53" s="95" t="n">
        <v>0</v>
      </c>
      <c r="CW53" s="95" t="n">
        <v>2</v>
      </c>
      <c r="CX53" s="95" t="n">
        <v>1</v>
      </c>
      <c r="CY53" s="95" t="n">
        <v>0</v>
      </c>
      <c r="CZ53" s="95"/>
      <c r="DA53" s="95"/>
      <c r="DB53" s="95"/>
      <c r="DC53" s="95"/>
      <c r="DD53" s="95"/>
      <c r="DE53" s="95"/>
      <c r="DF53" s="95"/>
      <c r="DG53" s="95"/>
      <c r="DL53" s="108"/>
      <c r="DM53" s="108"/>
      <c r="DN53" s="109" t="str">
        <f aca="false">"D6.scenario.defInput["""&amp;B53&amp;"""] = {  "&amp;E$2&amp;":"""&amp;E53&amp;""",  "&amp;C$2&amp;":"""&amp;CLEAN(SUBSTITUTE(C53,"""",""""))&amp;""",  "&amp;F$2&amp;":"""&amp;F53&amp;""",  "&amp;H$2&amp;":"""&amp;CLEAN(SUBSTITUTE(H53,"""",""""))&amp;""", "&amp;J$2&amp;":"""&amp;J53&amp;""", "&amp;L$2&amp;":"""&amp;L53&amp;""", "&amp;M$2&amp;":"""&amp;M53&amp;""", "&amp;N$2&amp;":"""&amp;N53&amp;""", "&amp;O$2&amp;":"""&amp;O53&amp;""", "&amp;P$2&amp;":"""&amp;P53&amp;""", "&amp;Q$2&amp;":"""&amp;Q53&amp;""", "&amp;R$2&amp;":"""&amp;R53&amp;""", d11t:"""&amp;CJ53&amp;""",d11p:"""&amp;CK53&amp;""",d12t:"""&amp;CL53&amp;""",d12p:"""&amp;CM53&amp;""",d13t:"""&amp;CN53&amp;""",d13p:"""&amp;CO53&amp;""",d1w:"""&amp;CP53&amp;""",d1d:"""&amp;CQ53&amp;""", d21t:"""&amp;CR53&amp;""",d21p:"""&amp;CS53&amp;""",d22t:"""&amp;CT53&amp;""",d22p:"""&amp;CU53&amp;""",d23t:"""&amp;CV53&amp;""",d23p:"""&amp;CW53&amp;""",d2w:"""&amp;CX53&amp;""",d2d:"""&amp;CY53&amp;""", d31t:"""&amp;CZ53&amp;""",d31p:"""&amp;DA53&amp;""",d32t:"""&amp;DB53&amp;""",d32p:"""&amp;DC53&amp;""",d33t:"""&amp;DD53&amp;""",d33p:"""&amp;DE53&amp;""",d3w:"""&amp;DF53&amp;""",d3d:"""&amp;DG53&amp;"""}; "</f>
        <v>D6.scenario.defInput["i112"] = {  cons:"consHWshower",  title:"シャワーのお湯が出るまで",  unit:"秒",  text:"最初にお湯が出てくるまでの時間はどのくらいですか", inputType:"sel112", right:"", postfix:"", nodata:"", varType:"Number", min:"", max:"", defaultValue:"-1", d11t:"",d11p:"",d12t:"",d12p:"",d13t:"",d13p:"",d1w:"",d1d:"", d21t:"20",d21p:"0",d22t:"10",d22p:"1",d23t:"0",d23p:"2",d2w:"1",d2d:"0", d31t:"",d31p:"",d32t:"",d32p:"",d33t:"",d33p:"",d3w:"",d3d:""}; </v>
      </c>
      <c r="DO53" s="110"/>
      <c r="DP53" s="110"/>
      <c r="DQ53" s="111" t="str">
        <f aca="false">"D6.scenario.defSelectValue["""&amp;U53&amp;"""]= [ """&amp;CLEAN(V53)&amp;""", """&amp;CLEAN(W53)&amp;IF(X53="","",""", """&amp;CLEAN(X53))&amp;IF(Y53="","",""", """&amp;CLEAN(Y53))&amp;IF(Z53="","",""", """&amp;CLEAN(Z53))&amp;IF(AA53="","",""", """&amp;CLEAN(AA53))&amp;IF(AB53="","",""", """&amp;CLEAN(AB53))&amp;IF(AC53="","",""", """&amp;CLEAN(AC53))&amp;IF(AD53="","",""", """&amp;CLEAN(AD53))&amp;IF(AE53="","",""", """&amp;CLEAN(AE53))&amp;IF(AF53="","",""", """&amp;CLEAN(AF53))&amp;IF(AG53="","",""", """&amp;CLEAN(AG53))&amp;IF(AH53="","",""", """&amp;CLEAN(AH53))&amp;IF(AI53="","",""", """&amp;CLEAN(AI53))&amp;IF(AJ53="","",""", """&amp;CLEAN(AJ53))&amp;IF(AK53="","",""", """&amp;CLEAN(AK53))&amp;""" ];"</f>
        <v>D6.scenario.defSelectValue["sel112"]= [ "選んで下さい", "すぐにお湯が出る", "5秒くらい待つ", "10秒くらい待つ", "20秒くらいまつ", "1分弱待つ", "わからない" ];</v>
      </c>
      <c r="DR53" s="112"/>
      <c r="DS53" s="112"/>
      <c r="DT53" s="112" t="str">
        <f aca="false">"D6.scenario.defSelectData['"&amp;U53&amp;"']= [ '"&amp;BC53&amp;"', '"&amp;BD53&amp;"', '"&amp;BE53&amp;IF(BF53="","","', '"&amp;BF53)&amp;IF(BG53="","","', '"&amp;BG53)&amp;IF(BH53="","","', '"&amp;BH53)&amp;IF(BI53="","","', '"&amp;BI53)&amp;IF(BJ53="","","', '"&amp;BJ53)&amp;IF(BK53="","","', '"&amp;BK53)&amp;IF(BL53="","","', '"&amp;BL53)&amp;IF(BM53="","","', '"&amp;BM53)&amp;IF(BN53="","","', '"&amp;BN53)&amp;IF(BO53="","","', '"&amp;BO53)&amp;IF(BP53="","","', '"&amp;BP53)&amp;IF(BQ53="","","', '"&amp;BQ53)&amp;IF(BR53="","","', '"&amp;BR53)&amp;"' ];"</f>
        <v>D6.scenario.defSelectData['sel112']= [ '-1', '3', '5', '10', '20', '50', '20' ];</v>
      </c>
    </row>
    <row r="54" s="88" customFormat="true" ht="43.5" hidden="false" customHeight="true" outlineLevel="0" collapsed="false">
      <c r="A54" s="66"/>
      <c r="B54" s="95" t="s">
        <v>1330</v>
      </c>
      <c r="C54" s="103" t="s">
        <v>1331</v>
      </c>
      <c r="D54" s="104" t="s">
        <v>1331</v>
      </c>
      <c r="E54" s="95" t="s">
        <v>234</v>
      </c>
      <c r="F54" s="103"/>
      <c r="G54" s="104"/>
      <c r="H54" s="103" t="s">
        <v>1332</v>
      </c>
      <c r="I54" s="104" t="s">
        <v>1332</v>
      </c>
      <c r="J54" s="103" t="str">
        <f aca="false">IF(K54="","",K54)</f>
        <v>sel113</v>
      </c>
      <c r="K54" s="104" t="str">
        <f aca="false">"sel"&amp;MID($B54,2,5)</f>
        <v>sel113</v>
      </c>
      <c r="L54" s="105"/>
      <c r="M54" s="105"/>
      <c r="N54" s="105"/>
      <c r="O54" s="95" t="s">
        <v>931</v>
      </c>
      <c r="P54" s="105"/>
      <c r="Q54" s="105"/>
      <c r="R54" s="95" t="n">
        <v>-1</v>
      </c>
      <c r="S54" s="66"/>
      <c r="T54" s="66"/>
      <c r="U54" s="106" t="str">
        <f aca="false">J54</f>
        <v>sel113</v>
      </c>
      <c r="V54" s="103" t="s">
        <v>979</v>
      </c>
      <c r="W54" s="103" t="s">
        <v>1333</v>
      </c>
      <c r="X54" s="103" t="s">
        <v>1334</v>
      </c>
      <c r="Y54" s="103" t="s">
        <v>1335</v>
      </c>
      <c r="Z54" s="103" t="s">
        <v>1098</v>
      </c>
      <c r="AA54" s="103"/>
      <c r="AB54" s="103"/>
      <c r="AC54" s="103"/>
      <c r="AD54" s="103"/>
      <c r="AE54" s="103"/>
      <c r="AF54" s="103"/>
      <c r="AG54" s="103"/>
      <c r="AH54" s="103"/>
      <c r="AI54" s="103"/>
      <c r="AJ54" s="103"/>
      <c r="AK54" s="103"/>
      <c r="AL54" s="104" t="s">
        <v>979</v>
      </c>
      <c r="AM54" s="107" t="s">
        <v>1333</v>
      </c>
      <c r="AN54" s="104" t="s">
        <v>1334</v>
      </c>
      <c r="AO54" s="107" t="s">
        <v>1335</v>
      </c>
      <c r="AP54" s="107" t="s">
        <v>1098</v>
      </c>
      <c r="AQ54" s="104"/>
      <c r="AR54" s="104"/>
      <c r="AS54" s="104"/>
      <c r="AT54" s="104"/>
      <c r="AU54" s="104"/>
      <c r="AV54" s="104"/>
      <c r="AW54" s="104"/>
      <c r="AX54" s="104"/>
      <c r="AY54" s="104"/>
      <c r="AZ54" s="104"/>
      <c r="BA54" s="104"/>
      <c r="BB54" s="66"/>
      <c r="BC54" s="103" t="n">
        <v>-1</v>
      </c>
      <c r="BD54" s="103" t="n">
        <v>1</v>
      </c>
      <c r="BE54" s="103" t="n">
        <v>2</v>
      </c>
      <c r="BF54" s="103" t="n">
        <v>3</v>
      </c>
      <c r="BG54" s="103" t="n">
        <v>4</v>
      </c>
      <c r="BH54" s="103"/>
      <c r="BI54" s="103"/>
      <c r="BJ54" s="103"/>
      <c r="BK54" s="103"/>
      <c r="BL54" s="103"/>
      <c r="BM54" s="103"/>
      <c r="BN54" s="103"/>
      <c r="BO54" s="103"/>
      <c r="BP54" s="103"/>
      <c r="BQ54" s="103"/>
      <c r="BR54" s="103"/>
      <c r="BS54" s="104" t="n">
        <v>-1</v>
      </c>
      <c r="BT54" s="104" t="n">
        <v>1</v>
      </c>
      <c r="BU54" s="104" t="n">
        <v>2</v>
      </c>
      <c r="BV54" s="104" t="n">
        <v>3</v>
      </c>
      <c r="BW54" s="104" t="n">
        <v>4</v>
      </c>
      <c r="BX54" s="104"/>
      <c r="BY54" s="104"/>
      <c r="BZ54" s="104"/>
      <c r="CA54" s="104"/>
      <c r="CB54" s="104"/>
      <c r="CC54" s="104"/>
      <c r="CD54" s="104"/>
      <c r="CE54" s="104"/>
      <c r="CF54" s="104"/>
      <c r="CG54" s="104"/>
      <c r="CH54" s="104"/>
      <c r="CJ54" s="95"/>
      <c r="CK54" s="95"/>
      <c r="CL54" s="95"/>
      <c r="CM54" s="95"/>
      <c r="CN54" s="95"/>
      <c r="CO54" s="95"/>
      <c r="CP54" s="95"/>
      <c r="CQ54" s="95"/>
      <c r="CR54" s="95"/>
      <c r="CS54" s="95"/>
      <c r="CT54" s="95"/>
      <c r="CU54" s="95"/>
      <c r="CV54" s="95"/>
      <c r="CW54" s="95"/>
      <c r="CX54" s="95"/>
      <c r="CY54" s="95"/>
      <c r="CZ54" s="95"/>
      <c r="DA54" s="95"/>
      <c r="DB54" s="95"/>
      <c r="DC54" s="95"/>
      <c r="DD54" s="95"/>
      <c r="DE54" s="95"/>
      <c r="DF54" s="95"/>
      <c r="DG54" s="95"/>
      <c r="DL54" s="108"/>
      <c r="DM54" s="108"/>
      <c r="DN54" s="109" t="str">
        <f aca="false">"D6.scenario.defInput["""&amp;B54&amp;"""] = {  "&amp;E$2&amp;":"""&amp;E54&amp;""",  "&amp;C$2&amp;":"""&amp;CLEAN(SUBSTITUTE(C54,"""",""""))&amp;""",  "&amp;F$2&amp;":"""&amp;F54&amp;""",  "&amp;H$2&amp;":"""&amp;CLEAN(SUBSTITUTE(H54,"""",""""))&amp;""", "&amp;J$2&amp;":"""&amp;J54&amp;""", "&amp;L$2&amp;":"""&amp;L54&amp;""", "&amp;M$2&amp;":"""&amp;M54&amp;""", "&amp;N$2&amp;":"""&amp;N54&amp;""", "&amp;O$2&amp;":"""&amp;O54&amp;""", "&amp;P$2&amp;":"""&amp;P54&amp;""", "&amp;Q$2&amp;":"""&amp;Q54&amp;""", "&amp;R$2&amp;":"""&amp;R54&amp;""", d11t:"""&amp;CJ54&amp;""",d11p:"""&amp;CK54&amp;""",d12t:"""&amp;CL54&amp;""",d12p:"""&amp;CM54&amp;""",d13t:"""&amp;CN54&amp;""",d13p:"""&amp;CO54&amp;""",d1w:"""&amp;CP54&amp;""",d1d:"""&amp;CQ54&amp;""", d21t:"""&amp;CR54&amp;""",d21p:"""&amp;CS54&amp;""",d22t:"""&amp;CT54&amp;""",d22p:"""&amp;CU54&amp;""",d23t:"""&amp;CV54&amp;""",d23p:"""&amp;CW54&amp;""",d2w:"""&amp;CX54&amp;""",d2d:"""&amp;CY54&amp;""", d31t:"""&amp;CZ54&amp;""",d31p:"""&amp;DA54&amp;""",d32t:"""&amp;DB54&amp;""",d32p:"""&amp;DC54&amp;""",d33t:"""&amp;DD54&amp;""",d33p:"""&amp;DE54&amp;""",d3w:"""&amp;DF54&amp;""",d3d:"""&amp;DG54&amp;"""}; "</f>
        <v>D6.scenario.defInput["i113"] = {  cons:"consHWdishwash",  title:"食器洗いでのお湯の利用",  unit:"",  text:"食器洗いで、お湯を使わずに水を使うようにしていますか", inputType:"sel113", right:"", postfix:"", nodata:"", varType:"Number", min:"", max:"", defaultValue:"-1", d11t:"",d11p:"",d12t:"",d12p:"",d13t:"",d13p:"",d1w:"",d1d:"", d21t:"",d21p:"",d22t:"",d22p:"",d23t:"",d23p:"",d2w:"",d2d:"", d31t:"",d31p:"",d32t:"",d32p:"",d33t:"",d33p:"",d3w:"",d3d:""}; </v>
      </c>
      <c r="DO54" s="110"/>
      <c r="DP54" s="110"/>
      <c r="DQ54" s="111" t="str">
        <f aca="false">"D6.scenario.defSelectValue["""&amp;U54&amp;"""]= [ """&amp;CLEAN(V54)&amp;""", """&amp;CLEAN(W54)&amp;IF(X54="","",""", """&amp;CLEAN(X54))&amp;IF(Y54="","",""", """&amp;CLEAN(Y54))&amp;IF(Z54="","",""", """&amp;CLEAN(Z54))&amp;IF(AA54="","",""", """&amp;CLEAN(AA54))&amp;IF(AB54="","",""", """&amp;CLEAN(AB54))&amp;IF(AC54="","",""", """&amp;CLEAN(AC54))&amp;IF(AD54="","",""", """&amp;CLEAN(AD54))&amp;IF(AE54="","",""", """&amp;CLEAN(AE54))&amp;IF(AF54="","",""", """&amp;CLEAN(AF54))&amp;IF(AG54="","",""", """&amp;CLEAN(AG54))&amp;IF(AH54="","",""", """&amp;CLEAN(AH54))&amp;IF(AI54="","",""", """&amp;CLEAN(AI54))&amp;IF(AJ54="","",""", """&amp;CLEAN(AJ54))&amp;IF(AK54="","",""", """&amp;CLEAN(AK54))&amp;""" ];"</f>
        <v>D6.scenario.defSelectValue["sel113"]= [ "選んで下さい", "常にしている", "だいたいしている", "時々している", "していない" ];</v>
      </c>
      <c r="DR54" s="112"/>
      <c r="DS54" s="112"/>
      <c r="DT54" s="112" t="str">
        <f aca="false">"D6.scenario.defSelectData['"&amp;U54&amp;"']= [ '"&amp;BC54&amp;"', '"&amp;BD54&amp;"', '"&amp;BE54&amp;IF(BF54="","","', '"&amp;BF54)&amp;IF(BG54="","","', '"&amp;BG54)&amp;IF(BH54="","","', '"&amp;BH54)&amp;IF(BI54="","","', '"&amp;BI54)&amp;IF(BJ54="","","', '"&amp;BJ54)&amp;IF(BK54="","","', '"&amp;BK54)&amp;IF(BL54="","","', '"&amp;BL54)&amp;IF(BM54="","","', '"&amp;BM54)&amp;IF(BN54="","","', '"&amp;BN54)&amp;IF(BO54="","","', '"&amp;BO54)&amp;IF(BP54="","","', '"&amp;BP54)&amp;IF(BQ54="","","', '"&amp;BQ54)&amp;IF(BR54="","","', '"&amp;BR54)&amp;"' ];"</f>
        <v>D6.scenario.defSelectData['sel113']= [ '-1', '1', '2', '3', '4' ];</v>
      </c>
    </row>
    <row r="55" s="88" customFormat="true" ht="43.5" hidden="false" customHeight="true" outlineLevel="0" collapsed="false">
      <c r="A55" s="66"/>
      <c r="B55" s="95" t="s">
        <v>1336</v>
      </c>
      <c r="C55" s="103" t="s">
        <v>1337</v>
      </c>
      <c r="D55" s="104" t="s">
        <v>1337</v>
      </c>
      <c r="E55" s="95" t="s">
        <v>236</v>
      </c>
      <c r="F55" s="103" t="s">
        <v>1338</v>
      </c>
      <c r="G55" s="104" t="s">
        <v>1338</v>
      </c>
      <c r="H55" s="103" t="s">
        <v>1339</v>
      </c>
      <c r="I55" s="104" t="s">
        <v>1337</v>
      </c>
      <c r="J55" s="103" t="str">
        <f aca="false">IF(K55="","",K55)</f>
        <v>sel114</v>
      </c>
      <c r="K55" s="104" t="str">
        <f aca="false">"sel"&amp;MID($B55,2,5)</f>
        <v>sel114</v>
      </c>
      <c r="L55" s="105"/>
      <c r="M55" s="105"/>
      <c r="N55" s="105"/>
      <c r="O55" s="95" t="s">
        <v>931</v>
      </c>
      <c r="P55" s="105"/>
      <c r="Q55" s="105"/>
      <c r="R55" s="95" t="n">
        <v>-1</v>
      </c>
      <c r="S55" s="66"/>
      <c r="T55" s="66"/>
      <c r="U55" s="106" t="str">
        <f aca="false">J55</f>
        <v>sel114</v>
      </c>
      <c r="V55" s="103" t="s">
        <v>979</v>
      </c>
      <c r="W55" s="103" t="s">
        <v>1340</v>
      </c>
      <c r="X55" s="103" t="s">
        <v>1341</v>
      </c>
      <c r="Y55" s="103" t="s">
        <v>1342</v>
      </c>
      <c r="Z55" s="103" t="s">
        <v>1343</v>
      </c>
      <c r="AA55" s="103" t="s">
        <v>1344</v>
      </c>
      <c r="AB55" s="103" t="s">
        <v>1345</v>
      </c>
      <c r="AC55" s="103" t="s">
        <v>1346</v>
      </c>
      <c r="AD55" s="103"/>
      <c r="AE55" s="103"/>
      <c r="AF55" s="103"/>
      <c r="AG55" s="103"/>
      <c r="AH55" s="103"/>
      <c r="AI55" s="103"/>
      <c r="AJ55" s="103"/>
      <c r="AK55" s="103"/>
      <c r="AL55" s="104" t="s">
        <v>979</v>
      </c>
      <c r="AM55" s="107" t="s">
        <v>1340</v>
      </c>
      <c r="AN55" s="104" t="s">
        <v>1341</v>
      </c>
      <c r="AO55" s="107" t="s">
        <v>1342</v>
      </c>
      <c r="AP55" s="107" t="s">
        <v>1343</v>
      </c>
      <c r="AQ55" s="104" t="s">
        <v>1344</v>
      </c>
      <c r="AR55" s="104" t="s">
        <v>1345</v>
      </c>
      <c r="AS55" s="104" t="s">
        <v>1346</v>
      </c>
      <c r="AT55" s="104"/>
      <c r="AU55" s="104"/>
      <c r="AV55" s="104"/>
      <c r="AW55" s="104"/>
      <c r="AX55" s="104"/>
      <c r="AY55" s="104"/>
      <c r="AZ55" s="104"/>
      <c r="BA55" s="104"/>
      <c r="BB55" s="66"/>
      <c r="BC55" s="113" t="n">
        <v>-1</v>
      </c>
      <c r="BD55" s="103" t="n">
        <v>0</v>
      </c>
      <c r="BE55" s="103" t="n">
        <v>2</v>
      </c>
      <c r="BF55" s="103" t="n">
        <v>4</v>
      </c>
      <c r="BG55" s="103" t="n">
        <v>6</v>
      </c>
      <c r="BH55" s="103" t="n">
        <v>8</v>
      </c>
      <c r="BI55" s="103" t="n">
        <v>10</v>
      </c>
      <c r="BJ55" s="103" t="n">
        <v>12</v>
      </c>
      <c r="BK55" s="103"/>
      <c r="BL55" s="103"/>
      <c r="BM55" s="103"/>
      <c r="BN55" s="103"/>
      <c r="BO55" s="103"/>
      <c r="BP55" s="103"/>
      <c r="BQ55" s="103"/>
      <c r="BR55" s="103"/>
      <c r="BS55" s="114" t="n">
        <v>-1</v>
      </c>
      <c r="BT55" s="104" t="n">
        <v>0</v>
      </c>
      <c r="BU55" s="104" t="n">
        <v>2</v>
      </c>
      <c r="BV55" s="104" t="n">
        <v>4</v>
      </c>
      <c r="BW55" s="104" t="n">
        <v>6</v>
      </c>
      <c r="BX55" s="104" t="n">
        <v>8</v>
      </c>
      <c r="BY55" s="104" t="n">
        <v>10</v>
      </c>
      <c r="BZ55" s="104" t="n">
        <v>12</v>
      </c>
      <c r="CA55" s="104"/>
      <c r="CB55" s="104"/>
      <c r="CC55" s="104"/>
      <c r="CD55" s="104"/>
      <c r="CE55" s="104"/>
      <c r="CF55" s="104"/>
      <c r="CG55" s="104"/>
      <c r="CH55" s="104"/>
      <c r="CJ55" s="95"/>
      <c r="CK55" s="95"/>
      <c r="CL55" s="95"/>
      <c r="CM55" s="95"/>
      <c r="CN55" s="95"/>
      <c r="CO55" s="95"/>
      <c r="CP55" s="95"/>
      <c r="CQ55" s="95"/>
      <c r="CR55" s="95"/>
      <c r="CS55" s="95"/>
      <c r="CT55" s="95"/>
      <c r="CU55" s="95"/>
      <c r="CV55" s="95"/>
      <c r="CW55" s="95"/>
      <c r="CX55" s="95"/>
      <c r="CY55" s="95"/>
      <c r="CZ55" s="95" t="n">
        <v>5</v>
      </c>
      <c r="DA55" s="95" t="n">
        <v>0</v>
      </c>
      <c r="DB55" s="95" t="n">
        <v>0</v>
      </c>
      <c r="DC55" s="95" t="n">
        <v>2</v>
      </c>
      <c r="DD55" s="95"/>
      <c r="DE55" s="95"/>
      <c r="DF55" s="95" t="n">
        <v>1</v>
      </c>
      <c r="DG55" s="95" t="n">
        <v>0</v>
      </c>
      <c r="DL55" s="108"/>
      <c r="DM55" s="108"/>
      <c r="DN55" s="109" t="str">
        <f aca="false">"D6.scenario.defInput["""&amp;B55&amp;"""] = {  "&amp;E$2&amp;":"""&amp;E55&amp;""",  "&amp;C$2&amp;":"""&amp;CLEAN(SUBSTITUTE(C55,"""",""""))&amp;""",  "&amp;F$2&amp;":"""&amp;F55&amp;""",  "&amp;H$2&amp;":"""&amp;CLEAN(SUBSTITUTE(H55,"""",""""))&amp;""", "&amp;J$2&amp;":"""&amp;J55&amp;""", "&amp;L$2&amp;":"""&amp;L55&amp;""", "&amp;M$2&amp;":"""&amp;M55&amp;""", "&amp;N$2&amp;":"""&amp;N55&amp;""", "&amp;O$2&amp;":"""&amp;O55&amp;""", "&amp;P$2&amp;":"""&amp;P55&amp;""", "&amp;Q$2&amp;":"""&amp;Q55&amp;""", "&amp;R$2&amp;":"""&amp;R55&amp;""", d11t:"""&amp;CJ55&amp;""",d11p:"""&amp;CK55&amp;""",d12t:"""&amp;CL55&amp;""",d12p:"""&amp;CM55&amp;""",d13t:"""&amp;CN55&amp;""",d13p:"""&amp;CO55&amp;""",d1w:"""&amp;CP55&amp;""",d1d:"""&amp;CQ55&amp;""", d21t:"""&amp;CR55&amp;""",d21p:"""&amp;CS55&amp;""",d22t:"""&amp;CT55&amp;""",d22p:"""&amp;CU55&amp;""",d23t:"""&amp;CV55&amp;""",d23p:"""&amp;CW55&amp;""",d2w:"""&amp;CX55&amp;""",d2d:"""&amp;CY55&amp;""", d31t:"""&amp;CZ55&amp;""",d31p:"""&amp;DA55&amp;""",d32t:"""&amp;DB55&amp;""",d32p:"""&amp;DC55&amp;""",d33t:"""&amp;DD55&amp;""",d33p:"""&amp;DE55&amp;""",d3w:"""&amp;DF55&amp;""",d3d:"""&amp;DG55&amp;"""}; "</f>
        <v>D6.scenario.defInput["i114"] = {  cons:"consHWdresser",  title:"洗面でのお湯使用期間",  unit:"ヶ月",  text:"洗面での水でなくお湯を沸かして使う時期は、何ヶ月ありますか", inputType:"sel114", right:"", postfix:"", nodata:"", varType:"Number", min:"", max:"", defaultValue:"-1", d11t:"",d11p:"",d12t:"",d12p:"",d13t:"",d13p:"",d1w:"",d1d:"", d21t:"",d21p:"",d22t:"",d22p:"",d23t:"",d23p:"",d2w:"",d2d:"", d31t:"5",d31p:"0",d32t:"0",d32p:"2",d33t:"",d33p:"",d3w:"1",d3d:"0"}; </v>
      </c>
      <c r="DO55" s="110"/>
      <c r="DP55" s="110"/>
      <c r="DQ55" s="111" t="str">
        <f aca="false">"D6.scenario.defSelectValue["""&amp;U55&amp;"""]= [ """&amp;CLEAN(V55)&amp;""", """&amp;CLEAN(W55)&amp;IF(X55="","",""", """&amp;CLEAN(X55))&amp;IF(Y55="","",""", """&amp;CLEAN(Y55))&amp;IF(Z55="","",""", """&amp;CLEAN(Z55))&amp;IF(AA55="","",""", """&amp;CLEAN(AA55))&amp;IF(AB55="","",""", """&amp;CLEAN(AB55))&amp;IF(AC55="","",""", """&amp;CLEAN(AC55))&amp;IF(AD55="","",""", """&amp;CLEAN(AD55))&amp;IF(AE55="","",""", """&amp;CLEAN(AE55))&amp;IF(AF55="","",""", """&amp;CLEAN(AF55))&amp;IF(AG55="","",""", """&amp;CLEAN(AG55))&amp;IF(AH55="","",""", """&amp;CLEAN(AH55))&amp;IF(AI55="","",""", """&amp;CLEAN(AI55))&amp;IF(AJ55="","",""", """&amp;CLEAN(AJ55))&amp;IF(AK55="","",""", """&amp;CLEAN(AK55))&amp;""" ];"</f>
        <v>D6.scenario.defSelectValue["sel114"]= [ "選んで下さい", "お湯を使わない", "2ヶ月", "4ヶ月", "6ヶ月", "8ヶ月", "10ヶ月", "12ヶ月" ];</v>
      </c>
      <c r="DR55" s="112"/>
      <c r="DS55" s="112"/>
      <c r="DT55" s="112" t="str">
        <f aca="false">"D6.scenario.defSelectData['"&amp;U55&amp;"']= [ '"&amp;BC55&amp;"', '"&amp;BD55&amp;"', '"&amp;BE55&amp;IF(BF55="","","', '"&amp;BF55)&amp;IF(BG55="","","', '"&amp;BG55)&amp;IF(BH55="","","', '"&amp;BH55)&amp;IF(BI55="","","', '"&amp;BI55)&amp;IF(BJ55="","","', '"&amp;BJ55)&amp;IF(BK55="","","', '"&amp;BK55)&amp;IF(BL55="","","', '"&amp;BL55)&amp;IF(BM55="","","', '"&amp;BM55)&amp;IF(BN55="","","', '"&amp;BN55)&amp;IF(BO55="","","', '"&amp;BO55)&amp;IF(BP55="","","', '"&amp;BP55)&amp;IF(BQ55="","","', '"&amp;BQ55)&amp;IF(BR55="","","', '"&amp;BR55)&amp;"' ];"</f>
        <v>D6.scenario.defSelectData['sel114']= [ '-1', '0', '2', '4', '6', '8', '10', '12' ];</v>
      </c>
    </row>
    <row r="56" s="88" customFormat="true" ht="43.5" hidden="false" customHeight="true" outlineLevel="0" collapsed="false">
      <c r="A56" s="66"/>
      <c r="B56" s="95" t="s">
        <v>1347</v>
      </c>
      <c r="C56" s="103" t="s">
        <v>1348</v>
      </c>
      <c r="D56" s="104" t="s">
        <v>1348</v>
      </c>
      <c r="E56" s="95" t="s">
        <v>234</v>
      </c>
      <c r="F56" s="103" t="s">
        <v>1338</v>
      </c>
      <c r="G56" s="104" t="s">
        <v>1338</v>
      </c>
      <c r="H56" s="103" t="s">
        <v>1349</v>
      </c>
      <c r="I56" s="104" t="s">
        <v>1348</v>
      </c>
      <c r="J56" s="103" t="str">
        <f aca="false">IF(K56="","",K56)</f>
        <v>sel115</v>
      </c>
      <c r="K56" s="104" t="str">
        <f aca="false">"sel"&amp;MID($B56,2,5)</f>
        <v>sel115</v>
      </c>
      <c r="L56" s="105"/>
      <c r="M56" s="105"/>
      <c r="N56" s="105"/>
      <c r="O56" s="95" t="s">
        <v>931</v>
      </c>
      <c r="P56" s="105"/>
      <c r="Q56" s="105"/>
      <c r="R56" s="95" t="n">
        <v>-1</v>
      </c>
      <c r="S56" s="66"/>
      <c r="T56" s="66"/>
      <c r="U56" s="106" t="str">
        <f aca="false">J56</f>
        <v>sel115</v>
      </c>
      <c r="V56" s="103" t="s">
        <v>979</v>
      </c>
      <c r="W56" s="103" t="s">
        <v>1340</v>
      </c>
      <c r="X56" s="103" t="s">
        <v>1350</v>
      </c>
      <c r="Y56" s="103" t="s">
        <v>1341</v>
      </c>
      <c r="Z56" s="103" t="s">
        <v>1342</v>
      </c>
      <c r="AA56" s="103" t="s">
        <v>1343</v>
      </c>
      <c r="AB56" s="103" t="s">
        <v>1344</v>
      </c>
      <c r="AC56" s="103" t="s">
        <v>1345</v>
      </c>
      <c r="AD56" s="103" t="s">
        <v>1346</v>
      </c>
      <c r="AE56" s="103"/>
      <c r="AF56" s="103"/>
      <c r="AG56" s="103"/>
      <c r="AH56" s="103"/>
      <c r="AI56" s="103"/>
      <c r="AJ56" s="103"/>
      <c r="AK56" s="103"/>
      <c r="AL56" s="104" t="s">
        <v>979</v>
      </c>
      <c r="AM56" s="107" t="s">
        <v>1340</v>
      </c>
      <c r="AN56" s="107" t="s">
        <v>1350</v>
      </c>
      <c r="AO56" s="104" t="s">
        <v>1341</v>
      </c>
      <c r="AP56" s="104" t="s">
        <v>1342</v>
      </c>
      <c r="AQ56" s="107" t="s">
        <v>1343</v>
      </c>
      <c r="AR56" s="107" t="s">
        <v>1344</v>
      </c>
      <c r="AS56" s="107" t="s">
        <v>1345</v>
      </c>
      <c r="AT56" s="107" t="s">
        <v>1346</v>
      </c>
      <c r="AU56" s="104"/>
      <c r="AV56" s="104"/>
      <c r="AW56" s="104"/>
      <c r="AX56" s="104"/>
      <c r="AY56" s="104"/>
      <c r="AZ56" s="104"/>
      <c r="BA56" s="104"/>
      <c r="BB56" s="66"/>
      <c r="BC56" s="113" t="n">
        <v>-1</v>
      </c>
      <c r="BD56" s="103" t="n">
        <v>0</v>
      </c>
      <c r="BE56" s="103" t="n">
        <v>99</v>
      </c>
      <c r="BF56" s="103" t="n">
        <v>2</v>
      </c>
      <c r="BG56" s="103" t="n">
        <v>4</v>
      </c>
      <c r="BH56" s="103" t="n">
        <v>6</v>
      </c>
      <c r="BI56" s="103" t="n">
        <v>8</v>
      </c>
      <c r="BJ56" s="103" t="n">
        <v>10</v>
      </c>
      <c r="BK56" s="103" t="n">
        <v>12</v>
      </c>
      <c r="BL56" s="103"/>
      <c r="BM56" s="103"/>
      <c r="BN56" s="103"/>
      <c r="BO56" s="103"/>
      <c r="BP56" s="103"/>
      <c r="BQ56" s="103"/>
      <c r="BR56" s="103"/>
      <c r="BS56" s="114" t="n">
        <v>-1</v>
      </c>
      <c r="BT56" s="104" t="n">
        <v>0</v>
      </c>
      <c r="BU56" s="104" t="n">
        <v>99</v>
      </c>
      <c r="BV56" s="104" t="n">
        <v>2</v>
      </c>
      <c r="BW56" s="104" t="n">
        <v>4</v>
      </c>
      <c r="BX56" s="104" t="n">
        <v>6</v>
      </c>
      <c r="BY56" s="104" t="n">
        <v>8</v>
      </c>
      <c r="BZ56" s="104" t="n">
        <v>10</v>
      </c>
      <c r="CA56" s="104" t="n">
        <v>12</v>
      </c>
      <c r="CB56" s="104"/>
      <c r="CC56" s="104"/>
      <c r="CD56" s="104"/>
      <c r="CE56" s="104"/>
      <c r="CF56" s="104"/>
      <c r="CG56" s="104"/>
      <c r="CH56" s="104"/>
      <c r="CJ56" s="95"/>
      <c r="CK56" s="95"/>
      <c r="CL56" s="95"/>
      <c r="CM56" s="95"/>
      <c r="CN56" s="95"/>
      <c r="CO56" s="95"/>
      <c r="CP56" s="95"/>
      <c r="CQ56" s="95"/>
      <c r="CR56" s="95"/>
      <c r="CS56" s="95"/>
      <c r="CT56" s="95"/>
      <c r="CU56" s="95"/>
      <c r="CV56" s="95"/>
      <c r="CW56" s="95"/>
      <c r="CX56" s="95"/>
      <c r="CY56" s="95"/>
      <c r="CZ56" s="95"/>
      <c r="DA56" s="95"/>
      <c r="DB56" s="95"/>
      <c r="DC56" s="95"/>
      <c r="DD56" s="95"/>
      <c r="DE56" s="95"/>
      <c r="DF56" s="95"/>
      <c r="DG56" s="95"/>
      <c r="DL56" s="108"/>
      <c r="DM56" s="108"/>
      <c r="DN56" s="109" t="str">
        <f aca="false">"D6.scenario.defInput["""&amp;B56&amp;"""] = {  "&amp;E$2&amp;":"""&amp;E56&amp;""",  "&amp;C$2&amp;":"""&amp;CLEAN(SUBSTITUTE(C56,"""",""""))&amp;""",  "&amp;F$2&amp;":"""&amp;F56&amp;""",  "&amp;H$2&amp;":"""&amp;CLEAN(SUBSTITUTE(H56,"""",""""))&amp;""", "&amp;J$2&amp;":"""&amp;J56&amp;""", "&amp;L$2&amp;":"""&amp;L56&amp;""", "&amp;M$2&amp;":"""&amp;M56&amp;""", "&amp;N$2&amp;":"""&amp;N56&amp;""", "&amp;O$2&amp;":"""&amp;O56&amp;""", "&amp;P$2&amp;":"""&amp;P56&amp;""", "&amp;Q$2&amp;":"""&amp;Q56&amp;""", "&amp;R$2&amp;":"""&amp;R56&amp;""", d11t:"""&amp;CJ56&amp;""",d11p:"""&amp;CK56&amp;""",d12t:"""&amp;CL56&amp;""",d12p:"""&amp;CM56&amp;""",d13t:"""&amp;CN56&amp;""",d13p:"""&amp;CO56&amp;""",d1w:"""&amp;CP56&amp;""",d1d:"""&amp;CQ56&amp;""", d21t:"""&amp;CR56&amp;""",d21p:"""&amp;CS56&amp;""",d22t:"""&amp;CT56&amp;""",d22p:"""&amp;CU56&amp;""",d23t:"""&amp;CV56&amp;""",d23p:"""&amp;CW56&amp;""",d2w:"""&amp;CX56&amp;""",d2d:"""&amp;CY56&amp;""", d31t:"""&amp;CZ56&amp;""",d31p:"""&amp;DA56&amp;""",d32t:"""&amp;DB56&amp;""",d32p:"""&amp;DC56&amp;""",d33t:"""&amp;DD56&amp;""",d33p:"""&amp;DE56&amp;""",d3w:"""&amp;DF56&amp;""",d3d:"""&amp;DG56&amp;"""}; "</f>
        <v>D6.scenario.defInput["i115"] = {  cons:"consHWdishwash",  title:"食器洗いでのお湯使用期間",  unit:"ヶ月",  text:"食器を洗うのに水でなくお湯を沸かして使う時期は、何ヶ月ありますか", inputType:"sel115", right:"", postfix:"", nodata:"", varType:"Number", min:"", max:"", defaultValue:"-1", d11t:"",d11p:"",d12t:"",d12p:"",d13t:"",d13p:"",d1w:"",d1d:"", d21t:"",d21p:"",d22t:"",d22p:"",d23t:"",d23p:"",d2w:"",d2d:"", d31t:"",d31p:"",d32t:"",d32p:"",d33t:"",d33p:"",d3w:"",d3d:""}; </v>
      </c>
      <c r="DO56" s="110"/>
      <c r="DP56" s="110"/>
      <c r="DQ56" s="111" t="str">
        <f aca="false">"D6.scenario.defSelectValue["""&amp;U56&amp;"""]= [ """&amp;CLEAN(V56)&amp;""", """&amp;CLEAN(W56)&amp;IF(X56="","",""", """&amp;CLEAN(X56))&amp;IF(Y56="","",""", """&amp;CLEAN(Y56))&amp;IF(Z56="","",""", """&amp;CLEAN(Z56))&amp;IF(AA56="","",""", """&amp;CLEAN(AA56))&amp;IF(AB56="","",""", """&amp;CLEAN(AB56))&amp;IF(AC56="","",""", """&amp;CLEAN(AC56))&amp;IF(AD56="","",""", """&amp;CLEAN(AD56))&amp;IF(AE56="","",""", """&amp;CLEAN(AE56))&amp;IF(AF56="","",""", """&amp;CLEAN(AF56))&amp;IF(AG56="","",""", """&amp;CLEAN(AG56))&amp;IF(AH56="","",""", """&amp;CLEAN(AH56))&amp;IF(AI56="","",""", """&amp;CLEAN(AI56))&amp;IF(AJ56="","",""", """&amp;CLEAN(AJ56))&amp;IF(AK56="","",""", """&amp;CLEAN(AK56))&amp;""" ];"</f>
        <v>D6.scenario.defSelectValue["sel115"]= [ "選んで下さい", "お湯を使わない", "食器洗い機使用", "2ヶ月", "4ヶ月", "6ヶ月", "8ヶ月", "10ヶ月", "12ヶ月" ];</v>
      </c>
      <c r="DR56" s="112"/>
      <c r="DS56" s="112"/>
      <c r="DT56" s="112" t="str">
        <f aca="false">"D6.scenario.defSelectData['"&amp;U56&amp;"']= [ '"&amp;BC56&amp;"', '"&amp;BD56&amp;"', '"&amp;BE56&amp;IF(BF56="","","', '"&amp;BF56)&amp;IF(BG56="","","', '"&amp;BG56)&amp;IF(BH56="","","', '"&amp;BH56)&amp;IF(BI56="","","', '"&amp;BI56)&amp;IF(BJ56="","","', '"&amp;BJ56)&amp;IF(BK56="","","', '"&amp;BK56)&amp;IF(BL56="","","', '"&amp;BL56)&amp;IF(BM56="","","', '"&amp;BM56)&amp;IF(BN56="","","', '"&amp;BN56)&amp;IF(BO56="","","', '"&amp;BO56)&amp;IF(BP56="","","', '"&amp;BP56)&amp;IF(BQ56="","","', '"&amp;BQ56)&amp;IF(BR56="","","', '"&amp;BR56)&amp;"' ];"</f>
        <v>D6.scenario.defSelectData['sel115']= [ '-1', '0', '99', '2', '4', '6', '8', '10', '12' ];</v>
      </c>
    </row>
    <row r="57" s="88" customFormat="true" ht="43.5" hidden="false" customHeight="true" outlineLevel="0" collapsed="false">
      <c r="A57" s="66"/>
      <c r="B57" s="95" t="s">
        <v>1351</v>
      </c>
      <c r="C57" s="103" t="s">
        <v>590</v>
      </c>
      <c r="D57" s="104" t="s">
        <v>590</v>
      </c>
      <c r="E57" s="95" t="s">
        <v>232</v>
      </c>
      <c r="F57" s="103"/>
      <c r="G57" s="104"/>
      <c r="H57" s="103" t="s">
        <v>1352</v>
      </c>
      <c r="I57" s="104" t="s">
        <v>1352</v>
      </c>
      <c r="J57" s="103" t="str">
        <f aca="false">IF(K57="","",K57)</f>
        <v>sel116</v>
      </c>
      <c r="K57" s="104" t="str">
        <f aca="false">"sel"&amp;MID($B57,2,5)</f>
        <v>sel116</v>
      </c>
      <c r="L57" s="105"/>
      <c r="M57" s="105"/>
      <c r="N57" s="105"/>
      <c r="O57" s="95" t="s">
        <v>931</v>
      </c>
      <c r="P57" s="105"/>
      <c r="Q57" s="105"/>
      <c r="R57" s="95" t="n">
        <v>-1</v>
      </c>
      <c r="S57" s="66"/>
      <c r="T57" s="66"/>
      <c r="U57" s="106" t="str">
        <f aca="false">J57</f>
        <v>sel116</v>
      </c>
      <c r="V57" s="103" t="s">
        <v>979</v>
      </c>
      <c r="W57" s="103" t="s">
        <v>1185</v>
      </c>
      <c r="X57" s="103" t="s">
        <v>1353</v>
      </c>
      <c r="Y57" s="103" t="s">
        <v>1062</v>
      </c>
      <c r="Z57" s="103"/>
      <c r="AA57" s="103"/>
      <c r="AB57" s="103"/>
      <c r="AC57" s="103"/>
      <c r="AD57" s="103"/>
      <c r="AE57" s="103"/>
      <c r="AF57" s="103"/>
      <c r="AG57" s="103"/>
      <c r="AH57" s="103"/>
      <c r="AI57" s="103"/>
      <c r="AJ57" s="103"/>
      <c r="AK57" s="103"/>
      <c r="AL57" s="104" t="s">
        <v>979</v>
      </c>
      <c r="AM57" s="107" t="s">
        <v>1185</v>
      </c>
      <c r="AN57" s="107" t="s">
        <v>1353</v>
      </c>
      <c r="AO57" s="107" t="s">
        <v>1062</v>
      </c>
      <c r="AP57" s="104"/>
      <c r="AQ57" s="104"/>
      <c r="AR57" s="104"/>
      <c r="AS57" s="104"/>
      <c r="AT57" s="104"/>
      <c r="AU57" s="104"/>
      <c r="AV57" s="104"/>
      <c r="AW57" s="104"/>
      <c r="AX57" s="104"/>
      <c r="AY57" s="104"/>
      <c r="AZ57" s="104"/>
      <c r="BA57" s="104"/>
      <c r="BB57" s="66"/>
      <c r="BC57" s="113" t="n">
        <v>-1</v>
      </c>
      <c r="BD57" s="103" t="n">
        <v>1</v>
      </c>
      <c r="BE57" s="103" t="n">
        <v>2</v>
      </c>
      <c r="BF57" s="103" t="n">
        <v>3</v>
      </c>
      <c r="BG57" s="103"/>
      <c r="BH57" s="103"/>
      <c r="BI57" s="103"/>
      <c r="BJ57" s="103"/>
      <c r="BK57" s="103"/>
      <c r="BL57" s="103"/>
      <c r="BM57" s="103"/>
      <c r="BN57" s="103"/>
      <c r="BO57" s="103"/>
      <c r="BP57" s="103"/>
      <c r="BQ57" s="103"/>
      <c r="BR57" s="103"/>
      <c r="BS57" s="114" t="n">
        <v>-1</v>
      </c>
      <c r="BT57" s="104" t="n">
        <v>1</v>
      </c>
      <c r="BU57" s="104" t="n">
        <v>2</v>
      </c>
      <c r="BV57" s="104" t="n">
        <v>3</v>
      </c>
      <c r="BW57" s="104"/>
      <c r="BX57" s="104"/>
      <c r="BY57" s="104"/>
      <c r="BZ57" s="104"/>
      <c r="CA57" s="104"/>
      <c r="CB57" s="104"/>
      <c r="CC57" s="104"/>
      <c r="CD57" s="104"/>
      <c r="CE57" s="104"/>
      <c r="CF57" s="104"/>
      <c r="CG57" s="104"/>
      <c r="CH57" s="104"/>
      <c r="CJ57" s="95"/>
      <c r="CK57" s="95"/>
      <c r="CL57" s="95"/>
      <c r="CM57" s="95"/>
      <c r="CN57" s="95"/>
      <c r="CO57" s="95"/>
      <c r="CP57" s="95"/>
      <c r="CQ57" s="95"/>
      <c r="CR57" s="95" t="n">
        <v>2</v>
      </c>
      <c r="CS57" s="95" t="n">
        <v>0</v>
      </c>
      <c r="CT57" s="95" t="n">
        <v>1</v>
      </c>
      <c r="CU57" s="95" t="n">
        <v>2</v>
      </c>
      <c r="CV57" s="95"/>
      <c r="CW57" s="95"/>
      <c r="CX57" s="95" t="n">
        <v>2</v>
      </c>
      <c r="CY57" s="95" t="n">
        <v>0</v>
      </c>
      <c r="CZ57" s="95"/>
      <c r="DA57" s="95"/>
      <c r="DB57" s="95"/>
      <c r="DC57" s="95"/>
      <c r="DD57" s="95"/>
      <c r="DE57" s="95"/>
      <c r="DF57" s="95"/>
      <c r="DG57" s="95"/>
      <c r="DL57" s="108"/>
      <c r="DM57" s="108"/>
      <c r="DN57" s="109" t="str">
        <f aca="false">"D6.scenario.defInput["""&amp;B57&amp;"""] = {  "&amp;E$2&amp;":"""&amp;E57&amp;""",  "&amp;C$2&amp;":"""&amp;CLEAN(SUBSTITUTE(C57,"""",""""))&amp;""",  "&amp;F$2&amp;":"""&amp;F57&amp;""",  "&amp;H$2&amp;":"""&amp;CLEAN(SUBSTITUTE(H57,"""",""""))&amp;""", "&amp;J$2&amp;":"""&amp;J57&amp;""", "&amp;L$2&amp;":"""&amp;L57&amp;""", "&amp;M$2&amp;":"""&amp;M57&amp;""", "&amp;N$2&amp;":"""&amp;N57&amp;""", "&amp;O$2&amp;":"""&amp;O57&amp;""", "&amp;P$2&amp;":"""&amp;P57&amp;""", "&amp;Q$2&amp;":"""&amp;Q57&amp;""", "&amp;R$2&amp;":"""&amp;R57&amp;""", d11t:"""&amp;CJ57&amp;""",d11p:"""&amp;CK57&amp;""",d12t:"""&amp;CL57&amp;""",d12p:"""&amp;CM57&amp;""",d13t:"""&amp;CN57&amp;""",d13p:"""&amp;CO57&amp;""",d1w:"""&amp;CP57&amp;""",d1d:"""&amp;CQ57&amp;""", d21t:"""&amp;CR57&amp;""",d21p:"""&amp;CS57&amp;""",d22t:"""&amp;CT57&amp;""",d22p:"""&amp;CU57&amp;""",d23t:"""&amp;CV57&amp;""",d23p:"""&amp;CW57&amp;""",d2w:"""&amp;CX57&amp;""",d2d:"""&amp;CY57&amp;""", d31t:"""&amp;CZ57&amp;""",d31p:"""&amp;DA57&amp;""",d32t:"""&amp;DB57&amp;""",d32p:"""&amp;DC57&amp;""",d33t:"""&amp;DD57&amp;""",d33p:"""&amp;DE57&amp;""",d3w:"""&amp;DF57&amp;""",d3d:"""&amp;DG57&amp;"""}; "</f>
        <v>D6.scenario.defInput["i116"] = {  cons:"consHWshower",  title:"節水シャワーヘッド",  unit:"",  text:"節水シャワーヘッドを使っていますか", inputType:"sel116", right:"", postfix:"", nodata:"", varType:"Number", min:"", max:"", defaultValue:"-1", d11t:"",d11p:"",d12t:"",d12p:"",d13t:"",d13p:"",d1w:"",d1d:"", d21t:"2",d21p:"0",d22t:"1",d22p:"2",d23t:"",d23p:"",d2w:"2",d2d:"0", d31t:"",d31p:"",d32t:"",d32p:"",d33t:"",d33p:"",d3w:"",d3d:""}; </v>
      </c>
      <c r="DO57" s="110"/>
      <c r="DP57" s="110"/>
      <c r="DQ57" s="111" t="str">
        <f aca="false">"D6.scenario.defSelectValue["""&amp;U57&amp;"""]= [ """&amp;CLEAN(V57)&amp;""", """&amp;CLEAN(W57)&amp;IF(X57="","",""", """&amp;CLEAN(X57))&amp;IF(Y57="","",""", """&amp;CLEAN(Y57))&amp;IF(Z57="","",""", """&amp;CLEAN(Z57))&amp;IF(AA57="","",""", """&amp;CLEAN(AA57))&amp;IF(AB57="","",""", """&amp;CLEAN(AB57))&amp;IF(AC57="","",""", """&amp;CLEAN(AC57))&amp;IF(AD57="","",""", """&amp;CLEAN(AD57))&amp;IF(AE57="","",""", """&amp;CLEAN(AE57))&amp;IF(AF57="","",""", """&amp;CLEAN(AF57))&amp;IF(AG57="","",""", """&amp;CLEAN(AG57))&amp;IF(AH57="","",""", """&amp;CLEAN(AH57))&amp;IF(AI57="","",""", """&amp;CLEAN(AI57))&amp;IF(AJ57="","",""", """&amp;CLEAN(AJ57))&amp;IF(AK57="","",""", """&amp;CLEAN(AK57))&amp;""" ];"</f>
        <v>D6.scenario.defSelectValue["sel116"]= [ "選んで下さい", "使っている", "使っていない", "わからない" ];</v>
      </c>
      <c r="DR57" s="112"/>
      <c r="DS57" s="112"/>
      <c r="DT57" s="112" t="str">
        <f aca="false">"D6.scenario.defSelectData['"&amp;U57&amp;"']= [ '"&amp;BC57&amp;"', '"&amp;BD57&amp;"', '"&amp;BE57&amp;IF(BF57="","","', '"&amp;BF57)&amp;IF(BG57="","","', '"&amp;BG57)&amp;IF(BH57="","","', '"&amp;BH57)&amp;IF(BI57="","","', '"&amp;BI57)&amp;IF(BJ57="","","', '"&amp;BJ57)&amp;IF(BK57="","","', '"&amp;BK57)&amp;IF(BL57="","","', '"&amp;BL57)&amp;IF(BM57="","","', '"&amp;BM57)&amp;IF(BN57="","","', '"&amp;BN57)&amp;IF(BO57="","","', '"&amp;BO57)&amp;IF(BP57="","","', '"&amp;BP57)&amp;IF(BQ57="","","', '"&amp;BQ57)&amp;IF(BR57="","","', '"&amp;BR57)&amp;"' ];"</f>
        <v>D6.scenario.defSelectData['sel116']= [ '-1', '1', '2', '3' ];</v>
      </c>
    </row>
    <row r="58" s="88" customFormat="true" ht="43.5" hidden="false" customHeight="true" outlineLevel="0" collapsed="false">
      <c r="A58" s="66"/>
      <c r="B58" s="95" t="s">
        <v>1354</v>
      </c>
      <c r="C58" s="103" t="s">
        <v>1355</v>
      </c>
      <c r="D58" s="104" t="s">
        <v>1355</v>
      </c>
      <c r="E58" s="95" t="s">
        <v>230</v>
      </c>
      <c r="F58" s="103"/>
      <c r="G58" s="104"/>
      <c r="H58" s="103" t="s">
        <v>1356</v>
      </c>
      <c r="I58" s="104" t="s">
        <v>1356</v>
      </c>
      <c r="J58" s="103" t="str">
        <f aca="false">IF(K58="","",K58)</f>
        <v>sel117</v>
      </c>
      <c r="K58" s="104" t="str">
        <f aca="false">"sel"&amp;MID($B58,2,5)</f>
        <v>sel117</v>
      </c>
      <c r="L58" s="105"/>
      <c r="M58" s="105"/>
      <c r="N58" s="105"/>
      <c r="O58" s="95" t="s">
        <v>931</v>
      </c>
      <c r="P58" s="105"/>
      <c r="Q58" s="105"/>
      <c r="R58" s="95" t="n">
        <v>-1</v>
      </c>
      <c r="S58" s="66"/>
      <c r="T58" s="66"/>
      <c r="U58" s="106" t="str">
        <f aca="false">J58</f>
        <v>sel117</v>
      </c>
      <c r="V58" s="103" t="s">
        <v>979</v>
      </c>
      <c r="W58" s="103" t="s">
        <v>1357</v>
      </c>
      <c r="X58" s="103" t="s">
        <v>1358</v>
      </c>
      <c r="Y58" s="103" t="s">
        <v>1359</v>
      </c>
      <c r="Z58" s="103"/>
      <c r="AA58" s="103"/>
      <c r="AB58" s="103"/>
      <c r="AC58" s="103"/>
      <c r="AD58" s="103"/>
      <c r="AE58" s="103"/>
      <c r="AF58" s="103"/>
      <c r="AG58" s="103"/>
      <c r="AH58" s="103"/>
      <c r="AI58" s="103"/>
      <c r="AJ58" s="103"/>
      <c r="AK58" s="103"/>
      <c r="AL58" s="104" t="s">
        <v>979</v>
      </c>
      <c r="AM58" s="107" t="s">
        <v>1357</v>
      </c>
      <c r="AN58" s="107" t="s">
        <v>1358</v>
      </c>
      <c r="AO58" s="107" t="s">
        <v>1359</v>
      </c>
      <c r="AP58" s="104"/>
      <c r="AQ58" s="104"/>
      <c r="AR58" s="104"/>
      <c r="AS58" s="104"/>
      <c r="AT58" s="104"/>
      <c r="AU58" s="104"/>
      <c r="AV58" s="104"/>
      <c r="AW58" s="104"/>
      <c r="AX58" s="104"/>
      <c r="AY58" s="104"/>
      <c r="AZ58" s="104"/>
      <c r="BA58" s="104"/>
      <c r="BB58" s="66"/>
      <c r="BC58" s="113" t="n">
        <v>-1</v>
      </c>
      <c r="BD58" s="103" t="n">
        <v>1</v>
      </c>
      <c r="BE58" s="103" t="n">
        <v>2</v>
      </c>
      <c r="BF58" s="103" t="n">
        <v>3</v>
      </c>
      <c r="BG58" s="103"/>
      <c r="BH58" s="103"/>
      <c r="BI58" s="103"/>
      <c r="BJ58" s="103"/>
      <c r="BK58" s="103"/>
      <c r="BL58" s="103"/>
      <c r="BM58" s="103"/>
      <c r="BN58" s="103"/>
      <c r="BO58" s="103"/>
      <c r="BP58" s="103"/>
      <c r="BQ58" s="103"/>
      <c r="BR58" s="103"/>
      <c r="BS58" s="114" t="n">
        <v>-1</v>
      </c>
      <c r="BT58" s="104" t="n">
        <v>1</v>
      </c>
      <c r="BU58" s="104" t="n">
        <v>2</v>
      </c>
      <c r="BV58" s="104" t="n">
        <v>3</v>
      </c>
      <c r="BW58" s="104"/>
      <c r="BX58" s="104"/>
      <c r="BY58" s="104"/>
      <c r="BZ58" s="104"/>
      <c r="CA58" s="104"/>
      <c r="CB58" s="104"/>
      <c r="CC58" s="104"/>
      <c r="CD58" s="104"/>
      <c r="CE58" s="104"/>
      <c r="CF58" s="104"/>
      <c r="CG58" s="104"/>
      <c r="CH58" s="104"/>
      <c r="CJ58" s="95"/>
      <c r="CK58" s="95"/>
      <c r="CL58" s="95"/>
      <c r="CM58" s="95"/>
      <c r="CN58" s="95"/>
      <c r="CO58" s="95"/>
      <c r="CP58" s="95"/>
      <c r="CQ58" s="95"/>
      <c r="CR58" s="95" t="n">
        <v>3</v>
      </c>
      <c r="CS58" s="95" t="n">
        <v>0</v>
      </c>
      <c r="CT58" s="95" t="n">
        <v>2</v>
      </c>
      <c r="CU58" s="95" t="n">
        <v>1</v>
      </c>
      <c r="CV58" s="95" t="n">
        <v>1</v>
      </c>
      <c r="CW58" s="95" t="n">
        <v>0</v>
      </c>
      <c r="CX58" s="95" t="n">
        <v>1</v>
      </c>
      <c r="CY58" s="95" t="n">
        <v>0</v>
      </c>
      <c r="CZ58" s="95"/>
      <c r="DA58" s="95"/>
      <c r="DB58" s="95"/>
      <c r="DC58" s="95"/>
      <c r="DD58" s="95"/>
      <c r="DE58" s="95"/>
      <c r="DF58" s="95"/>
      <c r="DG58" s="95"/>
      <c r="DL58" s="108"/>
      <c r="DM58" s="108"/>
      <c r="DN58" s="109" t="str">
        <f aca="false">"D6.scenario.defInput["""&amp;B58&amp;"""] = {  "&amp;E$2&amp;":"""&amp;E58&amp;""",  "&amp;C$2&amp;":"""&amp;CLEAN(SUBSTITUTE(C58,"""",""""))&amp;""",  "&amp;F$2&amp;":"""&amp;F58&amp;""",  "&amp;H$2&amp;":"""&amp;CLEAN(SUBSTITUTE(H58,"""",""""))&amp;""", "&amp;J$2&amp;":"""&amp;J58&amp;""", "&amp;L$2&amp;":"""&amp;L58&amp;""", "&amp;M$2&amp;":"""&amp;M58&amp;""", "&amp;N$2&amp;":"""&amp;N58&amp;""", "&amp;O$2&amp;":"""&amp;O58&amp;""", "&amp;P$2&amp;":"""&amp;P58&amp;""", "&amp;Q$2&amp;":"""&amp;Q58&amp;""", "&amp;R$2&amp;":"""&amp;R58&amp;""", d11t:"""&amp;CJ58&amp;""",d11p:"""&amp;CK58&amp;""",d12t:"""&amp;CL58&amp;""",d12p:"""&amp;CM58&amp;""",d13t:"""&amp;CN58&amp;""",d13p:"""&amp;CO58&amp;""",d1w:"""&amp;CP58&amp;""",d1d:"""&amp;CQ58&amp;""", d21t:"""&amp;CR58&amp;""",d21p:"""&amp;CS58&amp;""",d22t:"""&amp;CT58&amp;""",d22p:"""&amp;CU58&amp;""",d23t:"""&amp;CV58&amp;""",d23p:"""&amp;CW58&amp;""",d2w:"""&amp;CX58&amp;""",d2d:"""&amp;CY58&amp;""", d31t:"""&amp;CZ58&amp;""",d31p:"""&amp;DA58&amp;""",d32t:"""&amp;DB58&amp;""",d32p:"""&amp;DC58&amp;""",d33t:"""&amp;DD58&amp;""",d33p:"""&amp;DE58&amp;""",d3w:"""&amp;DF58&amp;""",d3d:"""&amp;DG58&amp;"""}; "</f>
        <v>D6.scenario.defInput["i117"] = {  cons:"consHWtub",  title:"浴槽・ユニットバス",  unit:"",  text:"ユニットバスですか。また浴槽は断熱型ですか", inputType:"sel117", right:"", postfix:"", nodata:"", varType:"Number", min:"", max:"", defaultValue:"-1", d11t:"",d11p:"",d12t:"",d12p:"",d13t:"",d13p:"",d1w:"",d1d:"", d21t:"3",d21p:"0",d22t:"2",d22p:"1",d23t:"1",d23p:"0",d2w:"1",d2d:"0", d31t:"",d31p:"",d32t:"",d32p:"",d33t:"",d33p:"",d3w:"",d3d:""}; </v>
      </c>
      <c r="DO58" s="110"/>
      <c r="DP58" s="110"/>
      <c r="DQ58" s="111" t="str">
        <f aca="false">"D6.scenario.defSelectValue["""&amp;U58&amp;"""]= [ """&amp;CLEAN(V58)&amp;""", """&amp;CLEAN(W58)&amp;IF(X58="","",""", """&amp;CLEAN(X58))&amp;IF(Y58="","",""", """&amp;CLEAN(Y58))&amp;IF(Z58="","",""", """&amp;CLEAN(Z58))&amp;IF(AA58="","",""", """&amp;CLEAN(AA58))&amp;IF(AB58="","",""", """&amp;CLEAN(AB58))&amp;IF(AC58="","",""", """&amp;CLEAN(AC58))&amp;IF(AD58="","",""", """&amp;CLEAN(AD58))&amp;IF(AE58="","",""", """&amp;CLEAN(AE58))&amp;IF(AF58="","",""", """&amp;CLEAN(AF58))&amp;IF(AG58="","",""", """&amp;CLEAN(AG58))&amp;IF(AH58="","",""", """&amp;CLEAN(AH58))&amp;IF(AI58="","",""", """&amp;CLEAN(AI58))&amp;IF(AJ58="","",""", """&amp;CLEAN(AJ58))&amp;IF(AK58="","",""", """&amp;CLEAN(AK58))&amp;""" ];"</f>
        <v>D6.scenario.defSelectValue["sel117"]= [ "選んで下さい", "断熱浴槽のユニットバス", "ユニットバス", "ユニットバスでない" ];</v>
      </c>
      <c r="DR58" s="112"/>
      <c r="DS58" s="112"/>
      <c r="DT58" s="112" t="str">
        <f aca="false">"D6.scenario.defSelectData['"&amp;U58&amp;"']= [ '"&amp;BC58&amp;"', '"&amp;BD58&amp;"', '"&amp;BE58&amp;IF(BF58="","","', '"&amp;BF58)&amp;IF(BG58="","","', '"&amp;BG58)&amp;IF(BH58="","","', '"&amp;BH58)&amp;IF(BI58="","","', '"&amp;BI58)&amp;IF(BJ58="","","', '"&amp;BJ58)&amp;IF(BK58="","","', '"&amp;BK58)&amp;IF(BL58="","","', '"&amp;BL58)&amp;IF(BM58="","","', '"&amp;BM58)&amp;IF(BN58="","","', '"&amp;BN58)&amp;IF(BO58="","","', '"&amp;BO58)&amp;IF(BP58="","","', '"&amp;BP58)&amp;IF(BQ58="","","', '"&amp;BQ58)&amp;IF(BR58="","","', '"&amp;BR58)&amp;"' ];"</f>
        <v>D6.scenario.defSelectData['sel117']= [ '-1', '1', '2', '3' ];</v>
      </c>
    </row>
    <row r="59" s="88" customFormat="true" ht="43.5" hidden="false" customHeight="true" outlineLevel="0" collapsed="false">
      <c r="A59" s="66"/>
      <c r="B59" s="95" t="s">
        <v>1360</v>
      </c>
      <c r="C59" s="103" t="s">
        <v>1361</v>
      </c>
      <c r="D59" s="104" t="s">
        <v>1361</v>
      </c>
      <c r="E59" s="115" t="s">
        <v>238</v>
      </c>
      <c r="F59" s="103"/>
      <c r="G59" s="104"/>
      <c r="H59" s="103" t="s">
        <v>1362</v>
      </c>
      <c r="I59" s="104" t="s">
        <v>1362</v>
      </c>
      <c r="J59" s="103" t="str">
        <f aca="false">IF(K59="","",K59)</f>
        <v>sel131</v>
      </c>
      <c r="K59" s="104" t="str">
        <f aca="false">"sel"&amp;MID($B59,2,5)</f>
        <v>sel131</v>
      </c>
      <c r="L59" s="105"/>
      <c r="M59" s="105"/>
      <c r="N59" s="105"/>
      <c r="O59" s="95" t="s">
        <v>931</v>
      </c>
      <c r="P59" s="105"/>
      <c r="Q59" s="105"/>
      <c r="R59" s="95" t="n">
        <v>-1</v>
      </c>
      <c r="T59" s="66"/>
      <c r="U59" s="106" t="str">
        <f aca="false">J59</f>
        <v>sel131</v>
      </c>
      <c r="V59" s="103" t="s">
        <v>979</v>
      </c>
      <c r="W59" s="103" t="s">
        <v>1363</v>
      </c>
      <c r="X59" s="103" t="s">
        <v>1364</v>
      </c>
      <c r="Y59" s="103" t="s">
        <v>1365</v>
      </c>
      <c r="Z59" s="103" t="s">
        <v>1098</v>
      </c>
      <c r="AA59" s="103"/>
      <c r="AB59" s="103"/>
      <c r="AC59" s="103"/>
      <c r="AD59" s="103"/>
      <c r="AE59" s="103"/>
      <c r="AF59" s="103"/>
      <c r="AG59" s="103"/>
      <c r="AH59" s="103"/>
      <c r="AI59" s="103"/>
      <c r="AJ59" s="103"/>
      <c r="AK59" s="103"/>
      <c r="AL59" s="104" t="s">
        <v>979</v>
      </c>
      <c r="AM59" s="104" t="s">
        <v>1363</v>
      </c>
      <c r="AN59" s="107" t="s">
        <v>1364</v>
      </c>
      <c r="AO59" s="107" t="s">
        <v>1365</v>
      </c>
      <c r="AP59" s="107" t="s">
        <v>1098</v>
      </c>
      <c r="AQ59" s="104"/>
      <c r="AR59" s="104"/>
      <c r="AS59" s="104"/>
      <c r="AT59" s="104"/>
      <c r="AU59" s="104"/>
      <c r="AV59" s="104"/>
      <c r="AW59" s="104"/>
      <c r="AX59" s="104"/>
      <c r="AY59" s="104"/>
      <c r="AZ59" s="104"/>
      <c r="BA59" s="104"/>
      <c r="BB59" s="66"/>
      <c r="BC59" s="103" t="n">
        <v>-1</v>
      </c>
      <c r="BD59" s="103" t="n">
        <v>1</v>
      </c>
      <c r="BE59" s="103" t="n">
        <v>2</v>
      </c>
      <c r="BF59" s="103" t="n">
        <v>3</v>
      </c>
      <c r="BG59" s="103" t="n">
        <v>4</v>
      </c>
      <c r="BH59" s="103"/>
      <c r="BI59" s="103"/>
      <c r="BJ59" s="103"/>
      <c r="BK59" s="103"/>
      <c r="BL59" s="103"/>
      <c r="BM59" s="103"/>
      <c r="BN59" s="103"/>
      <c r="BO59" s="103"/>
      <c r="BP59" s="103"/>
      <c r="BQ59" s="103"/>
      <c r="BR59" s="103"/>
      <c r="BS59" s="104" t="n">
        <v>-1</v>
      </c>
      <c r="BT59" s="104" t="n">
        <v>1</v>
      </c>
      <c r="BU59" s="104" t="n">
        <v>2</v>
      </c>
      <c r="BV59" s="104" t="n">
        <v>3</v>
      </c>
      <c r="BW59" s="104" t="n">
        <v>4</v>
      </c>
      <c r="BX59" s="104"/>
      <c r="BY59" s="104"/>
      <c r="BZ59" s="104"/>
      <c r="CA59" s="104"/>
      <c r="CB59" s="104"/>
      <c r="CC59" s="104"/>
      <c r="CD59" s="104"/>
      <c r="CE59" s="104"/>
      <c r="CF59" s="104"/>
      <c r="CG59" s="104"/>
      <c r="CH59" s="104"/>
      <c r="CJ59" s="95"/>
      <c r="CK59" s="95"/>
      <c r="CL59" s="95"/>
      <c r="CM59" s="95"/>
      <c r="CN59" s="95"/>
      <c r="CO59" s="95"/>
      <c r="CP59" s="95"/>
      <c r="CQ59" s="95"/>
      <c r="CR59" s="95"/>
      <c r="CS59" s="95"/>
      <c r="CT59" s="95"/>
      <c r="CU59" s="95"/>
      <c r="CV59" s="95"/>
      <c r="CW59" s="95"/>
      <c r="CX59" s="95"/>
      <c r="CY59" s="95"/>
      <c r="CZ59" s="95" t="n">
        <v>4</v>
      </c>
      <c r="DA59" s="95" t="n">
        <v>2</v>
      </c>
      <c r="DB59" s="95" t="n">
        <v>2</v>
      </c>
      <c r="DC59" s="95" t="n">
        <v>1</v>
      </c>
      <c r="DD59" s="95" t="n">
        <v>1</v>
      </c>
      <c r="DE59" s="95" t="n">
        <v>0</v>
      </c>
      <c r="DF59" s="95" t="n">
        <v>1</v>
      </c>
      <c r="DG59" s="95" t="n">
        <v>0</v>
      </c>
      <c r="DL59" s="108"/>
      <c r="DM59" s="108"/>
      <c r="DN59" s="109" t="str">
        <f aca="false">"D6.scenario.defInput["""&amp;B59&amp;"""] = {  "&amp;E$2&amp;":"""&amp;E59&amp;""",  "&amp;C$2&amp;":"""&amp;CLEAN(SUBSTITUTE(C59,"""",""""))&amp;""",  "&amp;F$2&amp;":"""&amp;F59&amp;""",  "&amp;H$2&amp;":"""&amp;CLEAN(SUBSTITUTE(H59,"""",""""))&amp;""", "&amp;J$2&amp;":"""&amp;J59&amp;""", "&amp;L$2&amp;":"""&amp;L59&amp;""", "&amp;M$2&amp;":"""&amp;M59&amp;""", "&amp;N$2&amp;":"""&amp;N59&amp;""", "&amp;O$2&amp;":"""&amp;O59&amp;""", "&amp;P$2&amp;":"""&amp;P59&amp;""", "&amp;Q$2&amp;":"""&amp;Q59&amp;""", "&amp;R$2&amp;":"""&amp;R59&amp;""", d11t:"""&amp;CJ59&amp;""",d11p:"""&amp;CK59&amp;""",d12t:"""&amp;CL59&amp;""",d12p:"""&amp;CM59&amp;""",d13t:"""&amp;CN59&amp;""",d13p:"""&amp;CO59&amp;""",d1w:"""&amp;CP59&amp;""",d1d:"""&amp;CQ59&amp;""", d21t:"""&amp;CR59&amp;""",d21p:"""&amp;CS59&amp;""",d22t:"""&amp;CT59&amp;""",d22p:"""&amp;CU59&amp;""",d23t:"""&amp;CV59&amp;""",d23p:"""&amp;CW59&amp;""",d2w:"""&amp;CX59&amp;""",d2d:"""&amp;CY59&amp;""", d31t:"""&amp;CZ59&amp;""",d31p:"""&amp;DA59&amp;""",d32t:"""&amp;DB59&amp;""",d32p:"""&amp;DC59&amp;""",d33t:"""&amp;DD59&amp;""",d33p:"""&amp;DE59&amp;""",d3w:"""&amp;DF59&amp;""",d3d:"""&amp;DG59&amp;"""}; "</f>
        <v>D6.scenario.defInput["i131"] = {  cons:"consHWtoilet",  title:"便座の保温",  unit:"",  text:"便座の保温をしていますか", inputType:"sel131", right:"", postfix:"", nodata:"", varType:"Number", min:"", max:"", defaultValue:"-1", d11t:"",d11p:"",d12t:"",d12p:"",d13t:"",d13p:"",d1w:"",d1d:"", d21t:"",d21p:"",d22t:"",d22p:"",d23t:"",d23p:"",d2w:"",d2d:"", d31t:"4",d31p:"2",d32t:"2",d32p:"1",d33t:"1",d33p:"0",d3w:"1",d3d:"0"}; </v>
      </c>
      <c r="DO59" s="110"/>
      <c r="DP59" s="110"/>
      <c r="DQ59" s="111" t="str">
        <f aca="false">"D6.scenario.defSelectValue["""&amp;U59&amp;"""]= [ """&amp;CLEAN(V59)&amp;""", """&amp;CLEAN(W59)&amp;IF(X59="","",""", """&amp;CLEAN(X59))&amp;IF(Y59="","",""", """&amp;CLEAN(Y59))&amp;IF(Z59="","",""", """&amp;CLEAN(Z59))&amp;IF(AA59="","",""", """&amp;CLEAN(AA59))&amp;IF(AB59="","",""", """&amp;CLEAN(AB59))&amp;IF(AC59="","",""", """&amp;CLEAN(AC59))&amp;IF(AD59="","",""", """&amp;CLEAN(AD59))&amp;IF(AE59="","",""", """&amp;CLEAN(AE59))&amp;IF(AF59="","",""", """&amp;CLEAN(AF59))&amp;IF(AG59="","",""", """&amp;CLEAN(AG59))&amp;IF(AH59="","",""", """&amp;CLEAN(AH59))&amp;IF(AI59="","",""", """&amp;CLEAN(AI59))&amp;IF(AJ59="","",""", """&amp;CLEAN(AJ59))&amp;IF(AK59="","",""", """&amp;CLEAN(AK59))&amp;""" ];"</f>
        <v>D6.scenario.defSelectValue["sel131"]= [ "選んで下さい", "通年している", "夏以外している", "冬のみしている", "していない" ];</v>
      </c>
      <c r="DR59" s="112"/>
      <c r="DS59" s="112"/>
      <c r="DT59" s="112" t="str">
        <f aca="false">"D6.scenario.defSelectData['"&amp;U59&amp;"']= [ '"&amp;BC59&amp;"', '"&amp;BD59&amp;"', '"&amp;BE59&amp;IF(BF59="","","', '"&amp;BF59)&amp;IF(BG59="","","', '"&amp;BG59)&amp;IF(BH59="","","', '"&amp;BH59)&amp;IF(BI59="","","', '"&amp;BI59)&amp;IF(BJ59="","","', '"&amp;BJ59)&amp;IF(BK59="","","', '"&amp;BK59)&amp;IF(BL59="","","', '"&amp;BL59)&amp;IF(BM59="","","', '"&amp;BM59)&amp;IF(BN59="","","', '"&amp;BN59)&amp;IF(BO59="","","', '"&amp;BO59)&amp;IF(BP59="","","', '"&amp;BP59)&amp;IF(BQ59="","","', '"&amp;BQ59)&amp;IF(BR59="","","', '"&amp;BR59)&amp;"' ];"</f>
        <v>D6.scenario.defSelectData['sel131']= [ '-1', '1', '2', '3', '4' ];</v>
      </c>
    </row>
    <row r="60" s="88" customFormat="true" ht="43.5" hidden="false" customHeight="true" outlineLevel="0" collapsed="false">
      <c r="A60" s="66"/>
      <c r="B60" s="95" t="s">
        <v>1366</v>
      </c>
      <c r="C60" s="103" t="s">
        <v>1367</v>
      </c>
      <c r="D60" s="104" t="s">
        <v>1367</v>
      </c>
      <c r="E60" s="115" t="s">
        <v>238</v>
      </c>
      <c r="F60" s="103"/>
      <c r="G60" s="104"/>
      <c r="H60" s="103" t="s">
        <v>1368</v>
      </c>
      <c r="I60" s="104" t="s">
        <v>1368</v>
      </c>
      <c r="J60" s="103" t="str">
        <f aca="false">IF(K60="","",K60)</f>
        <v>sel132</v>
      </c>
      <c r="K60" s="104" t="str">
        <f aca="false">"sel"&amp;MID($B60,2,5)</f>
        <v>sel132</v>
      </c>
      <c r="L60" s="105"/>
      <c r="M60" s="105"/>
      <c r="N60" s="105"/>
      <c r="O60" s="95" t="s">
        <v>931</v>
      </c>
      <c r="P60" s="105"/>
      <c r="Q60" s="105"/>
      <c r="R60" s="95" t="n">
        <v>-1</v>
      </c>
      <c r="T60" s="66"/>
      <c r="U60" s="106" t="str">
        <f aca="false">J60</f>
        <v>sel132</v>
      </c>
      <c r="V60" s="103" t="s">
        <v>979</v>
      </c>
      <c r="W60" s="103" t="s">
        <v>1369</v>
      </c>
      <c r="X60" s="103" t="s">
        <v>1370</v>
      </c>
      <c r="Y60" s="103" t="s">
        <v>1371</v>
      </c>
      <c r="Z60" s="103" t="s">
        <v>1062</v>
      </c>
      <c r="AA60" s="103"/>
      <c r="AB60" s="103"/>
      <c r="AC60" s="103"/>
      <c r="AD60" s="103"/>
      <c r="AE60" s="103"/>
      <c r="AF60" s="103"/>
      <c r="AG60" s="103"/>
      <c r="AH60" s="103"/>
      <c r="AI60" s="103"/>
      <c r="AJ60" s="103"/>
      <c r="AK60" s="103"/>
      <c r="AL60" s="104" t="s">
        <v>979</v>
      </c>
      <c r="AM60" s="104" t="s">
        <v>1369</v>
      </c>
      <c r="AN60" s="107" t="s">
        <v>1370</v>
      </c>
      <c r="AO60" s="107" t="s">
        <v>1371</v>
      </c>
      <c r="AP60" s="107" t="s">
        <v>1062</v>
      </c>
      <c r="AQ60" s="104"/>
      <c r="AR60" s="104"/>
      <c r="AS60" s="104"/>
      <c r="AT60" s="104"/>
      <c r="AU60" s="104"/>
      <c r="AV60" s="104"/>
      <c r="AW60" s="104"/>
      <c r="AX60" s="104"/>
      <c r="AY60" s="104"/>
      <c r="AZ60" s="104"/>
      <c r="BA60" s="104"/>
      <c r="BB60" s="66"/>
      <c r="BC60" s="103" t="n">
        <v>-1</v>
      </c>
      <c r="BD60" s="103" t="n">
        <v>1</v>
      </c>
      <c r="BE60" s="103" t="n">
        <v>2</v>
      </c>
      <c r="BF60" s="103" t="n">
        <v>3</v>
      </c>
      <c r="BG60" s="103" t="n">
        <v>4</v>
      </c>
      <c r="BH60" s="103"/>
      <c r="BI60" s="103"/>
      <c r="BJ60" s="103"/>
      <c r="BK60" s="103"/>
      <c r="BL60" s="103"/>
      <c r="BM60" s="103"/>
      <c r="BN60" s="103"/>
      <c r="BO60" s="103"/>
      <c r="BP60" s="103"/>
      <c r="BQ60" s="103"/>
      <c r="BR60" s="103"/>
      <c r="BS60" s="104" t="n">
        <v>-1</v>
      </c>
      <c r="BT60" s="104" t="n">
        <v>1</v>
      </c>
      <c r="BU60" s="104" t="n">
        <v>2</v>
      </c>
      <c r="BV60" s="104" t="n">
        <v>3</v>
      </c>
      <c r="BW60" s="104" t="n">
        <v>4</v>
      </c>
      <c r="BX60" s="104"/>
      <c r="BY60" s="104"/>
      <c r="BZ60" s="104"/>
      <c r="CA60" s="104"/>
      <c r="CB60" s="104"/>
      <c r="CC60" s="104"/>
      <c r="CD60" s="104"/>
      <c r="CE60" s="104"/>
      <c r="CF60" s="104"/>
      <c r="CG60" s="104"/>
      <c r="CH60" s="104"/>
      <c r="CJ60" s="95"/>
      <c r="CK60" s="95"/>
      <c r="CL60" s="95"/>
      <c r="CM60" s="95"/>
      <c r="CN60" s="95"/>
      <c r="CO60" s="95"/>
      <c r="CP60" s="95"/>
      <c r="CQ60" s="95"/>
      <c r="CR60" s="95"/>
      <c r="CS60" s="95"/>
      <c r="CT60" s="95"/>
      <c r="CU60" s="95"/>
      <c r="CV60" s="95"/>
      <c r="CW60" s="95"/>
      <c r="CX60" s="95"/>
      <c r="CY60" s="95"/>
      <c r="CZ60" s="95" t="n">
        <v>4</v>
      </c>
      <c r="DA60" s="95" t="n">
        <v>0</v>
      </c>
      <c r="DB60" s="95" t="n">
        <v>3</v>
      </c>
      <c r="DC60" s="95" t="n">
        <v>1</v>
      </c>
      <c r="DD60" s="95" t="n">
        <v>2</v>
      </c>
      <c r="DE60" s="95" t="n">
        <v>2</v>
      </c>
      <c r="DF60" s="95" t="n">
        <v>1</v>
      </c>
      <c r="DG60" s="95" t="n">
        <v>0</v>
      </c>
      <c r="DL60" s="108"/>
      <c r="DM60" s="108"/>
      <c r="DN60" s="109" t="str">
        <f aca="false">"D6.scenario.defInput["""&amp;B60&amp;"""] = {  "&amp;E$2&amp;":"""&amp;E60&amp;""",  "&amp;C$2&amp;":"""&amp;CLEAN(SUBSTITUTE(C60,"""",""""))&amp;""",  "&amp;F$2&amp;":"""&amp;F60&amp;""",  "&amp;H$2&amp;":"""&amp;CLEAN(SUBSTITUTE(H60,"""",""""))&amp;""", "&amp;J$2&amp;":"""&amp;J60&amp;""", "&amp;L$2&amp;":"""&amp;L60&amp;""", "&amp;M$2&amp;":"""&amp;M60&amp;""", "&amp;N$2&amp;":"""&amp;N60&amp;""", "&amp;O$2&amp;":"""&amp;O60&amp;""", "&amp;P$2&amp;":"""&amp;P60&amp;""", "&amp;Q$2&amp;":"""&amp;Q60&amp;""", "&amp;R$2&amp;":"""&amp;R60&amp;""", d11t:"""&amp;CJ60&amp;""",d11p:"""&amp;CK60&amp;""",d12t:"""&amp;CL60&amp;""",d12p:"""&amp;CM60&amp;""",d13t:"""&amp;CN60&amp;""",d13p:"""&amp;CO60&amp;""",d1w:"""&amp;CP60&amp;""",d1d:"""&amp;CQ60&amp;""", d21t:"""&amp;CR60&amp;""",d21p:"""&amp;CS60&amp;""",d22t:"""&amp;CT60&amp;""",d22p:"""&amp;CU60&amp;""",d23t:"""&amp;CV60&amp;""",d23p:"""&amp;CW60&amp;""",d2w:"""&amp;CX60&amp;""",d2d:"""&amp;CY60&amp;""", d31t:"""&amp;CZ60&amp;""",d31p:"""&amp;DA60&amp;""",d32t:"""&amp;DB60&amp;""",d32p:"""&amp;DC60&amp;""",d33t:"""&amp;DD60&amp;""",d33p:"""&amp;DE60&amp;""",d3w:"""&amp;DF60&amp;""",d3d:"""&amp;DG60&amp;"""}; "</f>
        <v>D6.scenario.defInput["i132"] = {  cons:"consHWtoilet",  title:"便座の温度設定",  unit:"",  text:"便座の温度設定はどうしていますか", inputType:"sel132", right:"", postfix:"", nodata:"", varType:"Number", min:"", max:"", defaultValue:"-1", d11t:"",d11p:"",d12t:"",d12p:"",d13t:"",d13p:"",d1w:"",d1d:"", d21t:"",d21p:"",d22t:"",d22p:"",d23t:"",d23p:"",d2w:"",d2d:"", d31t:"4",d31p:"0",d32t:"3",d32p:"1",d33t:"2",d33p:"2",d3w:"1",d3d:"0"}; </v>
      </c>
      <c r="DO60" s="110"/>
      <c r="DP60" s="110"/>
      <c r="DQ60" s="111" t="str">
        <f aca="false">"D6.scenario.defSelectValue["""&amp;U60&amp;"""]= [ """&amp;CLEAN(V60)&amp;""", """&amp;CLEAN(W60)&amp;IF(X60="","",""", """&amp;CLEAN(X60))&amp;IF(Y60="","",""", """&amp;CLEAN(Y60))&amp;IF(Z60="","",""", """&amp;CLEAN(Z60))&amp;IF(AA60="","",""", """&amp;CLEAN(AA60))&amp;IF(AB60="","",""", """&amp;CLEAN(AB60))&amp;IF(AC60="","",""", """&amp;CLEAN(AC60))&amp;IF(AD60="","",""", """&amp;CLEAN(AD60))&amp;IF(AE60="","",""", """&amp;CLEAN(AE60))&amp;IF(AF60="","",""", """&amp;CLEAN(AF60))&amp;IF(AG60="","",""", """&amp;CLEAN(AG60))&amp;IF(AH60="","",""", """&amp;CLEAN(AH60))&amp;IF(AI60="","",""", """&amp;CLEAN(AI60))&amp;IF(AJ60="","",""", """&amp;CLEAN(AJ60))&amp;IF(AK60="","",""", """&amp;CLEAN(AK60))&amp;""" ];"</f>
        <v>D6.scenario.defSelectValue["sel132"]= [ "選んで下さい", "高め", "ふつう", "低め", "わからない" ];</v>
      </c>
      <c r="DR60" s="112"/>
      <c r="DS60" s="112"/>
      <c r="DT60" s="112" t="str">
        <f aca="false">"D6.scenario.defSelectData['"&amp;U60&amp;"']= [ '"&amp;BC60&amp;"', '"&amp;BD60&amp;"', '"&amp;BE60&amp;IF(BF60="","","', '"&amp;BF60)&amp;IF(BG60="","","', '"&amp;BG60)&amp;IF(BH60="","","', '"&amp;BH60)&amp;IF(BI60="","","', '"&amp;BI60)&amp;IF(BJ60="","","', '"&amp;BJ60)&amp;IF(BK60="","","', '"&amp;BK60)&amp;IF(BL60="","","', '"&amp;BL60)&amp;IF(BM60="","","', '"&amp;BM60)&amp;IF(BN60="","","', '"&amp;BN60)&amp;IF(BO60="","","', '"&amp;BO60)&amp;IF(BP60="","","', '"&amp;BP60)&amp;IF(BQ60="","","', '"&amp;BQ60)&amp;IF(BR60="","","', '"&amp;BR60)&amp;"' ];"</f>
        <v>D6.scenario.defSelectData['sel132']= [ '-1', '1', '2', '3', '4' ];</v>
      </c>
    </row>
    <row r="61" s="88" customFormat="true" ht="43.5" hidden="false" customHeight="true" outlineLevel="0" collapsed="false">
      <c r="A61" s="66"/>
      <c r="B61" s="95" t="s">
        <v>1372</v>
      </c>
      <c r="C61" s="103" t="s">
        <v>1373</v>
      </c>
      <c r="D61" s="104" t="s">
        <v>1373</v>
      </c>
      <c r="E61" s="115" t="s">
        <v>238</v>
      </c>
      <c r="F61" s="103"/>
      <c r="G61" s="104"/>
      <c r="H61" s="103" t="s">
        <v>1374</v>
      </c>
      <c r="I61" s="104" t="s">
        <v>1374</v>
      </c>
      <c r="J61" s="103" t="str">
        <f aca="false">IF(K61="","",K61)</f>
        <v>sel133</v>
      </c>
      <c r="K61" s="104" t="str">
        <f aca="false">"sel"&amp;MID($B61,2,5)</f>
        <v>sel133</v>
      </c>
      <c r="L61" s="105"/>
      <c r="M61" s="105"/>
      <c r="N61" s="105"/>
      <c r="O61" s="95" t="s">
        <v>931</v>
      </c>
      <c r="P61" s="105"/>
      <c r="Q61" s="105"/>
      <c r="R61" s="95" t="n">
        <v>-1</v>
      </c>
      <c r="T61" s="66"/>
      <c r="U61" s="106" t="str">
        <f aca="false">J61</f>
        <v>sel133</v>
      </c>
      <c r="V61" s="103" t="s">
        <v>979</v>
      </c>
      <c r="W61" s="103" t="s">
        <v>1140</v>
      </c>
      <c r="X61" s="116" t="s">
        <v>1141</v>
      </c>
      <c r="Y61" s="103"/>
      <c r="Z61" s="103"/>
      <c r="AA61" s="103"/>
      <c r="AB61" s="103"/>
      <c r="AC61" s="103"/>
      <c r="AD61" s="103"/>
      <c r="AE61" s="103"/>
      <c r="AF61" s="103"/>
      <c r="AG61" s="103"/>
      <c r="AH61" s="103"/>
      <c r="AI61" s="103"/>
      <c r="AJ61" s="103"/>
      <c r="AK61" s="103"/>
      <c r="AL61" s="104" t="s">
        <v>979</v>
      </c>
      <c r="AM61" s="107" t="s">
        <v>1140</v>
      </c>
      <c r="AN61" s="117" t="s">
        <v>1141</v>
      </c>
      <c r="AO61" s="104"/>
      <c r="AP61" s="104"/>
      <c r="AQ61" s="104"/>
      <c r="AR61" s="104"/>
      <c r="AS61" s="104"/>
      <c r="AT61" s="104"/>
      <c r="AU61" s="104"/>
      <c r="AV61" s="104"/>
      <c r="AW61" s="104"/>
      <c r="AX61" s="104"/>
      <c r="AY61" s="104"/>
      <c r="AZ61" s="104"/>
      <c r="BA61" s="104"/>
      <c r="BB61" s="66"/>
      <c r="BC61" s="103" t="n">
        <v>-1</v>
      </c>
      <c r="BD61" s="103" t="n">
        <v>1</v>
      </c>
      <c r="BE61" s="103" t="n">
        <v>2</v>
      </c>
      <c r="BF61" s="103"/>
      <c r="BG61" s="103"/>
      <c r="BH61" s="103"/>
      <c r="BI61" s="103"/>
      <c r="BJ61" s="103"/>
      <c r="BK61" s="103"/>
      <c r="BL61" s="103"/>
      <c r="BM61" s="103"/>
      <c r="BN61" s="103"/>
      <c r="BO61" s="103"/>
      <c r="BP61" s="103"/>
      <c r="BQ61" s="103"/>
      <c r="BR61" s="103"/>
      <c r="BS61" s="104" t="n">
        <v>-1</v>
      </c>
      <c r="BT61" s="104" t="n">
        <v>1</v>
      </c>
      <c r="BU61" s="104" t="n">
        <v>2</v>
      </c>
      <c r="BV61" s="104"/>
      <c r="BW61" s="104"/>
      <c r="BX61" s="104"/>
      <c r="BY61" s="104"/>
      <c r="BZ61" s="104"/>
      <c r="CA61" s="104"/>
      <c r="CB61" s="104"/>
      <c r="CC61" s="104"/>
      <c r="CD61" s="104"/>
      <c r="CE61" s="104"/>
      <c r="CF61" s="104"/>
      <c r="CG61" s="104"/>
      <c r="CH61" s="104"/>
      <c r="CJ61" s="95"/>
      <c r="CK61" s="95"/>
      <c r="CL61" s="95"/>
      <c r="CM61" s="95"/>
      <c r="CN61" s="95"/>
      <c r="CO61" s="95"/>
      <c r="CP61" s="95"/>
      <c r="CQ61" s="95"/>
      <c r="CR61" s="95"/>
      <c r="CS61" s="95"/>
      <c r="CT61" s="95"/>
      <c r="CU61" s="95"/>
      <c r="CV61" s="95"/>
      <c r="CW61" s="95"/>
      <c r="CX61" s="95"/>
      <c r="CY61" s="95"/>
      <c r="CZ61" s="95"/>
      <c r="DA61" s="95"/>
      <c r="DB61" s="95"/>
      <c r="DC61" s="95"/>
      <c r="DD61" s="95"/>
      <c r="DE61" s="95"/>
      <c r="DF61" s="95"/>
      <c r="DG61" s="95"/>
      <c r="DL61" s="108"/>
      <c r="DM61" s="108"/>
      <c r="DN61" s="109" t="str">
        <f aca="false">"D6.scenario.defInput["""&amp;B61&amp;"""] = {  "&amp;E$2&amp;":"""&amp;E61&amp;""",  "&amp;C$2&amp;":"""&amp;CLEAN(SUBSTITUTE(C61,"""",""""))&amp;""",  "&amp;F$2&amp;":"""&amp;F61&amp;""",  "&amp;H$2&amp;":"""&amp;CLEAN(SUBSTITUTE(H61,"""",""""))&amp;""", "&amp;J$2&amp;":"""&amp;J61&amp;""", "&amp;L$2&amp;":"""&amp;L61&amp;""", "&amp;M$2&amp;":"""&amp;M61&amp;""", "&amp;N$2&amp;":"""&amp;N61&amp;""", "&amp;O$2&amp;":"""&amp;O61&amp;""", "&amp;P$2&amp;":"""&amp;P61&amp;""", "&amp;Q$2&amp;":"""&amp;Q61&amp;""", "&amp;R$2&amp;":"""&amp;R61&amp;""", d11t:"""&amp;CJ61&amp;""",d11p:"""&amp;CK61&amp;""",d12t:"""&amp;CL61&amp;""",d12p:"""&amp;CM61&amp;""",d13t:"""&amp;CN61&amp;""",d13p:"""&amp;CO61&amp;""",d1w:"""&amp;CP61&amp;""",d1d:"""&amp;CQ61&amp;""", d21t:"""&amp;CR61&amp;""",d21p:"""&amp;CS61&amp;""",d22t:"""&amp;CT61&amp;""",d22p:"""&amp;CU61&amp;""",d23t:"""&amp;CV61&amp;""",d23p:"""&amp;CW61&amp;""",d2w:"""&amp;CX61&amp;""",d2d:"""&amp;CY61&amp;""", d31t:"""&amp;CZ61&amp;""",d31p:"""&amp;DA61&amp;""",d32t:"""&amp;DB61&amp;""",d32p:"""&amp;DC61&amp;""",d33t:"""&amp;DD61&amp;""",d33p:"""&amp;DE61&amp;""",d3w:"""&amp;DF61&amp;""",d3d:"""&amp;DG61&amp;"""}; "</f>
        <v>D6.scenario.defInput["i133"] = {  cons:"consHWtoilet",  title:"瞬間式保温便座",  unit:"",  text:"瞬間式の保温便座ですか", inputType:"sel133", right:"", postfix:"", nodata:"", varType:"Number", min:"", max:"", defaultValue:"-1", d11t:"",d11p:"",d12t:"",d12p:"",d13t:"",d13p:"",d1w:"",d1d:"", d21t:"",d21p:"",d22t:"",d22p:"",d23t:"",d23p:"",d2w:"",d2d:"", d31t:"",d31p:"",d32t:"",d32p:"",d33t:"",d33p:"",d3w:"",d3d:""}; </v>
      </c>
      <c r="DO61" s="110"/>
      <c r="DP61" s="110"/>
      <c r="DQ61" s="111" t="str">
        <f aca="false">"D6.scenario.defSelectValue["""&amp;U61&amp;"""]= [ """&amp;CLEAN(V61)&amp;""", """&amp;CLEAN(W61)&amp;IF(X61="","",""", """&amp;CLEAN(X61))&amp;IF(Y61="","",""", """&amp;CLEAN(Y61))&amp;IF(Z61="","",""", """&amp;CLEAN(Z61))&amp;IF(AA61="","",""", """&amp;CLEAN(AA61))&amp;IF(AB61="","",""", """&amp;CLEAN(AB61))&amp;IF(AC61="","",""", """&amp;CLEAN(AC61))&amp;IF(AD61="","",""", """&amp;CLEAN(AD61))&amp;IF(AE61="","",""", """&amp;CLEAN(AE61))&amp;IF(AF61="","",""", """&amp;CLEAN(AF61))&amp;IF(AG61="","",""", """&amp;CLEAN(AG61))&amp;IF(AH61="","",""", """&amp;CLEAN(AH61))&amp;IF(AI61="","",""", """&amp;CLEAN(AI61))&amp;IF(AJ61="","",""", """&amp;CLEAN(AJ61))&amp;IF(AK61="","",""", """&amp;CLEAN(AK61))&amp;""" ];"</f>
        <v>D6.scenario.defSelectValue["sel133"]= [ "選んで下さい", "はい", "いいえ" ];</v>
      </c>
      <c r="DR61" s="112"/>
      <c r="DS61" s="112"/>
      <c r="DT61" s="112" t="str">
        <f aca="false">"D6.scenario.defSelectData['"&amp;U61&amp;"']= [ '"&amp;BC61&amp;"', '"&amp;BD61&amp;"', '"&amp;BE61&amp;IF(BF61="","","', '"&amp;BF61)&amp;IF(BG61="","","', '"&amp;BG61)&amp;IF(BH61="","","', '"&amp;BH61)&amp;IF(BI61="","","', '"&amp;BI61)&amp;IF(BJ61="","","', '"&amp;BJ61)&amp;IF(BK61="","","', '"&amp;BK61)&amp;IF(BL61="","","', '"&amp;BL61)&amp;IF(BM61="","","', '"&amp;BM61)&amp;IF(BN61="","","', '"&amp;BN61)&amp;IF(BO61="","","', '"&amp;BO61)&amp;IF(BP61="","","', '"&amp;BP61)&amp;IF(BQ61="","","', '"&amp;BQ61)&amp;IF(BR61="","","', '"&amp;BR61)&amp;"' ];"</f>
        <v>D6.scenario.defSelectData['sel133']= [ '-1', '1', '2' ];</v>
      </c>
    </row>
    <row r="62" s="88" customFormat="true" ht="43.5" hidden="false" customHeight="true" outlineLevel="0" collapsed="false">
      <c r="A62" s="66"/>
      <c r="B62" s="95" t="s">
        <v>1375</v>
      </c>
      <c r="C62" s="103" t="s">
        <v>664</v>
      </c>
      <c r="D62" s="104" t="s">
        <v>664</v>
      </c>
      <c r="E62" s="115" t="s">
        <v>238</v>
      </c>
      <c r="F62" s="103"/>
      <c r="G62" s="104"/>
      <c r="H62" s="103" t="s">
        <v>1376</v>
      </c>
      <c r="I62" s="104" t="s">
        <v>1376</v>
      </c>
      <c r="J62" s="103" t="str">
        <f aca="false">IF(K62="","",K62)</f>
        <v>sel134</v>
      </c>
      <c r="K62" s="104" t="str">
        <f aca="false">"sel"&amp;MID($B62,2,5)</f>
        <v>sel134</v>
      </c>
      <c r="L62" s="105"/>
      <c r="M62" s="105"/>
      <c r="N62" s="105"/>
      <c r="O62" s="95" t="s">
        <v>931</v>
      </c>
      <c r="P62" s="105"/>
      <c r="Q62" s="105"/>
      <c r="R62" s="95" t="n">
        <v>-1</v>
      </c>
      <c r="T62" s="66"/>
      <c r="U62" s="106" t="str">
        <f aca="false">J62</f>
        <v>sel134</v>
      </c>
      <c r="V62" s="103" t="s">
        <v>979</v>
      </c>
      <c r="W62" s="103" t="s">
        <v>1140</v>
      </c>
      <c r="X62" s="116" t="s">
        <v>1141</v>
      </c>
      <c r="Y62" s="103"/>
      <c r="Z62" s="103"/>
      <c r="AA62" s="103"/>
      <c r="AB62" s="103"/>
      <c r="AC62" s="103"/>
      <c r="AD62" s="103"/>
      <c r="AE62" s="103"/>
      <c r="AF62" s="103"/>
      <c r="AG62" s="103"/>
      <c r="AH62" s="103"/>
      <c r="AI62" s="103"/>
      <c r="AJ62" s="103"/>
      <c r="AK62" s="103"/>
      <c r="AL62" s="104" t="s">
        <v>979</v>
      </c>
      <c r="AM62" s="107" t="s">
        <v>1140</v>
      </c>
      <c r="AN62" s="117" t="s">
        <v>1141</v>
      </c>
      <c r="AO62" s="104"/>
      <c r="AP62" s="104"/>
      <c r="AQ62" s="104"/>
      <c r="AR62" s="104"/>
      <c r="AS62" s="104"/>
      <c r="AT62" s="104"/>
      <c r="AU62" s="104"/>
      <c r="AV62" s="104"/>
      <c r="AW62" s="104"/>
      <c r="AX62" s="104"/>
      <c r="AY62" s="104"/>
      <c r="AZ62" s="104"/>
      <c r="BA62" s="104"/>
      <c r="BB62" s="66"/>
      <c r="BC62" s="103" t="n">
        <v>-1</v>
      </c>
      <c r="BD62" s="103" t="n">
        <v>1</v>
      </c>
      <c r="BE62" s="103" t="n">
        <v>2</v>
      </c>
      <c r="BF62" s="103"/>
      <c r="BG62" s="103"/>
      <c r="BH62" s="103"/>
      <c r="BI62" s="103"/>
      <c r="BJ62" s="103"/>
      <c r="BK62" s="103"/>
      <c r="BL62" s="103"/>
      <c r="BM62" s="103"/>
      <c r="BN62" s="103"/>
      <c r="BO62" s="103"/>
      <c r="BP62" s="103"/>
      <c r="BQ62" s="103"/>
      <c r="BR62" s="103"/>
      <c r="BS62" s="104" t="n">
        <v>-1</v>
      </c>
      <c r="BT62" s="104" t="n">
        <v>1</v>
      </c>
      <c r="BU62" s="104" t="n">
        <v>2</v>
      </c>
      <c r="BV62" s="104"/>
      <c r="BW62" s="104"/>
      <c r="BX62" s="104"/>
      <c r="BY62" s="104"/>
      <c r="BZ62" s="104"/>
      <c r="CA62" s="104"/>
      <c r="CB62" s="104"/>
      <c r="CC62" s="104"/>
      <c r="CD62" s="104"/>
      <c r="CE62" s="104"/>
      <c r="CF62" s="104"/>
      <c r="CG62" s="104"/>
      <c r="CH62" s="104"/>
      <c r="CJ62" s="95"/>
      <c r="CK62" s="95"/>
      <c r="CL62" s="95"/>
      <c r="CM62" s="95"/>
      <c r="CN62" s="95"/>
      <c r="CO62" s="95"/>
      <c r="CP62" s="95"/>
      <c r="CQ62" s="95"/>
      <c r="CR62" s="95"/>
      <c r="CS62" s="95"/>
      <c r="CT62" s="95"/>
      <c r="CU62" s="95"/>
      <c r="CV62" s="95"/>
      <c r="CW62" s="95"/>
      <c r="CX62" s="95"/>
      <c r="CY62" s="95"/>
      <c r="CZ62" s="95" t="n">
        <v>2</v>
      </c>
      <c r="DA62" s="95" t="n">
        <v>0</v>
      </c>
      <c r="DB62" s="95" t="n">
        <v>1</v>
      </c>
      <c r="DC62" s="95" t="n">
        <v>2</v>
      </c>
      <c r="DD62" s="95"/>
      <c r="DE62" s="95" t="n">
        <v>1</v>
      </c>
      <c r="DF62" s="95" t="n">
        <v>1</v>
      </c>
      <c r="DG62" s="95"/>
      <c r="DL62" s="108"/>
      <c r="DM62" s="108"/>
      <c r="DN62" s="109" t="str">
        <f aca="false">"D6.scenario.defInput["""&amp;B62&amp;"""] = {  "&amp;E$2&amp;":"""&amp;E62&amp;""",  "&amp;C$2&amp;":"""&amp;CLEAN(SUBSTITUTE(C62,"""",""""))&amp;""",  "&amp;F$2&amp;":"""&amp;F62&amp;""",  "&amp;H$2&amp;":"""&amp;CLEAN(SUBSTITUTE(H62,"""",""""))&amp;""", "&amp;J$2&amp;":"""&amp;J62&amp;""", "&amp;L$2&amp;":"""&amp;L62&amp;""", "&amp;M$2&amp;":"""&amp;M62&amp;""", "&amp;N$2&amp;":"""&amp;N62&amp;""", "&amp;O$2&amp;":"""&amp;O62&amp;""", "&amp;P$2&amp;":"""&amp;P62&amp;""", "&amp;Q$2&amp;":"""&amp;Q62&amp;""", "&amp;R$2&amp;":"""&amp;R62&amp;""", d11t:"""&amp;CJ62&amp;""",d11p:"""&amp;CK62&amp;""",d12t:"""&amp;CL62&amp;""",d12p:"""&amp;CM62&amp;""",d13t:"""&amp;CN62&amp;""",d13p:"""&amp;CO62&amp;""",d1w:"""&amp;CP62&amp;""",d1d:"""&amp;CQ62&amp;""", d21t:"""&amp;CR62&amp;""",d21p:"""&amp;CS62&amp;""",d22t:"""&amp;CT62&amp;""",d22p:"""&amp;CU62&amp;""",d23t:"""&amp;CV62&amp;""",d23p:"""&amp;CW62&amp;""",d2w:"""&amp;CX62&amp;""",d2d:"""&amp;CY62&amp;""", d31t:"""&amp;CZ62&amp;""",d31p:"""&amp;DA62&amp;""",d32t:"""&amp;DB62&amp;""",d32p:"""&amp;DC62&amp;""",d33t:"""&amp;DD62&amp;""",d33p:"""&amp;DE62&amp;""",d3w:"""&amp;DF62&amp;""",d3d:"""&amp;DG62&amp;"""}; "</f>
        <v>D6.scenario.defInput["i134"] = {  cons:"consHWtoilet",  title:"便座のふたを閉める",  unit:"",  text:"使用後に便座のふたを閉めていますか", inputType:"sel134", right:"", postfix:"", nodata:"", varType:"Number", min:"", max:"", defaultValue:"-1", d11t:"",d11p:"",d12t:"",d12p:"",d13t:"",d13p:"",d1w:"",d1d:"", d21t:"",d21p:"",d22t:"",d22p:"",d23t:"",d23p:"",d2w:"",d2d:"", d31t:"2",d31p:"0",d32t:"1",d32p:"2",d33t:"",d33p:"1",d3w:"1",d3d:""}; </v>
      </c>
      <c r="DO62" s="110"/>
      <c r="DP62" s="110"/>
      <c r="DQ62" s="111" t="str">
        <f aca="false">"D6.scenario.defSelectValue["""&amp;U62&amp;"""]= [ """&amp;CLEAN(V62)&amp;""", """&amp;CLEAN(W62)&amp;IF(X62="","",""", """&amp;CLEAN(X62))&amp;IF(Y62="","",""", """&amp;CLEAN(Y62))&amp;IF(Z62="","",""", """&amp;CLEAN(Z62))&amp;IF(AA62="","",""", """&amp;CLEAN(AA62))&amp;IF(AB62="","",""", """&amp;CLEAN(AB62))&amp;IF(AC62="","",""", """&amp;CLEAN(AC62))&amp;IF(AD62="","",""", """&amp;CLEAN(AD62))&amp;IF(AE62="","",""", """&amp;CLEAN(AE62))&amp;IF(AF62="","",""", """&amp;CLEAN(AF62))&amp;IF(AG62="","",""", """&amp;CLEAN(AG62))&amp;IF(AH62="","",""", """&amp;CLEAN(AH62))&amp;IF(AI62="","",""", """&amp;CLEAN(AI62))&amp;IF(AJ62="","",""", """&amp;CLEAN(AJ62))&amp;IF(AK62="","",""", """&amp;CLEAN(AK62))&amp;""" ];"</f>
        <v>D6.scenario.defSelectValue["sel134"]= [ "選んで下さい", "はい", "いいえ" ];</v>
      </c>
      <c r="DR62" s="112"/>
      <c r="DS62" s="112"/>
      <c r="DT62" s="112" t="str">
        <f aca="false">"D6.scenario.defSelectData['"&amp;U62&amp;"']= [ '"&amp;BC62&amp;"', '"&amp;BD62&amp;"', '"&amp;BE62&amp;IF(BF62="","","', '"&amp;BF62)&amp;IF(BG62="","","', '"&amp;BG62)&amp;IF(BH62="","","', '"&amp;BH62)&amp;IF(BI62="","","', '"&amp;BI62)&amp;IF(BJ62="","","', '"&amp;BJ62)&amp;IF(BK62="","","', '"&amp;BK62)&amp;IF(BL62="","","', '"&amp;BL62)&amp;IF(BM62="","","', '"&amp;BM62)&amp;IF(BN62="","","', '"&amp;BN62)&amp;IF(BO62="","","', '"&amp;BO62)&amp;IF(BP62="","","', '"&amp;BP62)&amp;IF(BQ62="","","', '"&amp;BQ62)&amp;IF(BR62="","","', '"&amp;BR62)&amp;"' ];"</f>
        <v>D6.scenario.defSelectData['sel134']= [ '-1', '1', '2' ];</v>
      </c>
    </row>
    <row r="63" s="88" customFormat="true" ht="43.5" hidden="false" customHeight="true" outlineLevel="0" collapsed="false">
      <c r="A63" s="66"/>
      <c r="B63" s="95" t="s">
        <v>1377</v>
      </c>
      <c r="C63" s="103" t="s">
        <v>1378</v>
      </c>
      <c r="D63" s="104" t="s">
        <v>1378</v>
      </c>
      <c r="E63" s="95" t="s">
        <v>240</v>
      </c>
      <c r="F63" s="103"/>
      <c r="G63" s="104"/>
      <c r="H63" s="103" t="s">
        <v>1379</v>
      </c>
      <c r="I63" s="104" t="s">
        <v>1379</v>
      </c>
      <c r="J63" s="103" t="str">
        <f aca="false">IF(K63="","",K63)</f>
        <v>sel201</v>
      </c>
      <c r="K63" s="104" t="str">
        <f aca="false">"sel"&amp;MID($B63,2,5)</f>
        <v>sel201</v>
      </c>
      <c r="L63" s="105"/>
      <c r="M63" s="105"/>
      <c r="N63" s="105"/>
      <c r="O63" s="95" t="s">
        <v>931</v>
      </c>
      <c r="P63" s="105"/>
      <c r="Q63" s="105"/>
      <c r="R63" s="95" t="n">
        <v>-1</v>
      </c>
      <c r="S63" s="66"/>
      <c r="T63" s="66"/>
      <c r="U63" s="106" t="str">
        <f aca="false">J63</f>
        <v>sel201</v>
      </c>
      <c r="V63" s="103" t="s">
        <v>979</v>
      </c>
      <c r="W63" s="103" t="s">
        <v>1380</v>
      </c>
      <c r="X63" s="103" t="s">
        <v>1381</v>
      </c>
      <c r="Y63" s="103" t="s">
        <v>1382</v>
      </c>
      <c r="Z63" s="103" t="s">
        <v>1383</v>
      </c>
      <c r="AA63" s="103" t="s">
        <v>1384</v>
      </c>
      <c r="AB63" s="103"/>
      <c r="AC63" s="103"/>
      <c r="AD63" s="103"/>
      <c r="AE63" s="103"/>
      <c r="AF63" s="103"/>
      <c r="AG63" s="103"/>
      <c r="AH63" s="103"/>
      <c r="AI63" s="103"/>
      <c r="AJ63" s="103"/>
      <c r="AK63" s="103"/>
      <c r="AL63" s="104" t="s">
        <v>979</v>
      </c>
      <c r="AM63" s="107" t="s">
        <v>1380</v>
      </c>
      <c r="AN63" s="107" t="s">
        <v>1381</v>
      </c>
      <c r="AO63" s="107" t="s">
        <v>1382</v>
      </c>
      <c r="AP63" s="107" t="s">
        <v>1383</v>
      </c>
      <c r="AQ63" s="107" t="s">
        <v>1384</v>
      </c>
      <c r="AR63" s="104"/>
      <c r="AS63" s="104"/>
      <c r="AT63" s="104"/>
      <c r="AU63" s="104"/>
      <c r="AV63" s="104"/>
      <c r="AW63" s="104"/>
      <c r="AX63" s="104"/>
      <c r="AY63" s="104"/>
      <c r="AZ63" s="104"/>
      <c r="BA63" s="104"/>
      <c r="BB63" s="66"/>
      <c r="BC63" s="103" t="n">
        <v>-1</v>
      </c>
      <c r="BD63" s="103" t="n">
        <v>1</v>
      </c>
      <c r="BE63" s="103" t="n">
        <v>0.5</v>
      </c>
      <c r="BF63" s="103" t="n">
        <v>0.25</v>
      </c>
      <c r="BG63" s="103" t="n">
        <v>0.1</v>
      </c>
      <c r="BH63" s="103" t="n">
        <v>0.02</v>
      </c>
      <c r="BI63" s="103"/>
      <c r="BJ63" s="103"/>
      <c r="BK63" s="103"/>
      <c r="BL63" s="103"/>
      <c r="BM63" s="103"/>
      <c r="BN63" s="103"/>
      <c r="BO63" s="103"/>
      <c r="BP63" s="103"/>
      <c r="BQ63" s="103"/>
      <c r="BR63" s="103"/>
      <c r="BS63" s="104" t="n">
        <v>-1</v>
      </c>
      <c r="BT63" s="104" t="n">
        <v>1</v>
      </c>
      <c r="BU63" s="104" t="n">
        <v>0.5</v>
      </c>
      <c r="BV63" s="104" t="n">
        <v>0.25</v>
      </c>
      <c r="BW63" s="104" t="n">
        <v>0.1</v>
      </c>
      <c r="BX63" s="104" t="n">
        <v>0.02</v>
      </c>
      <c r="BY63" s="104"/>
      <c r="BZ63" s="104"/>
      <c r="CA63" s="104"/>
      <c r="CB63" s="104"/>
      <c r="CC63" s="104"/>
      <c r="CD63" s="104"/>
      <c r="CE63" s="104"/>
      <c r="CF63" s="104"/>
      <c r="CG63" s="104"/>
      <c r="CH63" s="104"/>
      <c r="CJ63" s="95" t="n">
        <v>1</v>
      </c>
      <c r="CK63" s="95" t="n">
        <v>0</v>
      </c>
      <c r="CL63" s="95" t="n">
        <v>0.5</v>
      </c>
      <c r="CM63" s="95" t="n">
        <v>1</v>
      </c>
      <c r="CN63" s="95" t="n">
        <v>0</v>
      </c>
      <c r="CO63" s="95" t="n">
        <v>2</v>
      </c>
      <c r="CP63" s="95" t="n">
        <v>1</v>
      </c>
      <c r="CQ63" s="95" t="n">
        <v>0</v>
      </c>
      <c r="CR63" s="95"/>
      <c r="CS63" s="95"/>
      <c r="CT63" s="95"/>
      <c r="CU63" s="95"/>
      <c r="CV63" s="95"/>
      <c r="CW63" s="95"/>
      <c r="CX63" s="95"/>
      <c r="CY63" s="95"/>
      <c r="CZ63" s="95"/>
      <c r="DA63" s="95"/>
      <c r="DB63" s="95"/>
      <c r="DC63" s="95"/>
      <c r="DD63" s="95"/>
      <c r="DE63" s="95"/>
      <c r="DF63" s="95"/>
      <c r="DG63" s="95"/>
      <c r="DL63" s="108"/>
      <c r="DM63" s="108"/>
      <c r="DN63" s="109" t="str">
        <f aca="false">"D6.scenario.defInput["""&amp;B63&amp;"""] = {  "&amp;E$2&amp;":"""&amp;E63&amp;""",  "&amp;C$2&amp;":"""&amp;CLEAN(SUBSTITUTE(C63,"""",""""))&amp;""",  "&amp;F$2&amp;":"""&amp;F63&amp;""",  "&amp;H$2&amp;":"""&amp;CLEAN(SUBSTITUTE(H63,"""",""""))&amp;""", "&amp;J$2&amp;":"""&amp;J63&amp;""", "&amp;L$2&amp;":"""&amp;L63&amp;""", "&amp;M$2&amp;":"""&amp;M63&amp;""", "&amp;N$2&amp;":"""&amp;N63&amp;""", "&amp;O$2&amp;":"""&amp;O63&amp;""", "&amp;P$2&amp;":"""&amp;P63&amp;""", "&amp;Q$2&amp;":"""&amp;Q63&amp;""", "&amp;R$2&amp;":"""&amp;R63&amp;""", d11t:"""&amp;CJ63&amp;""",d11p:"""&amp;CK63&amp;""",d12t:"""&amp;CL63&amp;""",d12p:"""&amp;CM63&amp;""",d13t:"""&amp;CN63&amp;""",d13p:"""&amp;CO63&amp;""",d1w:"""&amp;CP63&amp;""",d1d:"""&amp;CQ63&amp;""", d21t:"""&amp;CR63&amp;""",d21p:"""&amp;CS63&amp;""",d22t:"""&amp;CT63&amp;""",d22p:"""&amp;CU63&amp;""",d23t:"""&amp;CV63&amp;""",d23p:"""&amp;CW63&amp;""",d2w:"""&amp;CX63&amp;""",d2d:"""&amp;CY63&amp;""", d31t:"""&amp;CZ63&amp;""",d31p:"""&amp;DA63&amp;""",d32t:"""&amp;DB63&amp;""",d32p:"""&amp;DC63&amp;""",d33t:"""&amp;DD63&amp;""",d33p:"""&amp;DE63&amp;""",d3w:"""&amp;DF63&amp;""",d3d:"""&amp;DG63&amp;"""}; "</f>
        <v>D6.scenario.defInput["i201"] = {  cons:"consHTsum",  title:"暖房する範囲",  unit:"",  text:"よく暖房をする範囲は、家全体のどのくらいになりますか。", inputType:"sel201", right:"", postfix:"", nodata:"", varType:"Number", min:"", max:"", defaultValue:"-1", d11t:"1",d11p:"0",d12t:"0.5",d12p:"1",d13t:"0",d13p:"2",d1w:"1",d1d:"0", d21t:"",d21p:"",d22t:"",d22p:"",d23t:"",d23p:"",d2w:"",d2d:"", d31t:"",d31p:"",d32t:"",d32p:"",d33t:"",d33p:"",d3w:"",d3d:""}; </v>
      </c>
      <c r="DO63" s="110"/>
      <c r="DP63" s="110"/>
      <c r="DQ63" s="111" t="str">
        <f aca="false">"D6.scenario.defSelectValue["""&amp;U63&amp;"""]= [ """&amp;CLEAN(V63)&amp;""", """&amp;CLEAN(W63)&amp;IF(X63="","",""", """&amp;CLEAN(X63))&amp;IF(Y63="","",""", """&amp;CLEAN(Y63))&amp;IF(Z63="","",""", """&amp;CLEAN(Z63))&amp;IF(AA63="","",""", """&amp;CLEAN(AA63))&amp;IF(AB63="","",""", """&amp;CLEAN(AB63))&amp;IF(AC63="","",""", """&amp;CLEAN(AC63))&amp;IF(AD63="","",""", """&amp;CLEAN(AD63))&amp;IF(AE63="","",""", """&amp;CLEAN(AE63))&amp;IF(AF63="","",""", """&amp;CLEAN(AF63))&amp;IF(AG63="","",""", """&amp;CLEAN(AG63))&amp;IF(AH63="","",""", """&amp;CLEAN(AH63))&amp;IF(AI63="","",""", """&amp;CLEAN(AI63))&amp;IF(AJ63="","",""", """&amp;CLEAN(AJ63))&amp;IF(AK63="","",""", """&amp;CLEAN(AK63))&amp;""" ];"</f>
        <v>D6.scenario.defSelectValue["sel201"]= [ "選んで下さい", "家全体", "家の半分くらい", "家の一部", "1部屋のみ", "部屋の暖房をしない" ];</v>
      </c>
      <c r="DR63" s="112"/>
      <c r="DS63" s="112"/>
      <c r="DT63" s="112" t="str">
        <f aca="false">"D6.scenario.defSelectData['"&amp;U63&amp;"']= [ '"&amp;BC63&amp;"', '"&amp;BD63&amp;"', '"&amp;BE63&amp;IF(BF63="","","', '"&amp;BF63)&amp;IF(BG63="","","', '"&amp;BG63)&amp;IF(BH63="","","', '"&amp;BH63)&amp;IF(BI63="","","', '"&amp;BI63)&amp;IF(BJ63="","","', '"&amp;BJ63)&amp;IF(BK63="","","', '"&amp;BK63)&amp;IF(BL63="","","', '"&amp;BL63)&amp;IF(BM63="","","', '"&amp;BM63)&amp;IF(BN63="","","', '"&amp;BN63)&amp;IF(BO63="","","', '"&amp;BO63)&amp;IF(BP63="","","', '"&amp;BP63)&amp;IF(BQ63="","","', '"&amp;BQ63)&amp;IF(BR63="","","', '"&amp;BR63)&amp;"' ];"</f>
        <v>D6.scenario.defSelectData['sel201']= [ '-1', '1', '0.5', '0.25', '0.1', '0.02' ];</v>
      </c>
    </row>
    <row r="64" s="88" customFormat="true" ht="43.5" hidden="false" customHeight="true" outlineLevel="0" collapsed="false">
      <c r="A64" s="66"/>
      <c r="B64" s="95" t="s">
        <v>1385</v>
      </c>
      <c r="C64" s="103" t="s">
        <v>1386</v>
      </c>
      <c r="D64" s="104" t="s">
        <v>1386</v>
      </c>
      <c r="E64" s="95" t="s">
        <v>240</v>
      </c>
      <c r="F64" s="103"/>
      <c r="G64" s="104"/>
      <c r="H64" s="103" t="s">
        <v>1387</v>
      </c>
      <c r="I64" s="104" t="s">
        <v>1387</v>
      </c>
      <c r="J64" s="103" t="str">
        <f aca="false">IF(K64="","",K64)</f>
        <v>sel202</v>
      </c>
      <c r="K64" s="104" t="str">
        <f aca="false">"sel"&amp;MID($B64,2,5)</f>
        <v>sel202</v>
      </c>
      <c r="L64" s="105"/>
      <c r="M64" s="105"/>
      <c r="N64" s="105"/>
      <c r="O64" s="95" t="s">
        <v>931</v>
      </c>
      <c r="P64" s="105"/>
      <c r="Q64" s="105"/>
      <c r="R64" s="95" t="n">
        <v>-1</v>
      </c>
      <c r="S64" s="66"/>
      <c r="T64" s="66"/>
      <c r="U64" s="106" t="str">
        <f aca="false">J64</f>
        <v>sel202</v>
      </c>
      <c r="V64" s="103" t="s">
        <v>979</v>
      </c>
      <c r="W64" s="103" t="s">
        <v>1388</v>
      </c>
      <c r="X64" s="103" t="s">
        <v>1389</v>
      </c>
      <c r="Y64" s="103" t="s">
        <v>1390</v>
      </c>
      <c r="Z64" s="103" t="s">
        <v>1391</v>
      </c>
      <c r="AA64" s="103" t="s">
        <v>1392</v>
      </c>
      <c r="AB64" s="103" t="s">
        <v>766</v>
      </c>
      <c r="AC64" s="103" t="s">
        <v>1393</v>
      </c>
      <c r="AD64" s="103"/>
      <c r="AE64" s="103"/>
      <c r="AF64" s="103"/>
      <c r="AG64" s="103"/>
      <c r="AH64" s="103"/>
      <c r="AI64" s="103"/>
      <c r="AJ64" s="103"/>
      <c r="AK64" s="103"/>
      <c r="AL64" s="104" t="s">
        <v>979</v>
      </c>
      <c r="AM64" s="107" t="s">
        <v>1388</v>
      </c>
      <c r="AN64" s="107" t="s">
        <v>1389</v>
      </c>
      <c r="AO64" s="107" t="s">
        <v>1390</v>
      </c>
      <c r="AP64" s="107" t="s">
        <v>1391</v>
      </c>
      <c r="AQ64" s="104" t="s">
        <v>766</v>
      </c>
      <c r="AR64" s="107" t="s">
        <v>1392</v>
      </c>
      <c r="AS64" s="104" t="s">
        <v>1393</v>
      </c>
      <c r="AT64" s="104"/>
      <c r="AU64" s="104"/>
      <c r="AV64" s="104"/>
      <c r="AW64" s="104"/>
      <c r="AX64" s="104"/>
      <c r="AY64" s="104"/>
      <c r="AZ64" s="104"/>
      <c r="BA64" s="104"/>
      <c r="BB64" s="66"/>
      <c r="BC64" s="103" t="n">
        <v>-1</v>
      </c>
      <c r="BD64" s="103" t="n">
        <v>1</v>
      </c>
      <c r="BE64" s="103" t="n">
        <v>2</v>
      </c>
      <c r="BF64" s="103" t="n">
        <v>3</v>
      </c>
      <c r="BG64" s="103" t="n">
        <v>4</v>
      </c>
      <c r="BH64" s="103" t="n">
        <v>5</v>
      </c>
      <c r="BI64" s="103" t="n">
        <v>6</v>
      </c>
      <c r="BJ64" s="103" t="n">
        <v>7</v>
      </c>
      <c r="BK64" s="103"/>
      <c r="BL64" s="103"/>
      <c r="BM64" s="103"/>
      <c r="BN64" s="103"/>
      <c r="BO64" s="103"/>
      <c r="BP64" s="103"/>
      <c r="BQ64" s="103"/>
      <c r="BR64" s="103"/>
      <c r="BS64" s="104" t="n">
        <v>-1</v>
      </c>
      <c r="BT64" s="104" t="n">
        <v>1</v>
      </c>
      <c r="BU64" s="104" t="n">
        <v>2</v>
      </c>
      <c r="BV64" s="104" t="n">
        <v>3</v>
      </c>
      <c r="BW64" s="104" t="n">
        <v>4</v>
      </c>
      <c r="BX64" s="104" t="n">
        <v>5</v>
      </c>
      <c r="BY64" s="104" t="n">
        <v>6</v>
      </c>
      <c r="BZ64" s="104" t="n">
        <v>7</v>
      </c>
      <c r="CA64" s="104"/>
      <c r="CB64" s="104"/>
      <c r="CC64" s="104"/>
      <c r="CD64" s="104"/>
      <c r="CE64" s="104"/>
      <c r="CF64" s="104"/>
      <c r="CG64" s="104"/>
      <c r="CH64" s="104"/>
      <c r="CJ64" s="95" t="n">
        <v>6</v>
      </c>
      <c r="CK64" s="95" t="n">
        <v>0</v>
      </c>
      <c r="CL64" s="95" t="n">
        <v>5</v>
      </c>
      <c r="CM64" s="95" t="n">
        <v>2</v>
      </c>
      <c r="CN64" s="95"/>
      <c r="CO64" s="95"/>
      <c r="CP64" s="95" t="n">
        <v>2</v>
      </c>
      <c r="CQ64" s="95" t="n">
        <v>0</v>
      </c>
      <c r="CR64" s="95" t="n">
        <v>6</v>
      </c>
      <c r="CS64" s="95" t="n">
        <v>0</v>
      </c>
      <c r="CT64" s="95" t="n">
        <v>5</v>
      </c>
      <c r="CU64" s="95" t="n">
        <v>2</v>
      </c>
      <c r="CV64" s="95"/>
      <c r="CW64" s="95"/>
      <c r="CX64" s="95" t="n">
        <v>2</v>
      </c>
      <c r="CY64" s="95" t="n">
        <v>0</v>
      </c>
      <c r="CZ64" s="95" t="n">
        <v>5</v>
      </c>
      <c r="DA64" s="95" t="n">
        <v>2</v>
      </c>
      <c r="DB64" s="95" t="n">
        <v>2</v>
      </c>
      <c r="DC64" s="95" t="n">
        <v>0</v>
      </c>
      <c r="DD64" s="95" t="n">
        <v>1</v>
      </c>
      <c r="DE64" s="95" t="n">
        <v>1</v>
      </c>
      <c r="DF64" s="95" t="n">
        <v>2</v>
      </c>
      <c r="DG64" s="95" t="n">
        <v>0</v>
      </c>
      <c r="DL64" s="108"/>
      <c r="DM64" s="108"/>
      <c r="DN64" s="109" t="str">
        <f aca="false">"D6.scenario.defInput["""&amp;B64&amp;"""] = {  "&amp;E$2&amp;":"""&amp;E64&amp;""",  "&amp;C$2&amp;":"""&amp;CLEAN(SUBSTITUTE(C64,"""",""""))&amp;""",  "&amp;F$2&amp;":"""&amp;F64&amp;""",  "&amp;H$2&amp;":"""&amp;CLEAN(SUBSTITUTE(H64,"""",""""))&amp;""", "&amp;J$2&amp;":"""&amp;J64&amp;""", "&amp;L$2&amp;":"""&amp;L64&amp;""", "&amp;M$2&amp;":"""&amp;M64&amp;""", "&amp;N$2&amp;":"""&amp;N64&amp;""", "&amp;O$2&amp;":"""&amp;O64&amp;""", "&amp;P$2&amp;":"""&amp;P64&amp;""", "&amp;Q$2&amp;":"""&amp;Q64&amp;""", "&amp;R$2&amp;":"""&amp;R64&amp;""", d11t:"""&amp;CJ64&amp;""",d11p:"""&amp;CK64&amp;""",d12t:"""&amp;CL64&amp;""",d12p:"""&amp;CM64&amp;""",d13t:"""&amp;CN64&amp;""",d13p:"""&amp;CO64&amp;""",d1w:"""&amp;CP64&amp;""",d1d:"""&amp;CQ64&amp;""", d21t:"""&amp;CR64&amp;""",d21p:"""&amp;CS64&amp;""",d22t:"""&amp;CT64&amp;""",d22p:"""&amp;CU64&amp;""",d23t:"""&amp;CV64&amp;""",d23p:"""&amp;CW64&amp;""",d2w:"""&amp;CX64&amp;""",d2d:"""&amp;CY64&amp;""", d31t:"""&amp;CZ64&amp;""",d31p:"""&amp;DA64&amp;""",d32t:"""&amp;DB64&amp;""",d32p:"""&amp;DC64&amp;""",d33t:"""&amp;DD64&amp;""",d33p:"""&amp;DE64&amp;""",d3w:"""&amp;DF64&amp;""",d3d:"""&amp;DG64&amp;"""}; "</f>
        <v>D6.scenario.defInput["i202"] = {  cons:"consHTsum",  title:"主に使う暖房器具",  unit:"",  text:"部屋を暖めるために最もよく使う暖房器具のエネルギー源は何ですか。床暖房の場合は熱源で選んでください。", inputType:"sel202", right:"", postfix:"", nodata:"", varType:"Number", min:"", max:"", defaultValue:"-1", d11t:"6",d11p:"0",d12t:"5",d12p:"2",d13t:"",d13p:"",d1w:"2",d1d:"0", d21t:"6",d21p:"0",d22t:"5",d22p:"2",d23t:"",d23p:"",d2w:"2",d2d:"0", d31t:"5",d31p:"2",d32t:"2",d32p:"0",d33t:"1",d33p:"1",d3w:"2",d3d:"0"}; </v>
      </c>
      <c r="DO64" s="110"/>
      <c r="DP64" s="110"/>
      <c r="DQ64" s="111" t="str">
        <f aca="false">"D6.scenario.defSelectValue["""&amp;U64&amp;"""]= [ """&amp;CLEAN(V64)&amp;""", """&amp;CLEAN(W64)&amp;IF(X64="","",""", """&amp;CLEAN(X64))&amp;IF(Y64="","",""", """&amp;CLEAN(Y64))&amp;IF(Z64="","",""", """&amp;CLEAN(Z64))&amp;IF(AA64="","",""", """&amp;CLEAN(AA64))&amp;IF(AB64="","",""", """&amp;CLEAN(AB64))&amp;IF(AC64="","",""", """&amp;CLEAN(AC64))&amp;IF(AD64="","",""", """&amp;CLEAN(AD64))&amp;IF(AE64="","",""", """&amp;CLEAN(AE64))&amp;IF(AF64="","",""", """&amp;CLEAN(AF64))&amp;IF(AG64="","",""", """&amp;CLEAN(AG64))&amp;IF(AH64="","",""", """&amp;CLEAN(AH64))&amp;IF(AI64="","",""", """&amp;CLEAN(AI64))&amp;IF(AJ64="","",""", """&amp;CLEAN(AJ64))&amp;IF(AK64="","",""", """&amp;CLEAN(AK64))&amp;""" ];"</f>
        <v>D6.scenario.defSelectValue["sel202"]= [ "選んで下さい", "エアコン", "電気熱暖房", "ガス", "灯油", "こたつやホットカーペットのみ", "薪・ペレットストーブ", "地域熱" ];</v>
      </c>
      <c r="DR64" s="112"/>
      <c r="DS64" s="112"/>
      <c r="DT64" s="112" t="str">
        <f aca="false">"D6.scenario.defSelectData['"&amp;U64&amp;"']= [ '"&amp;BC64&amp;"', '"&amp;BD64&amp;"', '"&amp;BE64&amp;IF(BF64="","","', '"&amp;BF64)&amp;IF(BG64="","","', '"&amp;BG64)&amp;IF(BH64="","","', '"&amp;BH64)&amp;IF(BI64="","","', '"&amp;BI64)&amp;IF(BJ64="","","', '"&amp;BJ64)&amp;IF(BK64="","","', '"&amp;BK64)&amp;IF(BL64="","","', '"&amp;BL64)&amp;IF(BM64="","","', '"&amp;BM64)&amp;IF(BN64="","","', '"&amp;BN64)&amp;IF(BO64="","","', '"&amp;BO64)&amp;IF(BP64="","","', '"&amp;BP64)&amp;IF(BQ64="","","', '"&amp;BQ64)&amp;IF(BR64="","","', '"&amp;BR64)&amp;"' ];"</f>
        <v>D6.scenario.defSelectData['sel202']= [ '-1', '1', '2', '3', '4', '5', '6', '7' ];</v>
      </c>
    </row>
    <row r="65" s="88" customFormat="true" ht="43.5" hidden="false" customHeight="true" outlineLevel="0" collapsed="false">
      <c r="A65" s="66"/>
      <c r="B65" s="105" t="s">
        <v>1394</v>
      </c>
      <c r="C65" s="103" t="s">
        <v>1395</v>
      </c>
      <c r="D65" s="104" t="s">
        <v>1395</v>
      </c>
      <c r="E65" s="95" t="s">
        <v>240</v>
      </c>
      <c r="F65" s="103"/>
      <c r="G65" s="104"/>
      <c r="H65" s="103" t="s">
        <v>1396</v>
      </c>
      <c r="I65" s="104" t="s">
        <v>1395</v>
      </c>
      <c r="J65" s="103" t="str">
        <f aca="false">IF(K65="","",K65)</f>
        <v>sel203</v>
      </c>
      <c r="K65" s="104" t="str">
        <f aca="false">"sel"&amp;MID($B65,2,5)</f>
        <v>sel203</v>
      </c>
      <c r="L65" s="105"/>
      <c r="M65" s="105"/>
      <c r="N65" s="105"/>
      <c r="O65" s="95" t="s">
        <v>931</v>
      </c>
      <c r="P65" s="105"/>
      <c r="Q65" s="105"/>
      <c r="R65" s="95" t="n">
        <v>-1</v>
      </c>
      <c r="S65" s="66"/>
      <c r="T65" s="66"/>
      <c r="U65" s="106" t="str">
        <f aca="false">J65</f>
        <v>sel203</v>
      </c>
      <c r="V65" s="103" t="s">
        <v>979</v>
      </c>
      <c r="W65" s="103" t="s">
        <v>1388</v>
      </c>
      <c r="X65" s="116" t="s">
        <v>1389</v>
      </c>
      <c r="Y65" s="103" t="s">
        <v>1390</v>
      </c>
      <c r="Z65" s="103" t="s">
        <v>1391</v>
      </c>
      <c r="AA65" s="103" t="s">
        <v>1392</v>
      </c>
      <c r="AB65" s="103" t="s">
        <v>766</v>
      </c>
      <c r="AC65" s="103" t="s">
        <v>1393</v>
      </c>
      <c r="AD65" s="103"/>
      <c r="AE65" s="103"/>
      <c r="AF65" s="103"/>
      <c r="AG65" s="103"/>
      <c r="AH65" s="103"/>
      <c r="AI65" s="103"/>
      <c r="AJ65" s="103"/>
      <c r="AK65" s="103"/>
      <c r="AL65" s="104" t="s">
        <v>979</v>
      </c>
      <c r="AM65" s="104" t="s">
        <v>1388</v>
      </c>
      <c r="AN65" s="117" t="s">
        <v>1389</v>
      </c>
      <c r="AO65" s="104" t="s">
        <v>1390</v>
      </c>
      <c r="AP65" s="104" t="s">
        <v>1391</v>
      </c>
      <c r="AQ65" s="104" t="s">
        <v>766</v>
      </c>
      <c r="AR65" s="107" t="s">
        <v>1392</v>
      </c>
      <c r="AS65" s="104" t="s">
        <v>1393</v>
      </c>
      <c r="AT65" s="104"/>
      <c r="AU65" s="104"/>
      <c r="AV65" s="104"/>
      <c r="AW65" s="104"/>
      <c r="AX65" s="104"/>
      <c r="AY65" s="104"/>
      <c r="AZ65" s="104"/>
      <c r="BA65" s="104"/>
      <c r="BB65" s="66"/>
      <c r="BC65" s="103" t="n">
        <v>-1</v>
      </c>
      <c r="BD65" s="103" t="n">
        <v>1</v>
      </c>
      <c r="BE65" s="103" t="n">
        <v>2</v>
      </c>
      <c r="BF65" s="103" t="n">
        <v>3</v>
      </c>
      <c r="BG65" s="103" t="n">
        <v>4</v>
      </c>
      <c r="BH65" s="103" t="n">
        <v>5</v>
      </c>
      <c r="BI65" s="103" t="n">
        <v>6</v>
      </c>
      <c r="BJ65" s="103" t="n">
        <v>7</v>
      </c>
      <c r="BK65" s="103"/>
      <c r="BL65" s="103"/>
      <c r="BM65" s="103"/>
      <c r="BN65" s="103"/>
      <c r="BO65" s="103"/>
      <c r="BP65" s="103"/>
      <c r="BQ65" s="103"/>
      <c r="BR65" s="103"/>
      <c r="BS65" s="104" t="n">
        <v>-1</v>
      </c>
      <c r="BT65" s="104" t="n">
        <v>1</v>
      </c>
      <c r="BU65" s="104" t="n">
        <v>2</v>
      </c>
      <c r="BV65" s="104" t="n">
        <v>3</v>
      </c>
      <c r="BW65" s="104" t="n">
        <v>4</v>
      </c>
      <c r="BX65" s="104" t="n">
        <v>5</v>
      </c>
      <c r="BY65" s="104" t="n">
        <v>6</v>
      </c>
      <c r="BZ65" s="104" t="n">
        <v>7</v>
      </c>
      <c r="CA65" s="104"/>
      <c r="CB65" s="104"/>
      <c r="CC65" s="104"/>
      <c r="CD65" s="104"/>
      <c r="CE65" s="104"/>
      <c r="CF65" s="104"/>
      <c r="CG65" s="104"/>
      <c r="CH65" s="104"/>
      <c r="CJ65" s="95"/>
      <c r="CK65" s="95"/>
      <c r="CL65" s="95"/>
      <c r="CM65" s="95"/>
      <c r="CN65" s="95"/>
      <c r="CO65" s="95"/>
      <c r="CP65" s="95"/>
      <c r="CQ65" s="95"/>
      <c r="CR65" s="95"/>
      <c r="CS65" s="95"/>
      <c r="CT65" s="95"/>
      <c r="CU65" s="95"/>
      <c r="CV65" s="95"/>
      <c r="CW65" s="95"/>
      <c r="CX65" s="95"/>
      <c r="CY65" s="95"/>
      <c r="CZ65" s="95"/>
      <c r="DA65" s="95"/>
      <c r="DB65" s="95"/>
      <c r="DC65" s="95"/>
      <c r="DD65" s="95"/>
      <c r="DE65" s="95"/>
      <c r="DF65" s="95"/>
      <c r="DG65" s="95"/>
      <c r="DL65" s="108"/>
      <c r="DM65" s="108"/>
      <c r="DN65" s="109" t="str">
        <f aca="false">"D6.scenario.defInput["""&amp;B65&amp;"""] = {  "&amp;E$2&amp;":"""&amp;E65&amp;""",  "&amp;C$2&amp;":"""&amp;CLEAN(SUBSTITUTE(C65,"""",""""))&amp;""",  "&amp;F$2&amp;":"""&amp;F65&amp;""",  "&amp;H$2&amp;":"""&amp;CLEAN(SUBSTITUTE(H65,"""",""""))&amp;""", "&amp;J$2&amp;":"""&amp;J65&amp;""", "&amp;L$2&amp;":"""&amp;L65&amp;""", "&amp;M$2&amp;":"""&amp;M65&amp;""", "&amp;N$2&amp;":"""&amp;N65&amp;""", "&amp;O$2&amp;":"""&amp;O65&amp;""", "&amp;P$2&amp;":"""&amp;P65&amp;""", "&amp;Q$2&amp;":"""&amp;Q65&amp;""", "&amp;R$2&amp;":"""&amp;R65&amp;""", d11t:"""&amp;CJ65&amp;""",d11p:"""&amp;CK65&amp;""",d12t:"""&amp;CL65&amp;""",d12p:"""&amp;CM65&amp;""",d13t:"""&amp;CN65&amp;""",d13p:"""&amp;CO65&amp;""",d1w:"""&amp;CP65&amp;""",d1d:"""&amp;CQ65&amp;""", d21t:"""&amp;CR65&amp;""",d21p:"""&amp;CS65&amp;""",d22t:"""&amp;CT65&amp;""",d22p:"""&amp;CU65&amp;""",d23t:"""&amp;CV65&amp;""",d23p:"""&amp;CW65&amp;""",d2w:"""&amp;CX65&amp;""",d2d:"""&amp;CY65&amp;""", d31t:"""&amp;CZ65&amp;""",d31p:"""&amp;DA65&amp;""",d32t:"""&amp;DB65&amp;""",d32p:"""&amp;DC65&amp;""",d33t:"""&amp;DD65&amp;""",d33p:"""&amp;DE65&amp;""",d3w:"""&amp;DF65&amp;""",d3d:"""&amp;DG65&amp;"""}; "</f>
        <v>D6.scenario.defInput["i203"] = {  cons:"consHTsum",  title:"補助的に使う暖房器具",  unit:"",  text:"補助的に使う暖房器具はありますか", inputType:"sel203", right:"", postfix:"", nodata:"", varType:"Number", min:"", max:"", defaultValue:"-1", d11t:"",d11p:"",d12t:"",d12p:"",d13t:"",d13p:"",d1w:"",d1d:"", d21t:"",d21p:"",d22t:"",d22p:"",d23t:"",d23p:"",d2w:"",d2d:"", d31t:"",d31p:"",d32t:"",d32p:"",d33t:"",d33p:"",d3w:"",d3d:""}; </v>
      </c>
      <c r="DO65" s="110"/>
      <c r="DP65" s="110"/>
      <c r="DQ65" s="111" t="str">
        <f aca="false">"D6.scenario.defSelectValue["""&amp;U65&amp;"""]= [ """&amp;CLEAN(V65)&amp;""", """&amp;CLEAN(W65)&amp;IF(X65="","",""", """&amp;CLEAN(X65))&amp;IF(Y65="","",""", """&amp;CLEAN(Y65))&amp;IF(Z65="","",""", """&amp;CLEAN(Z65))&amp;IF(AA65="","",""", """&amp;CLEAN(AA65))&amp;IF(AB65="","",""", """&amp;CLEAN(AB65))&amp;IF(AC65="","",""", """&amp;CLEAN(AC65))&amp;IF(AD65="","",""", """&amp;CLEAN(AD65))&amp;IF(AE65="","",""", """&amp;CLEAN(AE65))&amp;IF(AF65="","",""", """&amp;CLEAN(AF65))&amp;IF(AG65="","",""", """&amp;CLEAN(AG65))&amp;IF(AH65="","",""", """&amp;CLEAN(AH65))&amp;IF(AI65="","",""", """&amp;CLEAN(AI65))&amp;IF(AJ65="","",""", """&amp;CLEAN(AJ65))&amp;IF(AK65="","",""", """&amp;CLEAN(AK65))&amp;""" ];"</f>
        <v>D6.scenario.defSelectValue["sel203"]= [ "選んで下さい", "エアコン", "電気熱暖房", "ガス", "灯油", "こたつやホットカーペットのみ", "薪・ペレットストーブ", "地域熱" ];</v>
      </c>
      <c r="DR65" s="112"/>
      <c r="DS65" s="112"/>
      <c r="DT65" s="112" t="str">
        <f aca="false">"D6.scenario.defSelectData['"&amp;U65&amp;"']= [ '"&amp;BC65&amp;"', '"&amp;BD65&amp;"', '"&amp;BE65&amp;IF(BF65="","","', '"&amp;BF65)&amp;IF(BG65="","","', '"&amp;BG65)&amp;IF(BH65="","","', '"&amp;BH65)&amp;IF(BI65="","","', '"&amp;BI65)&amp;IF(BJ65="","","', '"&amp;BJ65)&amp;IF(BK65="","","', '"&amp;BK65)&amp;IF(BL65="","","', '"&amp;BL65)&amp;IF(BM65="","","', '"&amp;BM65)&amp;IF(BN65="","","', '"&amp;BN65)&amp;IF(BO65="","","', '"&amp;BO65)&amp;IF(BP65="","","', '"&amp;BP65)&amp;IF(BQ65="","","', '"&amp;BQ65)&amp;IF(BR65="","","', '"&amp;BR65)&amp;"' ];"</f>
        <v>D6.scenario.defSelectData['sel203']= [ '-1', '1', '2', '3', '4', '5', '6', '7' ];</v>
      </c>
    </row>
    <row r="66" s="88" customFormat="true" ht="43.5" hidden="false" customHeight="true" outlineLevel="0" collapsed="false">
      <c r="A66" s="66"/>
      <c r="B66" s="95" t="s">
        <v>1397</v>
      </c>
      <c r="C66" s="103" t="s">
        <v>1398</v>
      </c>
      <c r="D66" s="104" t="s">
        <v>1398</v>
      </c>
      <c r="E66" s="95" t="s">
        <v>240</v>
      </c>
      <c r="F66" s="103" t="s">
        <v>1295</v>
      </c>
      <c r="G66" s="104" t="s">
        <v>1295</v>
      </c>
      <c r="H66" s="103" t="s">
        <v>1399</v>
      </c>
      <c r="I66" s="104" t="s">
        <v>1399</v>
      </c>
      <c r="J66" s="103" t="str">
        <f aca="false">IF(K66="","",K66)</f>
        <v>sel204</v>
      </c>
      <c r="K66" s="104" t="str">
        <f aca="false">"sel"&amp;MID($B66,2,5)</f>
        <v>sel204</v>
      </c>
      <c r="L66" s="105"/>
      <c r="M66" s="105"/>
      <c r="N66" s="105"/>
      <c r="O66" s="95" t="s">
        <v>931</v>
      </c>
      <c r="P66" s="105"/>
      <c r="Q66" s="105"/>
      <c r="R66" s="95" t="n">
        <v>-1</v>
      </c>
      <c r="S66" s="66"/>
      <c r="T66" s="66"/>
      <c r="U66" s="106" t="str">
        <f aca="false">J66</f>
        <v>sel204</v>
      </c>
      <c r="V66" s="103" t="s">
        <v>979</v>
      </c>
      <c r="W66" s="103" t="s">
        <v>1170</v>
      </c>
      <c r="X66" s="103" t="s">
        <v>1400</v>
      </c>
      <c r="Y66" s="103" t="s">
        <v>1401</v>
      </c>
      <c r="Z66" s="103" t="s">
        <v>1297</v>
      </c>
      <c r="AA66" s="103" t="s">
        <v>1402</v>
      </c>
      <c r="AB66" s="103" t="s">
        <v>1298</v>
      </c>
      <c r="AC66" s="103" t="s">
        <v>1403</v>
      </c>
      <c r="AD66" s="103" t="s">
        <v>1404</v>
      </c>
      <c r="AE66" s="103" t="s">
        <v>1300</v>
      </c>
      <c r="AF66" s="103" t="s">
        <v>1301</v>
      </c>
      <c r="AG66" s="103"/>
      <c r="AH66" s="103"/>
      <c r="AI66" s="103"/>
      <c r="AJ66" s="103"/>
      <c r="AK66" s="103"/>
      <c r="AL66" s="104" t="s">
        <v>979</v>
      </c>
      <c r="AM66" s="104" t="s">
        <v>1170</v>
      </c>
      <c r="AN66" s="104" t="s">
        <v>1400</v>
      </c>
      <c r="AO66" s="104" t="s">
        <v>1401</v>
      </c>
      <c r="AP66" s="104" t="s">
        <v>1297</v>
      </c>
      <c r="AQ66" s="107" t="s">
        <v>1402</v>
      </c>
      <c r="AR66" s="107" t="s">
        <v>1298</v>
      </c>
      <c r="AS66" s="107" t="s">
        <v>1403</v>
      </c>
      <c r="AT66" s="107" t="s">
        <v>1404</v>
      </c>
      <c r="AU66" s="107" t="s">
        <v>1300</v>
      </c>
      <c r="AV66" s="107" t="s">
        <v>1301</v>
      </c>
      <c r="AW66" s="104"/>
      <c r="AX66" s="104"/>
      <c r="AY66" s="104"/>
      <c r="AZ66" s="104"/>
      <c r="BA66" s="104"/>
      <c r="BB66" s="66"/>
      <c r="BC66" s="103" t="n">
        <v>-1</v>
      </c>
      <c r="BD66" s="103" t="n">
        <v>0</v>
      </c>
      <c r="BE66" s="103" t="n">
        <v>1</v>
      </c>
      <c r="BF66" s="103" t="n">
        <v>2</v>
      </c>
      <c r="BG66" s="103" t="n">
        <v>3</v>
      </c>
      <c r="BH66" s="103" t="n">
        <v>4</v>
      </c>
      <c r="BI66" s="103" t="n">
        <v>6</v>
      </c>
      <c r="BJ66" s="103" t="n">
        <v>8</v>
      </c>
      <c r="BK66" s="103" t="n">
        <v>12</v>
      </c>
      <c r="BL66" s="103" t="n">
        <v>16</v>
      </c>
      <c r="BM66" s="103" t="n">
        <v>24</v>
      </c>
      <c r="BN66" s="103"/>
      <c r="BO66" s="103"/>
      <c r="BP66" s="103"/>
      <c r="BQ66" s="103"/>
      <c r="BR66" s="103"/>
      <c r="BS66" s="104" t="n">
        <v>-1</v>
      </c>
      <c r="BT66" s="104" t="n">
        <v>0</v>
      </c>
      <c r="BU66" s="104" t="n">
        <v>1</v>
      </c>
      <c r="BV66" s="104" t="n">
        <v>2</v>
      </c>
      <c r="BW66" s="104" t="n">
        <v>3</v>
      </c>
      <c r="BX66" s="104" t="n">
        <v>4</v>
      </c>
      <c r="BY66" s="104" t="n">
        <v>6</v>
      </c>
      <c r="BZ66" s="104" t="n">
        <v>8</v>
      </c>
      <c r="CA66" s="104" t="n">
        <v>12</v>
      </c>
      <c r="CB66" s="104" t="n">
        <v>16</v>
      </c>
      <c r="CC66" s="104" t="n">
        <v>24</v>
      </c>
      <c r="CD66" s="104"/>
      <c r="CE66" s="104"/>
      <c r="CF66" s="104"/>
      <c r="CG66" s="104"/>
      <c r="CH66" s="104"/>
      <c r="CJ66" s="95" t="n">
        <v>24</v>
      </c>
      <c r="CK66" s="95" t="n">
        <v>0</v>
      </c>
      <c r="CL66" s="95" t="n">
        <v>0</v>
      </c>
      <c r="CM66" s="95" t="n">
        <v>2</v>
      </c>
      <c r="CN66" s="95"/>
      <c r="CO66" s="95"/>
      <c r="CP66" s="95" t="n">
        <v>2</v>
      </c>
      <c r="CQ66" s="95" t="n">
        <v>0</v>
      </c>
      <c r="CR66" s="95"/>
      <c r="CS66" s="95"/>
      <c r="CT66" s="95"/>
      <c r="CU66" s="95"/>
      <c r="CV66" s="95"/>
      <c r="CW66" s="95"/>
      <c r="CX66" s="95"/>
      <c r="CY66" s="95"/>
      <c r="CZ66" s="95"/>
      <c r="DA66" s="95"/>
      <c r="DB66" s="95"/>
      <c r="DC66" s="95"/>
      <c r="DD66" s="95"/>
      <c r="DE66" s="95"/>
      <c r="DF66" s="95"/>
      <c r="DG66" s="95"/>
      <c r="DL66" s="108"/>
      <c r="DM66" s="108"/>
      <c r="DN66" s="109" t="str">
        <f aca="false">"D6.scenario.defInput["""&amp;B66&amp;"""] = {  "&amp;E$2&amp;":"""&amp;E66&amp;""",  "&amp;C$2&amp;":"""&amp;CLEAN(SUBSTITUTE(C66,"""",""""))&amp;""",  "&amp;F$2&amp;":"""&amp;F66&amp;""",  "&amp;H$2&amp;":"""&amp;CLEAN(SUBSTITUTE(H66,"""",""""))&amp;""", "&amp;J$2&amp;":"""&amp;J66&amp;""", "&amp;L$2&amp;":"""&amp;L66&amp;""", "&amp;M$2&amp;":"""&amp;M66&amp;""", "&amp;N$2&amp;":"""&amp;N66&amp;""", "&amp;O$2&amp;":"""&amp;O66&amp;""", "&amp;P$2&amp;":"""&amp;P66&amp;""", "&amp;Q$2&amp;":"""&amp;Q66&amp;""", "&amp;R$2&amp;":"""&amp;R66&amp;""", d11t:"""&amp;CJ66&amp;""",d11p:"""&amp;CK66&amp;""",d12t:"""&amp;CL66&amp;""",d12p:"""&amp;CM66&amp;""",d13t:"""&amp;CN66&amp;""",d13p:"""&amp;CO66&amp;""",d1w:"""&amp;CP66&amp;""",d1d:"""&amp;CQ66&amp;""", d21t:"""&amp;CR66&amp;""",d21p:"""&amp;CS66&amp;""",d22t:"""&amp;CT66&amp;""",d22p:"""&amp;CU66&amp;""",d23t:"""&amp;CV66&amp;""",d23p:"""&amp;CW66&amp;""",d2w:"""&amp;CX66&amp;""",d2d:"""&amp;CY66&amp;""", d31t:"""&amp;CZ66&amp;""",d31p:"""&amp;DA66&amp;""",d32t:"""&amp;DB66&amp;""",d32p:"""&amp;DC66&amp;""",d33t:"""&amp;DD66&amp;""",d33p:"""&amp;DE66&amp;""",d3w:"""&amp;DF66&amp;""",d3d:"""&amp;DG66&amp;"""}; "</f>
        <v>D6.scenario.defInput["i204"] = {  cons:"consHTsum",  title:"暖房時間",  unit:"時間",  text:"冬に暖房は1日に何時間くらい使いますか。", inputType:"sel204", right:"", postfix:"", nodata:"", varType:"Number", min:"", max:"", defaultValue:"-1", d11t:"24",d11p:"0",d12t:"0",d12p:"2",d13t:"",d13p:"",d1w:"2",d1d:"0", d21t:"",d21p:"",d22t:"",d22p:"",d23t:"",d23p:"",d2w:"",d2d:"", d31t:"",d31p:"",d32t:"",d32p:"",d33t:"",d33p:"",d3w:"",d3d:""}; </v>
      </c>
      <c r="DO66" s="110"/>
      <c r="DP66" s="110"/>
      <c r="DQ66" s="111" t="str">
        <f aca="false">"D6.scenario.defSelectValue["""&amp;U66&amp;"""]= [ """&amp;CLEAN(V66)&amp;""", """&amp;CLEAN(W66)&amp;IF(X66="","",""", """&amp;CLEAN(X66))&amp;IF(Y66="","",""", """&amp;CLEAN(Y66))&amp;IF(Z66="","",""", """&amp;CLEAN(Z66))&amp;IF(AA66="","",""", """&amp;CLEAN(AA66))&amp;IF(AB66="","",""", """&amp;CLEAN(AB66))&amp;IF(AC66="","",""", """&amp;CLEAN(AC66))&amp;IF(AD66="","",""", """&amp;CLEAN(AD66))&amp;IF(AE66="","",""", """&amp;CLEAN(AE66))&amp;IF(AF66="","",""", """&amp;CLEAN(AF66))&amp;IF(AG66="","",""", """&amp;CLEAN(AG66))&amp;IF(AH66="","",""", """&amp;CLEAN(AH66))&amp;IF(AI66="","",""", """&amp;CLEAN(AI66))&amp;IF(AJ66="","",""", """&amp;CLEAN(AJ66))&amp;IF(AK66="","",""", """&amp;CLEAN(AK66))&amp;""" ];"</f>
        <v>D6.scenario.defSelectValue["sel204"]= [ "選んで下さい", "使わない", "1時間", "2時間", "3時間", "4時間", "6時間", "8時間", "12時間", "16時間", "24時間" ];</v>
      </c>
      <c r="DR66" s="112"/>
      <c r="DS66" s="112"/>
      <c r="DT66" s="112" t="str">
        <f aca="false">"D6.scenario.defSelectData['"&amp;U66&amp;"']= [ '"&amp;BC66&amp;"', '"&amp;BD66&amp;"', '"&amp;BE66&amp;IF(BF66="","","', '"&amp;BF66)&amp;IF(BG66="","","', '"&amp;BG66)&amp;IF(BH66="","","', '"&amp;BH66)&amp;IF(BI66="","","', '"&amp;BI66)&amp;IF(BJ66="","","', '"&amp;BJ66)&amp;IF(BK66="","","', '"&amp;BK66)&amp;IF(BL66="","","', '"&amp;BL66)&amp;IF(BM66="","","', '"&amp;BM66)&amp;IF(BN66="","","', '"&amp;BN66)&amp;IF(BO66="","","', '"&amp;BO66)&amp;IF(BP66="","","', '"&amp;BP66)&amp;IF(BQ66="","","', '"&amp;BQ66)&amp;IF(BR66="","","', '"&amp;BR66)&amp;"' ];"</f>
        <v>D6.scenario.defSelectData['sel204']= [ '-1', '0', '1', '2', '3', '4', '6', '8', '12', '16', '24' ];</v>
      </c>
    </row>
    <row r="67" s="88" customFormat="true" ht="43.5" hidden="false" customHeight="true" outlineLevel="0" collapsed="false">
      <c r="A67" s="66"/>
      <c r="B67" s="105" t="s">
        <v>1405</v>
      </c>
      <c r="C67" s="103" t="s">
        <v>698</v>
      </c>
      <c r="D67" s="104" t="s">
        <v>698</v>
      </c>
      <c r="E67" s="95" t="s">
        <v>240</v>
      </c>
      <c r="F67" s="103" t="s">
        <v>1406</v>
      </c>
      <c r="G67" s="104" t="s">
        <v>1406</v>
      </c>
      <c r="H67" s="103" t="s">
        <v>1407</v>
      </c>
      <c r="I67" s="104" t="s">
        <v>1407</v>
      </c>
      <c r="J67" s="103" t="str">
        <f aca="false">IF(K67="","",K67)</f>
        <v>sel205</v>
      </c>
      <c r="K67" s="104" t="str">
        <f aca="false">"sel"&amp;MID($B67,2,5)</f>
        <v>sel205</v>
      </c>
      <c r="L67" s="105"/>
      <c r="M67" s="105"/>
      <c r="N67" s="105"/>
      <c r="O67" s="95" t="s">
        <v>931</v>
      </c>
      <c r="P67" s="105"/>
      <c r="Q67" s="105"/>
      <c r="R67" s="95" t="n">
        <v>-1</v>
      </c>
      <c r="S67" s="66"/>
      <c r="T67" s="66"/>
      <c r="U67" s="106" t="str">
        <f aca="false">J67</f>
        <v>sel205</v>
      </c>
      <c r="V67" s="103" t="s">
        <v>979</v>
      </c>
      <c r="W67" s="103" t="s">
        <v>1170</v>
      </c>
      <c r="X67" s="116" t="s">
        <v>1408</v>
      </c>
      <c r="Y67" s="103" t="s">
        <v>1409</v>
      </c>
      <c r="Z67" s="103" t="s">
        <v>1410</v>
      </c>
      <c r="AA67" s="103" t="s">
        <v>1411</v>
      </c>
      <c r="AB67" s="103" t="s">
        <v>1412</v>
      </c>
      <c r="AC67" s="103" t="s">
        <v>1413</v>
      </c>
      <c r="AD67" s="103" t="s">
        <v>1414</v>
      </c>
      <c r="AE67" s="103" t="s">
        <v>1415</v>
      </c>
      <c r="AF67" s="103" t="s">
        <v>1416</v>
      </c>
      <c r="AG67" s="103"/>
      <c r="AH67" s="103"/>
      <c r="AI67" s="103"/>
      <c r="AJ67" s="103"/>
      <c r="AK67" s="103"/>
      <c r="AL67" s="104" t="s">
        <v>979</v>
      </c>
      <c r="AM67" s="104" t="s">
        <v>1170</v>
      </c>
      <c r="AN67" s="118" t="s">
        <v>1408</v>
      </c>
      <c r="AO67" s="104" t="s">
        <v>1409</v>
      </c>
      <c r="AP67" s="107" t="s">
        <v>1410</v>
      </c>
      <c r="AQ67" s="107" t="s">
        <v>1411</v>
      </c>
      <c r="AR67" s="107" t="s">
        <v>1412</v>
      </c>
      <c r="AS67" s="107" t="s">
        <v>1413</v>
      </c>
      <c r="AT67" s="104" t="s">
        <v>1414</v>
      </c>
      <c r="AU67" s="104" t="s">
        <v>1415</v>
      </c>
      <c r="AV67" s="104" t="s">
        <v>1416</v>
      </c>
      <c r="AW67" s="104"/>
      <c r="AX67" s="104"/>
      <c r="AY67" s="104"/>
      <c r="AZ67" s="104"/>
      <c r="BA67" s="104"/>
      <c r="BB67" s="66"/>
      <c r="BC67" s="103" t="n">
        <v>-1</v>
      </c>
      <c r="BD67" s="103" t="n">
        <v>0</v>
      </c>
      <c r="BE67" s="103" t="n">
        <v>18</v>
      </c>
      <c r="BF67" s="103" t="n">
        <v>19</v>
      </c>
      <c r="BG67" s="103" t="n">
        <v>20</v>
      </c>
      <c r="BH67" s="103" t="n">
        <v>21</v>
      </c>
      <c r="BI67" s="103" t="n">
        <v>22</v>
      </c>
      <c r="BJ67" s="103" t="n">
        <v>23</v>
      </c>
      <c r="BK67" s="103" t="n">
        <v>24</v>
      </c>
      <c r="BL67" s="103" t="n">
        <v>25</v>
      </c>
      <c r="BM67" s="103" t="n">
        <v>26</v>
      </c>
      <c r="BN67" s="103"/>
      <c r="BO67" s="103"/>
      <c r="BP67" s="103"/>
      <c r="BQ67" s="103"/>
      <c r="BR67" s="103"/>
      <c r="BS67" s="104" t="n">
        <v>-1</v>
      </c>
      <c r="BT67" s="104" t="n">
        <v>0</v>
      </c>
      <c r="BU67" s="104" t="n">
        <v>18</v>
      </c>
      <c r="BV67" s="104" t="n">
        <v>19</v>
      </c>
      <c r="BW67" s="104" t="n">
        <v>20</v>
      </c>
      <c r="BX67" s="104" t="n">
        <v>21</v>
      </c>
      <c r="BY67" s="104" t="n">
        <v>22</v>
      </c>
      <c r="BZ67" s="104" t="n">
        <v>23</v>
      </c>
      <c r="CA67" s="104" t="n">
        <v>24</v>
      </c>
      <c r="CB67" s="104" t="n">
        <v>25</v>
      </c>
      <c r="CC67" s="104" t="n">
        <v>26</v>
      </c>
      <c r="CD67" s="104"/>
      <c r="CE67" s="104"/>
      <c r="CF67" s="104"/>
      <c r="CG67" s="104"/>
      <c r="CH67" s="104"/>
      <c r="CJ67" s="95" t="n">
        <v>23</v>
      </c>
      <c r="CK67" s="95" t="n">
        <v>0</v>
      </c>
      <c r="CL67" s="95" t="n">
        <v>21</v>
      </c>
      <c r="CM67" s="95" t="n">
        <v>1</v>
      </c>
      <c r="CN67" s="95" t="n">
        <v>0</v>
      </c>
      <c r="CO67" s="95" t="n">
        <v>2</v>
      </c>
      <c r="CP67" s="95" t="n">
        <v>3</v>
      </c>
      <c r="CQ67" s="95" t="n">
        <v>0</v>
      </c>
      <c r="CR67" s="95"/>
      <c r="CS67" s="95"/>
      <c r="CT67" s="95"/>
      <c r="CU67" s="95"/>
      <c r="CV67" s="95"/>
      <c r="CW67" s="95"/>
      <c r="CX67" s="95"/>
      <c r="CY67" s="95"/>
      <c r="CZ67" s="95" t="n">
        <v>23</v>
      </c>
      <c r="DA67" s="95" t="n">
        <v>0</v>
      </c>
      <c r="DB67" s="95" t="n">
        <v>21</v>
      </c>
      <c r="DC67" s="95" t="n">
        <v>1</v>
      </c>
      <c r="DD67" s="95" t="n">
        <v>0</v>
      </c>
      <c r="DE67" s="95" t="n">
        <v>2</v>
      </c>
      <c r="DF67" s="95" t="n">
        <v>3</v>
      </c>
      <c r="DG67" s="95" t="n">
        <v>0</v>
      </c>
      <c r="DL67" s="108"/>
      <c r="DM67" s="108"/>
      <c r="DN67" s="109" t="str">
        <f aca="false">"D6.scenario.defInput["""&amp;B67&amp;"""] = {  "&amp;E$2&amp;":"""&amp;E67&amp;""",  "&amp;C$2&amp;":"""&amp;CLEAN(SUBSTITUTE(C67,"""",""""))&amp;""",  "&amp;F$2&amp;":"""&amp;F67&amp;""",  "&amp;H$2&amp;":"""&amp;CLEAN(SUBSTITUTE(H67,"""",""""))&amp;""", "&amp;J$2&amp;":"""&amp;J67&amp;""", "&amp;L$2&amp;":"""&amp;L67&amp;""", "&amp;M$2&amp;":"""&amp;M67&amp;""", "&amp;N$2&amp;":"""&amp;N67&amp;""", "&amp;O$2&amp;":"""&amp;O67&amp;""", "&amp;P$2&amp;":"""&amp;P67&amp;""", "&amp;Q$2&amp;":"""&amp;Q67&amp;""", "&amp;R$2&amp;":"""&amp;R67&amp;""", d11t:"""&amp;CJ67&amp;""",d11p:"""&amp;CK67&amp;""",d12t:"""&amp;CL67&amp;""",d12p:"""&amp;CM67&amp;""",d13t:"""&amp;CN67&amp;""",d13p:"""&amp;CO67&amp;""",d1w:"""&amp;CP67&amp;""",d1d:"""&amp;CQ67&amp;""", d21t:"""&amp;CR67&amp;""",d21p:"""&amp;CS67&amp;""",d22t:"""&amp;CT67&amp;""",d22p:"""&amp;CU67&amp;""",d23t:"""&amp;CV67&amp;""",d23p:"""&amp;CW67&amp;""",d2w:"""&amp;CX67&amp;""",d2d:"""&amp;CY67&amp;""", d31t:"""&amp;CZ67&amp;""",d31p:"""&amp;DA67&amp;""",d32t:"""&amp;DB67&amp;""",d32p:"""&amp;DC67&amp;""",d33t:"""&amp;DD67&amp;""",d33p:"""&amp;DE67&amp;""",d3w:"""&amp;DF67&amp;""",d3d:"""&amp;DG67&amp;"""}; "</f>
        <v>D6.scenario.defInput["i205"] = {  cons:"consHTsum",  title:"暖房設定温度",  unit:"℃",  text:"暖房をするときには何℃に設定しますか。設定できない場合はおよそ何℃になっていますか。", inputType:"sel205", right:"", postfix:"", nodata:"", varType:"Number", min:"", max:"", defaultValue:"-1", d11t:"23",d11p:"0",d12t:"21",d12p:"1",d13t:"0",d13p:"2",d1w:"3",d1d:"0", d21t:"",d21p:"",d22t:"",d22p:"",d23t:"",d23p:"",d2w:"",d2d:"", d31t:"23",d31p:"0",d32t:"21",d32p:"1",d33t:"0",d33p:"2",d3w:"3",d3d:"0"}; </v>
      </c>
      <c r="DO67" s="110"/>
      <c r="DP67" s="110"/>
      <c r="DQ67" s="111" t="str">
        <f aca="false">"D6.scenario.defSelectValue["""&amp;U67&amp;"""]= [ """&amp;CLEAN(V67)&amp;""", """&amp;CLEAN(W67)&amp;IF(X67="","",""", """&amp;CLEAN(X67))&amp;IF(Y67="","",""", """&amp;CLEAN(Y67))&amp;IF(Z67="","",""", """&amp;CLEAN(Z67))&amp;IF(AA67="","",""", """&amp;CLEAN(AA67))&amp;IF(AB67="","",""", """&amp;CLEAN(AB67))&amp;IF(AC67="","",""", """&amp;CLEAN(AC67))&amp;IF(AD67="","",""", """&amp;CLEAN(AD67))&amp;IF(AE67="","",""", """&amp;CLEAN(AE67))&amp;IF(AF67="","",""", """&amp;CLEAN(AF67))&amp;IF(AG67="","",""", """&amp;CLEAN(AG67))&amp;IF(AH67="","",""", """&amp;CLEAN(AH67))&amp;IF(AI67="","",""", """&amp;CLEAN(AI67))&amp;IF(AJ67="","",""", """&amp;CLEAN(AJ67))&amp;IF(AK67="","",""", """&amp;CLEAN(AK67))&amp;""" ];"</f>
        <v>D6.scenario.defSelectValue["sel205"]= [ "選んで下さい", "使わない", "18℃", "19℃", "20℃", "21℃", "22℃", "23℃", "24℃", "25℃", "26℃以上" ];</v>
      </c>
      <c r="DR67" s="112"/>
      <c r="DS67" s="112"/>
      <c r="DT67" s="112" t="str">
        <f aca="false">"D6.scenario.defSelectData['"&amp;U67&amp;"']= [ '"&amp;BC67&amp;"', '"&amp;BD67&amp;"', '"&amp;BE67&amp;IF(BF67="","","', '"&amp;BF67)&amp;IF(BG67="","","', '"&amp;BG67)&amp;IF(BH67="","","', '"&amp;BH67)&amp;IF(BI67="","","', '"&amp;BI67)&amp;IF(BJ67="","","', '"&amp;BJ67)&amp;IF(BK67="","","', '"&amp;BK67)&amp;IF(BL67="","","', '"&amp;BL67)&amp;IF(BM67="","","', '"&amp;BM67)&amp;IF(BN67="","","', '"&amp;BN67)&amp;IF(BO67="","","', '"&amp;BO67)&amp;IF(BP67="","","', '"&amp;BP67)&amp;IF(BQ67="","","', '"&amp;BQ67)&amp;IF(BR67="","","', '"&amp;BR67)&amp;"' ];"</f>
        <v>D6.scenario.defSelectData['sel205']= [ '-1', '0', '18', '19', '20', '21', '22', '23', '24', '25', '26' ];</v>
      </c>
    </row>
    <row r="68" s="88" customFormat="true" ht="43.5" hidden="false" customHeight="true" outlineLevel="0" collapsed="false">
      <c r="A68" s="66"/>
      <c r="B68" s="95" t="s">
        <v>1417</v>
      </c>
      <c r="C68" s="103" t="s">
        <v>1418</v>
      </c>
      <c r="D68" s="104" t="s">
        <v>1418</v>
      </c>
      <c r="E68" s="95" t="s">
        <v>240</v>
      </c>
      <c r="F68" s="103" t="s">
        <v>1338</v>
      </c>
      <c r="G68" s="104" t="s">
        <v>1338</v>
      </c>
      <c r="H68" s="103" t="s">
        <v>1419</v>
      </c>
      <c r="I68" s="104" t="s">
        <v>1418</v>
      </c>
      <c r="J68" s="103" t="str">
        <f aca="false">IF(K68="","",K68)</f>
        <v>sel206</v>
      </c>
      <c r="K68" s="104" t="str">
        <f aca="false">"sel"&amp;MID($B68,2,5)</f>
        <v>sel206</v>
      </c>
      <c r="L68" s="105"/>
      <c r="M68" s="105"/>
      <c r="N68" s="105"/>
      <c r="O68" s="95" t="s">
        <v>931</v>
      </c>
      <c r="P68" s="105"/>
      <c r="Q68" s="105"/>
      <c r="R68" s="95" t="n">
        <v>-1</v>
      </c>
      <c r="S68" s="66"/>
      <c r="T68" s="66"/>
      <c r="U68" s="106" t="str">
        <f aca="false">J68</f>
        <v>sel206</v>
      </c>
      <c r="V68" s="103" t="s">
        <v>979</v>
      </c>
      <c r="W68" s="103" t="s">
        <v>1420</v>
      </c>
      <c r="X68" s="116" t="s">
        <v>1421</v>
      </c>
      <c r="Y68" s="116" t="s">
        <v>1341</v>
      </c>
      <c r="Z68" s="103" t="s">
        <v>1422</v>
      </c>
      <c r="AA68" s="103" t="s">
        <v>1342</v>
      </c>
      <c r="AB68" s="103" t="s">
        <v>1423</v>
      </c>
      <c r="AC68" s="103" t="s">
        <v>1343</v>
      </c>
      <c r="AD68" s="103" t="s">
        <v>1344</v>
      </c>
      <c r="AE68" s="103" t="s">
        <v>1345</v>
      </c>
      <c r="AF68" s="103"/>
      <c r="AG68" s="103"/>
      <c r="AH68" s="103"/>
      <c r="AI68" s="103"/>
      <c r="AJ68" s="103"/>
      <c r="AK68" s="103"/>
      <c r="AL68" s="104" t="s">
        <v>979</v>
      </c>
      <c r="AM68" s="104" t="s">
        <v>1420</v>
      </c>
      <c r="AN68" s="118" t="s">
        <v>1421</v>
      </c>
      <c r="AO68" s="118" t="s">
        <v>1341</v>
      </c>
      <c r="AP68" s="104" t="s">
        <v>1422</v>
      </c>
      <c r="AQ68" s="107" t="s">
        <v>1342</v>
      </c>
      <c r="AR68" s="107" t="s">
        <v>1423</v>
      </c>
      <c r="AS68" s="107" t="s">
        <v>1343</v>
      </c>
      <c r="AT68" s="104" t="s">
        <v>1344</v>
      </c>
      <c r="AU68" s="104" t="s">
        <v>1345</v>
      </c>
      <c r="AV68" s="104"/>
      <c r="AW68" s="104"/>
      <c r="AX68" s="104"/>
      <c r="AY68" s="104"/>
      <c r="AZ68" s="104"/>
      <c r="BA68" s="104"/>
      <c r="BB68" s="66"/>
      <c r="BC68" s="113" t="n">
        <v>-1</v>
      </c>
      <c r="BD68" s="103" t="n">
        <v>0</v>
      </c>
      <c r="BE68" s="103" t="n">
        <v>1</v>
      </c>
      <c r="BF68" s="103" t="n">
        <v>2</v>
      </c>
      <c r="BG68" s="103" t="n">
        <v>3</v>
      </c>
      <c r="BH68" s="103" t="n">
        <v>4</v>
      </c>
      <c r="BI68" s="103" t="n">
        <v>5</v>
      </c>
      <c r="BJ68" s="103" t="n">
        <v>6</v>
      </c>
      <c r="BK68" s="103" t="n">
        <v>8</v>
      </c>
      <c r="BL68" s="103" t="n">
        <v>10</v>
      </c>
      <c r="BM68" s="103"/>
      <c r="BN68" s="103"/>
      <c r="BO68" s="103"/>
      <c r="BP68" s="103"/>
      <c r="BQ68" s="103"/>
      <c r="BR68" s="103"/>
      <c r="BS68" s="114" t="n">
        <v>-1</v>
      </c>
      <c r="BT68" s="104" t="n">
        <v>0</v>
      </c>
      <c r="BU68" s="104" t="n">
        <v>1</v>
      </c>
      <c r="BV68" s="104" t="n">
        <v>2</v>
      </c>
      <c r="BW68" s="104" t="n">
        <v>3</v>
      </c>
      <c r="BX68" s="104" t="n">
        <v>4</v>
      </c>
      <c r="BY68" s="104" t="n">
        <v>5</v>
      </c>
      <c r="BZ68" s="104" t="n">
        <v>6</v>
      </c>
      <c r="CA68" s="104" t="n">
        <v>8</v>
      </c>
      <c r="CB68" s="104" t="n">
        <v>10</v>
      </c>
      <c r="CC68" s="104"/>
      <c r="CD68" s="104"/>
      <c r="CE68" s="104"/>
      <c r="CF68" s="104"/>
      <c r="CG68" s="104"/>
      <c r="CH68" s="104"/>
      <c r="CJ68" s="95"/>
      <c r="CK68" s="95"/>
      <c r="CL68" s="95"/>
      <c r="CM68" s="95"/>
      <c r="CN68" s="95"/>
      <c r="CO68" s="95"/>
      <c r="CP68" s="95"/>
      <c r="CQ68" s="95"/>
      <c r="CR68" s="95"/>
      <c r="CS68" s="95"/>
      <c r="CT68" s="95"/>
      <c r="CU68" s="95"/>
      <c r="CV68" s="95"/>
      <c r="CW68" s="95"/>
      <c r="CX68" s="95"/>
      <c r="CY68" s="95"/>
      <c r="CZ68" s="95"/>
      <c r="DA68" s="95"/>
      <c r="DB68" s="95"/>
      <c r="DC68" s="95"/>
      <c r="DD68" s="95"/>
      <c r="DE68" s="95"/>
      <c r="DF68" s="95"/>
      <c r="DG68" s="95"/>
      <c r="DL68" s="108"/>
      <c r="DM68" s="108"/>
      <c r="DN68" s="109" t="str">
        <f aca="false">"D6.scenario.defInput["""&amp;B68&amp;"""] = {  "&amp;E$2&amp;":"""&amp;E68&amp;""",  "&amp;C$2&amp;":"""&amp;CLEAN(SUBSTITUTE(C68,"""",""""))&amp;""",  "&amp;F$2&amp;":"""&amp;F68&amp;""",  "&amp;H$2&amp;":"""&amp;CLEAN(SUBSTITUTE(H68,"""",""""))&amp;""", "&amp;J$2&amp;":"""&amp;J68&amp;""", "&amp;L$2&amp;":"""&amp;L68&amp;""", "&amp;M$2&amp;":"""&amp;M68&amp;""", "&amp;N$2&amp;":"""&amp;N68&amp;""", "&amp;O$2&amp;":"""&amp;O68&amp;""", "&amp;P$2&amp;":"""&amp;P68&amp;""", "&amp;Q$2&amp;":"""&amp;Q68&amp;""", "&amp;R$2&amp;":"""&amp;R68&amp;""", d11t:"""&amp;CJ68&amp;""",d11p:"""&amp;CK68&amp;""",d12t:"""&amp;CL68&amp;""",d12p:"""&amp;CM68&amp;""",d13t:"""&amp;CN68&amp;""",d13p:"""&amp;CO68&amp;""",d1w:"""&amp;CP68&amp;""",d1d:"""&amp;CQ68&amp;""", d21t:"""&amp;CR68&amp;""",d21p:"""&amp;CS68&amp;""",d22t:"""&amp;CT68&amp;""",d22p:"""&amp;CU68&amp;""",d23t:"""&amp;CV68&amp;""",d23p:"""&amp;CW68&amp;""",d2w:"""&amp;CX68&amp;""",d2d:"""&amp;CY68&amp;""", d31t:"""&amp;CZ68&amp;""",d31p:"""&amp;DA68&amp;""",d32t:"""&amp;DB68&amp;""",d32p:"""&amp;DC68&amp;""",d33t:"""&amp;DD68&amp;""",d33p:"""&amp;DE68&amp;""",d3w:"""&amp;DF68&amp;""",d3d:"""&amp;DG68&amp;"""}; "</f>
        <v>D6.scenario.defInput["i206"] = {  cons:"consHTsum",  title:"暖房する期間",  unit:"ヶ月",  text:"部屋を暖房する期間は1年で何ヶ月くらいですか", inputType:"sel206", right:"", postfix:"", nodata:"", varType:"Number", min:"", max:"", defaultValue:"-1", d11t:"",d11p:"",d12t:"",d12p:"",d13t:"",d13p:"",d1w:"",d1d:"", d21t:"",d21p:"",d22t:"",d22p:"",d23t:"",d23p:"",d2w:"",d2d:"", d31t:"",d31p:"",d32t:"",d32p:"",d33t:"",d33p:"",d3w:"",d3d:""}; </v>
      </c>
      <c r="DO68" s="110"/>
      <c r="DP68" s="110"/>
      <c r="DQ68" s="111" t="str">
        <f aca="false">"D6.scenario.defSelectValue["""&amp;U68&amp;"""]= [ """&amp;CLEAN(V68)&amp;""", """&amp;CLEAN(W68)&amp;IF(X68="","",""", """&amp;CLEAN(X68))&amp;IF(Y68="","",""", """&amp;CLEAN(Y68))&amp;IF(Z68="","",""", """&amp;CLEAN(Z68))&amp;IF(AA68="","",""", """&amp;CLEAN(AA68))&amp;IF(AB68="","",""", """&amp;CLEAN(AB68))&amp;IF(AC68="","",""", """&amp;CLEAN(AC68))&amp;IF(AD68="","",""", """&amp;CLEAN(AD68))&amp;IF(AE68="","",""", """&amp;CLEAN(AE68))&amp;IF(AF68="","",""", """&amp;CLEAN(AF68))&amp;IF(AG68="","",""", """&amp;CLEAN(AG68))&amp;IF(AH68="","",""", """&amp;CLEAN(AH68))&amp;IF(AI68="","",""", """&amp;CLEAN(AI68))&amp;IF(AJ68="","",""", """&amp;CLEAN(AJ68))&amp;IF(AK68="","",""", """&amp;CLEAN(AK68))&amp;""" ];"</f>
        <v>D6.scenario.defSelectValue["sel206"]= [ "選んで下さい", "暖房をしない", "1ヶ月", "2ヶ月", "3ヶ月", "4ヶ月", "5ヶ月", "6ヶ月", "8ヶ月", "10ヶ月" ];</v>
      </c>
      <c r="DR68" s="112"/>
      <c r="DS68" s="112"/>
      <c r="DT68" s="112" t="str">
        <f aca="false">"D6.scenario.defSelectData['"&amp;U68&amp;"']= [ '"&amp;BC68&amp;"', '"&amp;BD68&amp;"', '"&amp;BE68&amp;IF(BF68="","","', '"&amp;BF68)&amp;IF(BG68="","","', '"&amp;BG68)&amp;IF(BH68="","","', '"&amp;BH68)&amp;IF(BI68="","","', '"&amp;BI68)&amp;IF(BJ68="","","', '"&amp;BJ68)&amp;IF(BK68="","","', '"&amp;BK68)&amp;IF(BL68="","","', '"&amp;BL68)&amp;IF(BM68="","","', '"&amp;BM68)&amp;IF(BN68="","","', '"&amp;BN68)&amp;IF(BO68="","","', '"&amp;BO68)&amp;IF(BP68="","","', '"&amp;BP68)&amp;IF(BQ68="","","', '"&amp;BQ68)&amp;IF(BR68="","","', '"&amp;BR68)&amp;"' ];"</f>
        <v>D6.scenario.defSelectData['sel206']= [ '-1', '0', '1', '2', '3', '4', '5', '6', '8', '10' ];</v>
      </c>
    </row>
    <row r="69" s="88" customFormat="true" ht="43.5" hidden="false" customHeight="true" outlineLevel="0" collapsed="false">
      <c r="B69" s="95" t="s">
        <v>1424</v>
      </c>
      <c r="C69" s="103" t="s">
        <v>1425</v>
      </c>
      <c r="D69" s="104" t="s">
        <v>1425</v>
      </c>
      <c r="E69" s="95" t="s">
        <v>249</v>
      </c>
      <c r="F69" s="103"/>
      <c r="G69" s="104"/>
      <c r="H69" s="103" t="s">
        <v>1426</v>
      </c>
      <c r="I69" s="104" t="s">
        <v>1425</v>
      </c>
      <c r="J69" s="103" t="str">
        <f aca="false">IF(K69="","",K69)</f>
        <v/>
      </c>
      <c r="K69" s="104"/>
      <c r="L69" s="105"/>
      <c r="M69" s="105"/>
      <c r="N69" s="105"/>
      <c r="O69" s="95" t="s">
        <v>932</v>
      </c>
      <c r="P69" s="105"/>
      <c r="Q69" s="105"/>
      <c r="R69" s="95"/>
      <c r="S69" s="66"/>
      <c r="U69" s="106"/>
      <c r="V69" s="103"/>
      <c r="W69" s="103"/>
      <c r="X69" s="103"/>
      <c r="Y69" s="103"/>
      <c r="Z69" s="103"/>
      <c r="AA69" s="103"/>
      <c r="AB69" s="103"/>
      <c r="AC69" s="103"/>
      <c r="AD69" s="103"/>
      <c r="AE69" s="103"/>
      <c r="AF69" s="103"/>
      <c r="AG69" s="103"/>
      <c r="AH69" s="103"/>
      <c r="AI69" s="103"/>
      <c r="AJ69" s="103"/>
      <c r="AK69" s="103"/>
      <c r="AL69" s="104"/>
      <c r="AM69" s="104"/>
      <c r="AN69" s="104"/>
      <c r="AO69" s="104"/>
      <c r="AP69" s="104"/>
      <c r="AQ69" s="104"/>
      <c r="AR69" s="104"/>
      <c r="AS69" s="104"/>
      <c r="AT69" s="104"/>
      <c r="AU69" s="104"/>
      <c r="AV69" s="104"/>
      <c r="AW69" s="104"/>
      <c r="AX69" s="104"/>
      <c r="AY69" s="104"/>
      <c r="AZ69" s="104"/>
      <c r="BA69" s="104"/>
      <c r="BB69" s="66"/>
      <c r="BC69" s="103"/>
      <c r="BD69" s="103"/>
      <c r="BE69" s="103"/>
      <c r="BF69" s="103"/>
      <c r="BG69" s="103"/>
      <c r="BH69" s="103"/>
      <c r="BI69" s="103"/>
      <c r="BJ69" s="103"/>
      <c r="BK69" s="103"/>
      <c r="BL69" s="103"/>
      <c r="BM69" s="103"/>
      <c r="BN69" s="103"/>
      <c r="BO69" s="103"/>
      <c r="BP69" s="103"/>
      <c r="BQ69" s="103"/>
      <c r="BR69" s="103"/>
      <c r="BS69" s="104"/>
      <c r="BT69" s="104"/>
      <c r="BU69" s="104"/>
      <c r="BV69" s="104"/>
      <c r="BW69" s="104"/>
      <c r="BX69" s="104"/>
      <c r="BY69" s="104"/>
      <c r="BZ69" s="104"/>
      <c r="CA69" s="104"/>
      <c r="CB69" s="104"/>
      <c r="CC69" s="104"/>
      <c r="CD69" s="104"/>
      <c r="CE69" s="104"/>
      <c r="CF69" s="104"/>
      <c r="CG69" s="104"/>
      <c r="CH69" s="104"/>
      <c r="CJ69" s="95"/>
      <c r="CK69" s="95"/>
      <c r="CL69" s="95"/>
      <c r="CM69" s="95"/>
      <c r="CN69" s="95"/>
      <c r="CO69" s="95"/>
      <c r="CP69" s="95"/>
      <c r="CQ69" s="95"/>
      <c r="CR69" s="95"/>
      <c r="CS69" s="95"/>
      <c r="CT69" s="95"/>
      <c r="CU69" s="95"/>
      <c r="CV69" s="95"/>
      <c r="CW69" s="95"/>
      <c r="CX69" s="95"/>
      <c r="CY69" s="95"/>
      <c r="CZ69" s="95"/>
      <c r="DA69" s="95"/>
      <c r="DB69" s="95"/>
      <c r="DC69" s="95"/>
      <c r="DD69" s="95"/>
      <c r="DE69" s="95"/>
      <c r="DF69" s="95"/>
      <c r="DG69" s="95"/>
      <c r="DL69" s="108"/>
      <c r="DM69" s="108"/>
      <c r="DN69" s="109" t="str">
        <f aca="false">"D6.scenario.defInput["""&amp;B69&amp;"""] = {  "&amp;E$2&amp;":"""&amp;E69&amp;""",  "&amp;C$2&amp;":"""&amp;CLEAN(SUBSTITUTE(C69,"""",""""))&amp;""",  "&amp;F$2&amp;":"""&amp;F69&amp;""",  "&amp;H$2&amp;":"""&amp;CLEAN(SUBSTITUTE(H69,"""",""""))&amp;""", "&amp;J$2&amp;":"""&amp;J69&amp;""", "&amp;L$2&amp;":"""&amp;L69&amp;""", "&amp;M$2&amp;":"""&amp;M69&amp;""", "&amp;N$2&amp;":"""&amp;N69&amp;""", "&amp;O$2&amp;":"""&amp;O69&amp;""", "&amp;P$2&amp;":"""&amp;P69&amp;""", "&amp;Q$2&amp;":"""&amp;Q69&amp;""", "&amp;R$2&amp;":"""&amp;R69&amp;""", d11t:"""&amp;CJ69&amp;""",d11p:"""&amp;CK69&amp;""",d12t:"""&amp;CL69&amp;""",d12p:"""&amp;CM69&amp;""",d13t:"""&amp;CN69&amp;""",d13p:"""&amp;CO69&amp;""",d1w:"""&amp;CP69&amp;""",d1d:"""&amp;CQ69&amp;""", d21t:"""&amp;CR69&amp;""",d21p:"""&amp;CS69&amp;""",d22t:"""&amp;CT69&amp;""",d22p:"""&amp;CU69&amp;""",d23t:"""&amp;CV69&amp;""",d23p:"""&amp;CW69&amp;""",d2w:"""&amp;CX69&amp;""",d2d:"""&amp;CY69&amp;""", d31t:"""&amp;CZ69&amp;""",d31p:"""&amp;DA69&amp;""",d32t:"""&amp;DB69&amp;""",d32p:"""&amp;DC69&amp;""",d33t:"""&amp;DD69&amp;""",d33p:"""&amp;DE69&amp;""",d3w:"""&amp;DF69&amp;""",d3d:"""&amp;DG69&amp;"""}; "</f>
        <v>D6.scenario.defInput["i211"] = {  cons:"consACheat",  title:"部屋の名前",  unit:"",  text:"部屋の名前（呼び方）を書いてください", inputType:"", right:"", postfix:"", nodata:"", varType:"String", min:"", max:"", defaultValue:"", d11t:"",d11p:"",d12t:"",d12p:"",d13t:"",d13p:"",d1w:"",d1d:"", d21t:"",d21p:"",d22t:"",d22p:"",d23t:"",d23p:"",d2w:"",d2d:"", d31t:"",d31p:"",d32t:"",d32p:"",d33t:"",d33p:"",d3w:"",d3d:""}; </v>
      </c>
      <c r="DO69" s="110"/>
      <c r="DP69" s="110"/>
      <c r="DQ69" s="111" t="str">
        <f aca="false">"D6.scenario.defSelectValue["""&amp;U69&amp;"""]= [ """&amp;CLEAN(V69)&amp;""", """&amp;CLEAN(W69)&amp;IF(X69="","",""", """&amp;CLEAN(X69))&amp;IF(Y69="","",""", """&amp;CLEAN(Y69))&amp;IF(Z69="","",""", """&amp;CLEAN(Z69))&amp;IF(AA69="","",""", """&amp;CLEAN(AA69))&amp;IF(AB69="","",""", """&amp;CLEAN(AB69))&amp;IF(AC69="","",""", """&amp;CLEAN(AC69))&amp;IF(AD69="","",""", """&amp;CLEAN(AD69))&amp;IF(AE69="","",""", """&amp;CLEAN(AE69))&amp;IF(AF69="","",""", """&amp;CLEAN(AF69))&amp;IF(AG69="","",""", """&amp;CLEAN(AG69))&amp;IF(AH69="","",""", """&amp;CLEAN(AH69))&amp;IF(AI69="","",""", """&amp;CLEAN(AI69))&amp;IF(AJ69="","",""", """&amp;CLEAN(AJ69))&amp;IF(AK69="","",""", """&amp;CLEAN(AK69))&amp;""" ];"</f>
        <v>D6.scenario.defSelectValue[""]= [ "", "" ];</v>
      </c>
      <c r="DR69" s="112"/>
      <c r="DS69" s="112"/>
      <c r="DT69" s="112" t="str">
        <f aca="false">"D6.scenario.defSelectData['"&amp;U69&amp;"']= [ '"&amp;BC69&amp;"', '"&amp;BD69&amp;"', '"&amp;BE69&amp;IF(BF69="","","', '"&amp;BF69)&amp;IF(BG69="","","', '"&amp;BG69)&amp;IF(BH69="","","', '"&amp;BH69)&amp;IF(BI69="","","', '"&amp;BI69)&amp;IF(BJ69="","","', '"&amp;BJ69)&amp;IF(BK69="","","', '"&amp;BK69)&amp;IF(BL69="","","', '"&amp;BL69)&amp;IF(BM69="","","', '"&amp;BM69)&amp;IF(BN69="","","', '"&amp;BN69)&amp;IF(BO69="","","', '"&amp;BO69)&amp;IF(BP69="","","', '"&amp;BP69)&amp;IF(BQ69="","","', '"&amp;BQ69)&amp;IF(BR69="","","', '"&amp;BR69)&amp;"' ];"</f>
        <v>D6.scenario.defSelectData['']= [ '', '', '' ];</v>
      </c>
    </row>
    <row r="70" s="88" customFormat="true" ht="43.5" hidden="false" customHeight="true" outlineLevel="0" collapsed="false">
      <c r="B70" s="95" t="s">
        <v>1427</v>
      </c>
      <c r="C70" s="103" t="s">
        <v>1428</v>
      </c>
      <c r="D70" s="104" t="s">
        <v>1428</v>
      </c>
      <c r="E70" s="95" t="s">
        <v>249</v>
      </c>
      <c r="F70" s="103" t="s">
        <v>1004</v>
      </c>
      <c r="G70" s="104" t="s">
        <v>1004</v>
      </c>
      <c r="H70" s="103" t="s">
        <v>1429</v>
      </c>
      <c r="I70" s="104" t="s">
        <v>1429</v>
      </c>
      <c r="J70" s="103" t="str">
        <f aca="false">IF(K70="","",K70)</f>
        <v>sel212</v>
      </c>
      <c r="K70" s="104" t="str">
        <f aca="false">"sel"&amp;MID($B70,2,5)</f>
        <v>sel212</v>
      </c>
      <c r="L70" s="105"/>
      <c r="M70" s="105"/>
      <c r="N70" s="105"/>
      <c r="O70" s="95" t="s">
        <v>931</v>
      </c>
      <c r="P70" s="105"/>
      <c r="Q70" s="105"/>
      <c r="R70" s="95" t="n">
        <v>-1</v>
      </c>
      <c r="T70" s="66"/>
      <c r="U70" s="106" t="str">
        <f aca="false">J70</f>
        <v>sel212</v>
      </c>
      <c r="V70" s="103" t="s">
        <v>979</v>
      </c>
      <c r="W70" s="103" t="s">
        <v>1430</v>
      </c>
      <c r="X70" s="103" t="s">
        <v>1431</v>
      </c>
      <c r="Y70" s="103" t="s">
        <v>1432</v>
      </c>
      <c r="Z70" s="103" t="s">
        <v>1433</v>
      </c>
      <c r="AA70" s="103" t="s">
        <v>1434</v>
      </c>
      <c r="AB70" s="103" t="s">
        <v>1435</v>
      </c>
      <c r="AC70" s="103" t="s">
        <v>1436</v>
      </c>
      <c r="AD70" s="103" t="s">
        <v>1437</v>
      </c>
      <c r="AE70" s="103" t="s">
        <v>1438</v>
      </c>
      <c r="AF70" s="103" t="s">
        <v>1439</v>
      </c>
      <c r="AG70" s="103"/>
      <c r="AH70" s="103"/>
      <c r="AI70" s="103"/>
      <c r="AJ70" s="103"/>
      <c r="AK70" s="103"/>
      <c r="AL70" s="104" t="s">
        <v>979</v>
      </c>
      <c r="AM70" s="107" t="s">
        <v>1430</v>
      </c>
      <c r="AN70" s="107" t="s">
        <v>1431</v>
      </c>
      <c r="AO70" s="107" t="s">
        <v>1432</v>
      </c>
      <c r="AP70" s="107" t="s">
        <v>1433</v>
      </c>
      <c r="AQ70" s="107" t="s">
        <v>1434</v>
      </c>
      <c r="AR70" s="107" t="s">
        <v>1435</v>
      </c>
      <c r="AS70" s="104" t="s">
        <v>1436</v>
      </c>
      <c r="AT70" s="104" t="s">
        <v>1437</v>
      </c>
      <c r="AU70" s="104" t="s">
        <v>1438</v>
      </c>
      <c r="AV70" s="104" t="s">
        <v>1439</v>
      </c>
      <c r="AW70" s="104"/>
      <c r="AX70" s="104"/>
      <c r="AY70" s="104"/>
      <c r="AZ70" s="104"/>
      <c r="BA70" s="104"/>
      <c r="BB70" s="66"/>
      <c r="BC70" s="103" t="n">
        <v>-1</v>
      </c>
      <c r="BD70" s="103" t="n">
        <v>7.3</v>
      </c>
      <c r="BE70" s="103" t="n">
        <v>10</v>
      </c>
      <c r="BF70" s="103" t="n">
        <v>13</v>
      </c>
      <c r="BG70" s="103" t="n">
        <v>16</v>
      </c>
      <c r="BH70" s="103" t="n">
        <v>19.5</v>
      </c>
      <c r="BI70" s="103" t="n">
        <v>24</v>
      </c>
      <c r="BJ70" s="103" t="n">
        <v>33</v>
      </c>
      <c r="BK70" s="103" t="n">
        <v>41</v>
      </c>
      <c r="BL70" s="103" t="n">
        <v>49</v>
      </c>
      <c r="BM70" s="103" t="n">
        <v>65</v>
      </c>
      <c r="BN70" s="103"/>
      <c r="BO70" s="103"/>
      <c r="BP70" s="103"/>
      <c r="BQ70" s="103"/>
      <c r="BR70" s="103"/>
      <c r="BS70" s="104" t="n">
        <v>-1</v>
      </c>
      <c r="BT70" s="104" t="n">
        <v>7.3</v>
      </c>
      <c r="BU70" s="104" t="n">
        <v>10</v>
      </c>
      <c r="BV70" s="104" t="n">
        <v>13</v>
      </c>
      <c r="BW70" s="104" t="n">
        <v>16</v>
      </c>
      <c r="BX70" s="104" t="n">
        <v>19.5</v>
      </c>
      <c r="BY70" s="104" t="n">
        <v>24</v>
      </c>
      <c r="BZ70" s="104" t="n">
        <v>33</v>
      </c>
      <c r="CA70" s="104" t="n">
        <v>41</v>
      </c>
      <c r="CB70" s="104" t="n">
        <v>49</v>
      </c>
      <c r="CC70" s="104" t="n">
        <v>65</v>
      </c>
      <c r="CD70" s="104"/>
      <c r="CE70" s="104"/>
      <c r="CF70" s="104"/>
      <c r="CG70" s="104"/>
      <c r="CH70" s="104"/>
      <c r="CJ70" s="95"/>
      <c r="CK70" s="95"/>
      <c r="CL70" s="95"/>
      <c r="CM70" s="95"/>
      <c r="CN70" s="95"/>
      <c r="CO70" s="95"/>
      <c r="CP70" s="95"/>
      <c r="CQ70" s="95"/>
      <c r="CR70" s="95"/>
      <c r="CS70" s="95"/>
      <c r="CT70" s="95"/>
      <c r="CU70" s="95"/>
      <c r="CV70" s="95"/>
      <c r="CW70" s="95"/>
      <c r="CX70" s="95"/>
      <c r="CY70" s="95"/>
      <c r="CZ70" s="95"/>
      <c r="DA70" s="95"/>
      <c r="DB70" s="95"/>
      <c r="DC70" s="95"/>
      <c r="DD70" s="95"/>
      <c r="DE70" s="95"/>
      <c r="DF70" s="95"/>
      <c r="DG70" s="95"/>
      <c r="DL70" s="108"/>
      <c r="DM70" s="108"/>
      <c r="DN70" s="109" t="str">
        <f aca="false">"D6.scenario.defInput["""&amp;B70&amp;"""] = {  "&amp;E$2&amp;":"""&amp;E70&amp;""",  "&amp;C$2&amp;":"""&amp;CLEAN(SUBSTITUTE(C70,"""",""""))&amp;""",  "&amp;F$2&amp;":"""&amp;F70&amp;""",  "&amp;H$2&amp;":"""&amp;CLEAN(SUBSTITUTE(H70,"""",""""))&amp;""", "&amp;J$2&amp;":"""&amp;J70&amp;""", "&amp;L$2&amp;":"""&amp;L70&amp;""", "&amp;M$2&amp;":"""&amp;M70&amp;""", "&amp;N$2&amp;":"""&amp;N70&amp;""", "&amp;O$2&amp;":"""&amp;O70&amp;""", "&amp;P$2&amp;":"""&amp;P70&amp;""", "&amp;Q$2&amp;":"""&amp;Q70&amp;""", "&amp;R$2&amp;":"""&amp;R70&amp;""", d11t:"""&amp;CJ70&amp;""",d11p:"""&amp;CK70&amp;""",d12t:"""&amp;CL70&amp;""",d12p:"""&amp;CM70&amp;""",d13t:"""&amp;CN70&amp;""",d13p:"""&amp;CO70&amp;""",d1w:"""&amp;CP70&amp;""",d1d:"""&amp;CQ70&amp;""", d21t:"""&amp;CR70&amp;""",d21p:"""&amp;CS70&amp;""",d22t:"""&amp;CT70&amp;""",d22p:"""&amp;CU70&amp;""",d23t:"""&amp;CV70&amp;""",d23p:"""&amp;CW70&amp;""",d2w:"""&amp;CX70&amp;""",d2d:"""&amp;CY70&amp;""", d31t:"""&amp;CZ70&amp;""",d31p:"""&amp;DA70&amp;""",d32t:"""&amp;DB70&amp;""",d32p:"""&amp;DC70&amp;""",d33t:"""&amp;DD70&amp;""",d33p:"""&amp;DE70&amp;""",d3w:"""&amp;DF70&amp;""",d3d:"""&amp;DG70&amp;"""}; "</f>
        <v>D6.scenario.defInput["i212"] = {  cons:"consACheat",  title:"部屋の広さ",  unit:"m2",  text:"冷暖房する部屋の広さを答えてください。吹き抜けがある場合には、その分を2倍してください。", inputType:"sel212", right:"", postfix:"", nodata:"", varType:"Number", min:"", max:"", defaultValue:"-1", d11t:"",d11p:"",d12t:"",d12p:"",d13t:"",d13p:"",d1w:"",d1d:"", d21t:"",d21p:"",d22t:"",d22p:"",d23t:"",d23p:"",d2w:"",d2d:"", d31t:"",d31p:"",d32t:"",d32p:"",d33t:"",d33p:"",d3w:"",d3d:""}; </v>
      </c>
      <c r="DO70" s="110"/>
      <c r="DP70" s="110"/>
      <c r="DQ70" s="111" t="str">
        <f aca="false">"D6.scenario.defSelectValue["""&amp;U70&amp;"""]= [ """&amp;CLEAN(V70)&amp;""", """&amp;CLEAN(W70)&amp;IF(X70="","",""", """&amp;CLEAN(X70))&amp;IF(Y70="","",""", """&amp;CLEAN(Y70))&amp;IF(Z70="","",""", """&amp;CLEAN(Z70))&amp;IF(AA70="","",""", """&amp;CLEAN(AA70))&amp;IF(AB70="","",""", """&amp;CLEAN(AB70))&amp;IF(AC70="","",""", """&amp;CLEAN(AC70))&amp;IF(AD70="","",""", """&amp;CLEAN(AD70))&amp;IF(AE70="","",""", """&amp;CLEAN(AE70))&amp;IF(AF70="","",""", """&amp;CLEAN(AF70))&amp;IF(AG70="","",""", """&amp;CLEAN(AG70))&amp;IF(AH70="","",""", """&amp;CLEAN(AH70))&amp;IF(AI70="","",""", """&amp;CLEAN(AI70))&amp;IF(AJ70="","",""", """&amp;CLEAN(AJ70))&amp;IF(AK70="","",""", """&amp;CLEAN(AK70))&amp;""" ];"</f>
        <v>D6.scenario.defSelectValue["sel212"]= [ "選んで下さい", "4畳半", "6畳", "8畳", "10畳", "12畳", "15畳", "20畳", "25畳", "30畳", "40畳" ];</v>
      </c>
      <c r="DR70" s="112"/>
      <c r="DS70" s="112"/>
      <c r="DT70" s="112" t="str">
        <f aca="false">"D6.scenario.defSelectData['"&amp;U70&amp;"']= [ '"&amp;BC70&amp;"', '"&amp;BD70&amp;"', '"&amp;BE70&amp;IF(BF70="","","', '"&amp;BF70)&amp;IF(BG70="","","', '"&amp;BG70)&amp;IF(BH70="","","', '"&amp;BH70)&amp;IF(BI70="","","', '"&amp;BI70)&amp;IF(BJ70="","","', '"&amp;BJ70)&amp;IF(BK70="","","', '"&amp;BK70)&amp;IF(BL70="","","', '"&amp;BL70)&amp;IF(BM70="","","', '"&amp;BM70)&amp;IF(BN70="","","', '"&amp;BN70)&amp;IF(BO70="","","', '"&amp;BO70)&amp;IF(BP70="","","', '"&amp;BP70)&amp;IF(BQ70="","","', '"&amp;BQ70)&amp;IF(BR70="","","', '"&amp;BR70)&amp;"' ];"</f>
        <v>D6.scenario.defSelectData['sel212']= [ '-1', '7.3', '10', '13', '16', '19.5', '24', '33', '41', '49', '65' ];</v>
      </c>
    </row>
    <row r="71" s="88" customFormat="true" ht="43.5" hidden="false" customHeight="true" outlineLevel="0" collapsed="false">
      <c r="B71" s="95" t="s">
        <v>1440</v>
      </c>
      <c r="C71" s="103" t="s">
        <v>1441</v>
      </c>
      <c r="D71" s="104" t="s">
        <v>1441</v>
      </c>
      <c r="E71" s="95" t="s">
        <v>249</v>
      </c>
      <c r="F71" s="103" t="s">
        <v>1004</v>
      </c>
      <c r="G71" s="104" t="s">
        <v>1004</v>
      </c>
      <c r="H71" s="103" t="s">
        <v>1442</v>
      </c>
      <c r="I71" s="104" t="s">
        <v>1442</v>
      </c>
      <c r="J71" s="103" t="str">
        <f aca="false">IF(K71="","",K71)</f>
        <v>sel213</v>
      </c>
      <c r="K71" s="104" t="str">
        <f aca="false">"sel"&amp;MID($B71,2,5)</f>
        <v>sel213</v>
      </c>
      <c r="L71" s="105"/>
      <c r="M71" s="105"/>
      <c r="N71" s="105"/>
      <c r="O71" s="95" t="s">
        <v>931</v>
      </c>
      <c r="P71" s="105"/>
      <c r="Q71" s="105"/>
      <c r="R71" s="95" t="n">
        <v>-1</v>
      </c>
      <c r="T71" s="66"/>
      <c r="U71" s="106" t="str">
        <f aca="false">J71</f>
        <v>sel213</v>
      </c>
      <c r="V71" s="103" t="s">
        <v>979</v>
      </c>
      <c r="W71" s="103" t="s">
        <v>1443</v>
      </c>
      <c r="X71" s="103" t="s">
        <v>1444</v>
      </c>
      <c r="Y71" s="103" t="s">
        <v>1445</v>
      </c>
      <c r="Z71" s="103" t="s">
        <v>1446</v>
      </c>
      <c r="AA71" s="103" t="s">
        <v>1447</v>
      </c>
      <c r="AB71" s="103" t="s">
        <v>1448</v>
      </c>
      <c r="AC71" s="103"/>
      <c r="AD71" s="103"/>
      <c r="AE71" s="103"/>
      <c r="AF71" s="103"/>
      <c r="AG71" s="103"/>
      <c r="AH71" s="103"/>
      <c r="AI71" s="103"/>
      <c r="AJ71" s="103"/>
      <c r="AK71" s="103"/>
      <c r="AL71" s="104" t="s">
        <v>979</v>
      </c>
      <c r="AM71" s="107" t="s">
        <v>1443</v>
      </c>
      <c r="AN71" s="107" t="s">
        <v>1444</v>
      </c>
      <c r="AO71" s="107" t="s">
        <v>1445</v>
      </c>
      <c r="AP71" s="107" t="s">
        <v>1446</v>
      </c>
      <c r="AQ71" s="104" t="s">
        <v>1447</v>
      </c>
      <c r="AR71" s="104" t="s">
        <v>1448</v>
      </c>
      <c r="AS71" s="104"/>
      <c r="AT71" s="104"/>
      <c r="AU71" s="104"/>
      <c r="AV71" s="104"/>
      <c r="AW71" s="104"/>
      <c r="AX71" s="104"/>
      <c r="AY71" s="104"/>
      <c r="AZ71" s="104"/>
      <c r="BA71" s="104"/>
      <c r="BB71" s="66"/>
      <c r="BC71" s="103" t="n">
        <v>-1</v>
      </c>
      <c r="BD71" s="103" t="n">
        <v>1.1</v>
      </c>
      <c r="BE71" s="103" t="n">
        <v>2.2</v>
      </c>
      <c r="BF71" s="103" t="n">
        <v>3.3</v>
      </c>
      <c r="BG71" s="103" t="n">
        <v>6.5</v>
      </c>
      <c r="BH71" s="103" t="n">
        <v>9.7</v>
      </c>
      <c r="BI71" s="103" t="n">
        <v>13</v>
      </c>
      <c r="BJ71" s="103"/>
      <c r="BK71" s="103"/>
      <c r="BL71" s="103"/>
      <c r="BM71" s="103"/>
      <c r="BN71" s="103"/>
      <c r="BO71" s="103"/>
      <c r="BP71" s="103"/>
      <c r="BQ71" s="103"/>
      <c r="BR71" s="103"/>
      <c r="BS71" s="104" t="n">
        <v>-1</v>
      </c>
      <c r="BT71" s="104" t="n">
        <v>1.1</v>
      </c>
      <c r="BU71" s="104" t="n">
        <v>2.2</v>
      </c>
      <c r="BV71" s="104" t="n">
        <v>3.3</v>
      </c>
      <c r="BW71" s="104" t="n">
        <v>6.5</v>
      </c>
      <c r="BX71" s="104" t="n">
        <v>9.7</v>
      </c>
      <c r="BY71" s="104" t="n">
        <v>13</v>
      </c>
      <c r="BZ71" s="104"/>
      <c r="CA71" s="104"/>
      <c r="CB71" s="104"/>
      <c r="CC71" s="104"/>
      <c r="CD71" s="104"/>
      <c r="CE71" s="104"/>
      <c r="CF71" s="104"/>
      <c r="CG71" s="104"/>
      <c r="CH71" s="104"/>
      <c r="CJ71" s="95"/>
      <c r="CK71" s="95"/>
      <c r="CL71" s="95"/>
      <c r="CM71" s="95"/>
      <c r="CN71" s="95"/>
      <c r="CO71" s="95"/>
      <c r="CP71" s="95"/>
      <c r="CQ71" s="95"/>
      <c r="CR71" s="95"/>
      <c r="CS71" s="95"/>
      <c r="CT71" s="95"/>
      <c r="CU71" s="95"/>
      <c r="CV71" s="95"/>
      <c r="CW71" s="95"/>
      <c r="CX71" s="95"/>
      <c r="CY71" s="95"/>
      <c r="CZ71" s="95"/>
      <c r="DA71" s="95"/>
      <c r="DB71" s="95"/>
      <c r="DC71" s="95"/>
      <c r="DD71" s="95"/>
      <c r="DE71" s="95"/>
      <c r="DF71" s="95"/>
      <c r="DG71" s="95"/>
      <c r="DL71" s="108"/>
      <c r="DM71" s="108"/>
      <c r="DN71" s="109" t="str">
        <f aca="false">"D6.scenario.defInput["""&amp;B71&amp;"""] = {  "&amp;E$2&amp;":"""&amp;E71&amp;""",  "&amp;C$2&amp;":"""&amp;CLEAN(SUBSTITUTE(C71,"""",""""))&amp;""",  "&amp;F$2&amp;":"""&amp;F71&amp;""",  "&amp;H$2&amp;":"""&amp;CLEAN(SUBSTITUTE(H71,"""",""""))&amp;""", "&amp;J$2&amp;":"""&amp;J71&amp;""", "&amp;L$2&amp;":"""&amp;L71&amp;""", "&amp;M$2&amp;":"""&amp;M71&amp;""", "&amp;N$2&amp;":"""&amp;N71&amp;""", "&amp;O$2&amp;":"""&amp;O71&amp;""", "&amp;P$2&amp;":"""&amp;P71&amp;""", "&amp;Q$2&amp;":"""&amp;Q71&amp;""", "&amp;R$2&amp;":"""&amp;R71&amp;""", d11t:"""&amp;CJ71&amp;""",d11p:"""&amp;CK71&amp;""",d12t:"""&amp;CL71&amp;""",d12p:"""&amp;CM71&amp;""",d13t:"""&amp;CN71&amp;""",d13p:"""&amp;CO71&amp;""",d1w:"""&amp;CP71&amp;""",d1d:"""&amp;CQ71&amp;""", d21t:"""&amp;CR71&amp;""",d21p:"""&amp;CS71&amp;""",d22t:"""&amp;CT71&amp;""",d22p:"""&amp;CU71&amp;""",d23t:"""&amp;CV71&amp;""",d23p:"""&amp;CW71&amp;""",d2w:"""&amp;CX71&amp;""",d2d:"""&amp;CY71&amp;""", d31t:"""&amp;CZ71&amp;""",d31p:"""&amp;DA71&amp;""",d32t:"""&amp;DB71&amp;""",d32p:"""&amp;DC71&amp;""",d33t:"""&amp;DD71&amp;""",d33p:"""&amp;DE71&amp;""",d3w:"""&amp;DF71&amp;""",d3d:"""&amp;DG71&amp;"""}; "</f>
        <v>D6.scenario.defInput["i213"] = {  cons:"consACheat",  title:"窓ガラスの大きさ",  unit:"m2",  text:"サッシや窓のガラスの大きさを、その部屋の合計として答えてください。", inputType:"sel213", right:"", postfix:"", nodata:"", varType:"Number", min:"", max:"", defaultValue:"-1", d11t:"",d11p:"",d12t:"",d12p:"",d13t:"",d13p:"",d1w:"",d1d:"", d21t:"",d21p:"",d22t:"",d22p:"",d23t:"",d23p:"",d2w:"",d2d:"", d31t:"",d31p:"",d32t:"",d32p:"",d33t:"",d33p:"",d3w:"",d3d:""}; </v>
      </c>
      <c r="DO71" s="110"/>
      <c r="DP71" s="110"/>
      <c r="DQ71" s="111" t="str">
        <f aca="false">"D6.scenario.defSelectValue["""&amp;U71&amp;"""]= [ """&amp;CLEAN(V71)&amp;""", """&amp;CLEAN(W71)&amp;IF(X71="","",""", """&amp;CLEAN(X71))&amp;IF(Y71="","",""", """&amp;CLEAN(Y71))&amp;IF(Z71="","",""", """&amp;CLEAN(Z71))&amp;IF(AA71="","",""", """&amp;CLEAN(AA71))&amp;IF(AB71="","",""", """&amp;CLEAN(AB71))&amp;IF(AC71="","",""", """&amp;CLEAN(AC71))&amp;IF(AD71="","",""", """&amp;CLEAN(AD71))&amp;IF(AE71="","",""", """&amp;CLEAN(AE71))&amp;IF(AF71="","",""", """&amp;CLEAN(AF71))&amp;IF(AG71="","",""", """&amp;CLEAN(AG71))&amp;IF(AH71="","",""", """&amp;CLEAN(AH71))&amp;IF(AI71="","",""", """&amp;CLEAN(AI71))&amp;IF(AJ71="","",""", """&amp;CLEAN(AJ71))&amp;IF(AK71="","",""", """&amp;CLEAN(AK71))&amp;""" ];"</f>
        <v>D6.scenario.defSelectValue["sel213"]= [ "選んで下さい", "小窓（90×120）", "腰窓（120×180）", "2枚掃き出し窓（180×180）", "4枚掃き出し窓（180×360）", "掃き出し6枚相当（180×540）", "掃き出し8枚相当（180×720）" ];</v>
      </c>
      <c r="DR71" s="112"/>
      <c r="DS71" s="112"/>
      <c r="DT71" s="112" t="str">
        <f aca="false">"D6.scenario.defSelectData['"&amp;U71&amp;"']= [ '"&amp;BC71&amp;"', '"&amp;BD71&amp;"', '"&amp;BE71&amp;IF(BF71="","","', '"&amp;BF71)&amp;IF(BG71="","","', '"&amp;BG71)&amp;IF(BH71="","","', '"&amp;BH71)&amp;IF(BI71="","","', '"&amp;BI71)&amp;IF(BJ71="","","', '"&amp;BJ71)&amp;IF(BK71="","","', '"&amp;BK71)&amp;IF(BL71="","","', '"&amp;BL71)&amp;IF(BM71="","","', '"&amp;BM71)&amp;IF(BN71="","","', '"&amp;BN71)&amp;IF(BO71="","","', '"&amp;BO71)&amp;IF(BP71="","","', '"&amp;BP71)&amp;IF(BQ71="","","', '"&amp;BQ71)&amp;IF(BR71="","","', '"&amp;BR71)&amp;"' ];"</f>
        <v>D6.scenario.defSelectData['sel213']= [ '-1', '1.1', '2.2', '3.3', '6.5', '9.7', '13' ];</v>
      </c>
    </row>
    <row r="72" s="88" customFormat="true" ht="43.5" hidden="false" customHeight="true" outlineLevel="0" collapsed="false">
      <c r="B72" s="95" t="s">
        <v>1449</v>
      </c>
      <c r="C72" s="103" t="s">
        <v>1450</v>
      </c>
      <c r="D72" s="104" t="s">
        <v>1450</v>
      </c>
      <c r="E72" s="95" t="s">
        <v>249</v>
      </c>
      <c r="F72" s="103" t="s">
        <v>1451</v>
      </c>
      <c r="G72" s="104" t="s">
        <v>1451</v>
      </c>
      <c r="H72" s="103" t="s">
        <v>1078</v>
      </c>
      <c r="I72" s="104" t="s">
        <v>1450</v>
      </c>
      <c r="J72" s="103" t="str">
        <f aca="false">IF(K72="","",K72)</f>
        <v>sel214</v>
      </c>
      <c r="K72" s="104" t="str">
        <f aca="false">"sel"&amp;MID($B72,2,5)</f>
        <v>sel214</v>
      </c>
      <c r="L72" s="105"/>
      <c r="M72" s="105"/>
      <c r="N72" s="105"/>
      <c r="O72" s="95" t="s">
        <v>931</v>
      </c>
      <c r="P72" s="105"/>
      <c r="Q72" s="105"/>
      <c r="R72" s="95" t="n">
        <v>-1</v>
      </c>
      <c r="T72" s="66"/>
      <c r="U72" s="106" t="str">
        <f aca="false">J72</f>
        <v>sel214</v>
      </c>
      <c r="V72" s="103" t="s">
        <v>979</v>
      </c>
      <c r="W72" s="103" t="s">
        <v>1452</v>
      </c>
      <c r="X72" s="103" t="s">
        <v>1453</v>
      </c>
      <c r="Y72" s="103" t="s">
        <v>1454</v>
      </c>
      <c r="Z72" s="103" t="s">
        <v>1455</v>
      </c>
      <c r="AA72" s="103" t="s">
        <v>1456</v>
      </c>
      <c r="AB72" s="103"/>
      <c r="AC72" s="103"/>
      <c r="AD72" s="103"/>
      <c r="AE72" s="103"/>
      <c r="AF72" s="103"/>
      <c r="AG72" s="103"/>
      <c r="AH72" s="103"/>
      <c r="AI72" s="103"/>
      <c r="AJ72" s="103"/>
      <c r="AK72" s="103"/>
      <c r="AL72" s="104" t="s">
        <v>979</v>
      </c>
      <c r="AM72" s="107" t="s">
        <v>1452</v>
      </c>
      <c r="AN72" s="107" t="s">
        <v>1453</v>
      </c>
      <c r="AO72" s="107" t="s">
        <v>1454</v>
      </c>
      <c r="AP72" s="107" t="s">
        <v>1455</v>
      </c>
      <c r="AQ72" s="107" t="s">
        <v>1456</v>
      </c>
      <c r="AR72" s="104"/>
      <c r="AS72" s="104"/>
      <c r="AT72" s="104"/>
      <c r="AU72" s="104"/>
      <c r="AV72" s="104"/>
      <c r="AW72" s="104"/>
      <c r="AX72" s="104"/>
      <c r="AY72" s="104"/>
      <c r="AZ72" s="104"/>
      <c r="BA72" s="104"/>
      <c r="BB72" s="66"/>
      <c r="BC72" s="103" t="n">
        <v>-1</v>
      </c>
      <c r="BD72" s="103" t="n">
        <v>6</v>
      </c>
      <c r="BE72" s="103" t="n">
        <v>3.5</v>
      </c>
      <c r="BF72" s="103" t="n">
        <v>2.5</v>
      </c>
      <c r="BG72" s="103" t="n">
        <v>2.5</v>
      </c>
      <c r="BH72" s="103" t="n">
        <v>1.5</v>
      </c>
      <c r="BI72" s="103"/>
      <c r="BJ72" s="103"/>
      <c r="BK72" s="103"/>
      <c r="BL72" s="103"/>
      <c r="BM72" s="103"/>
      <c r="BN72" s="103"/>
      <c r="BO72" s="103"/>
      <c r="BP72" s="103"/>
      <c r="BQ72" s="103"/>
      <c r="BR72" s="103"/>
      <c r="BS72" s="104" t="n">
        <v>-1</v>
      </c>
      <c r="BT72" s="104" t="n">
        <v>6</v>
      </c>
      <c r="BU72" s="104" t="n">
        <v>3.5</v>
      </c>
      <c r="BV72" s="104" t="n">
        <v>2.5</v>
      </c>
      <c r="BW72" s="104" t="n">
        <v>2.5</v>
      </c>
      <c r="BX72" s="104" t="n">
        <v>1.5</v>
      </c>
      <c r="BY72" s="104"/>
      <c r="BZ72" s="104"/>
      <c r="CA72" s="104"/>
      <c r="CB72" s="104"/>
      <c r="CC72" s="104"/>
      <c r="CD72" s="104"/>
      <c r="CE72" s="104"/>
      <c r="CF72" s="104"/>
      <c r="CG72" s="104"/>
      <c r="CH72" s="104"/>
      <c r="CJ72" s="95"/>
      <c r="CK72" s="95"/>
      <c r="CL72" s="95"/>
      <c r="CM72" s="95"/>
      <c r="CN72" s="95"/>
      <c r="CO72" s="95"/>
      <c r="CP72" s="95"/>
      <c r="CQ72" s="95"/>
      <c r="CR72" s="95" t="n">
        <v>4</v>
      </c>
      <c r="CS72" s="95" t="n">
        <v>2</v>
      </c>
      <c r="CT72" s="95" t="n">
        <v>3</v>
      </c>
      <c r="CU72" s="95" t="n">
        <v>1</v>
      </c>
      <c r="CV72" s="95"/>
      <c r="CW72" s="95"/>
      <c r="CX72" s="95" t="n">
        <v>1</v>
      </c>
      <c r="CY72" s="95" t="n">
        <v>1</v>
      </c>
      <c r="CZ72" s="95"/>
      <c r="DA72" s="95"/>
      <c r="DB72" s="95"/>
      <c r="DC72" s="95"/>
      <c r="DD72" s="95"/>
      <c r="DE72" s="95"/>
      <c r="DF72" s="95"/>
      <c r="DG72" s="95"/>
      <c r="DL72" s="108"/>
      <c r="DM72" s="108"/>
      <c r="DN72" s="109" t="str">
        <f aca="false">"D6.scenario.defInput["""&amp;B72&amp;"""] = {  "&amp;E$2&amp;":"""&amp;E72&amp;""",  "&amp;C$2&amp;":"""&amp;CLEAN(SUBSTITUTE(C72,"""",""""))&amp;""",  "&amp;F$2&amp;":"""&amp;F72&amp;""",  "&amp;H$2&amp;":"""&amp;CLEAN(SUBSTITUTE(H72,"""",""""))&amp;""", "&amp;J$2&amp;":"""&amp;J72&amp;""", "&amp;L$2&amp;":"""&amp;L72&amp;""", "&amp;M$2&amp;":"""&amp;M72&amp;""", "&amp;N$2&amp;":"""&amp;N72&amp;""", "&amp;O$2&amp;":"""&amp;O72&amp;""", "&amp;P$2&amp;":"""&amp;P72&amp;""", "&amp;Q$2&amp;":"""&amp;Q72&amp;""", "&amp;R$2&amp;":"""&amp;R72&amp;""", d11t:"""&amp;CJ72&amp;""",d11p:"""&amp;CK72&amp;""",d12t:"""&amp;CL72&amp;""",d12p:"""&amp;CM72&amp;""",d13t:"""&amp;CN72&amp;""",d13p:"""&amp;CO72&amp;""",d1w:"""&amp;CP72&amp;""",d1d:"""&amp;CQ72&amp;""", d21t:"""&amp;CR72&amp;""",d21p:"""&amp;CS72&amp;""",d22t:"""&amp;CT72&amp;""",d22p:"""&amp;CU72&amp;""",d23t:"""&amp;CV72&amp;""",d23p:"""&amp;CW72&amp;""",d2w:"""&amp;CX72&amp;""",d2d:"""&amp;CY72&amp;""", d31t:"""&amp;CZ72&amp;""",d31p:"""&amp;DA72&amp;""",d32t:"""&amp;DB72&amp;""",d32p:"""&amp;DC72&amp;""",d33t:"""&amp;DD72&amp;""",d33p:"""&amp;DE72&amp;""",d3w:"""&amp;DF72&amp;""",d3d:"""&amp;DG72&amp;"""}; "</f>
        <v>D6.scenario.defInput["i214"] = {  cons:"consACheat",  title:"窓ガラスの種類",  unit:"w/m2K",  text:"窓はどのような種類ですか", inputType:"sel214", right:"", postfix:"", nodata:"", varType:"Number", min:"", max:"", defaultValue:"-1", d11t:"",d11p:"",d12t:"",d12p:"",d13t:"",d13p:"",d1w:"",d1d:"", d21t:"4",d21p:"2",d22t:"3",d22p:"1",d23t:"",d23p:"",d2w:"1",d2d:"1", d31t:"",d31p:"",d32t:"",d32p:"",d33t:"",d33p:"",d3w:"",d3d:""}; </v>
      </c>
      <c r="DO72" s="110"/>
      <c r="DP72" s="110"/>
      <c r="DQ72" s="111" t="str">
        <f aca="false">"D6.scenario.defSelectValue["""&amp;U72&amp;"""]= [ """&amp;CLEAN(V72)&amp;""", """&amp;CLEAN(W72)&amp;IF(X72="","",""", """&amp;CLEAN(X72))&amp;IF(Y72="","",""", """&amp;CLEAN(Y72))&amp;IF(Z72="","",""", """&amp;CLEAN(Z72))&amp;IF(AA72="","",""", """&amp;CLEAN(AA72))&amp;IF(AB72="","",""", """&amp;CLEAN(AB72))&amp;IF(AC72="","",""", """&amp;CLEAN(AC72))&amp;IF(AD72="","",""", """&amp;CLEAN(AD72))&amp;IF(AE72="","",""", """&amp;CLEAN(AE72))&amp;IF(AF72="","",""", """&amp;CLEAN(AF72))&amp;IF(AG72="","",""", """&amp;CLEAN(AG72))&amp;IF(AH72="","",""", """&amp;CLEAN(AH72))&amp;IF(AI72="","",""", """&amp;CLEAN(AI72))&amp;IF(AJ72="","",""", """&amp;CLEAN(AJ72))&amp;IF(AK72="","",""", """&amp;CLEAN(AK72))&amp;""" ];"</f>
        <v>D6.scenario.defSelectValue["sel214"]= [ "選んで下さい", "1枚ガラス", "アルミ複層ガラス", "アルミ以外枠複層ガラス", "二重窓", "low-e複層ガラス" ];</v>
      </c>
      <c r="DR72" s="112"/>
      <c r="DS72" s="112"/>
      <c r="DT72" s="112" t="str">
        <f aca="false">"D6.scenario.defSelectData['"&amp;U72&amp;"']= [ '"&amp;BC72&amp;"', '"&amp;BD72&amp;"', '"&amp;BE72&amp;IF(BF72="","","', '"&amp;BF72)&amp;IF(BG72="","","', '"&amp;BG72)&amp;IF(BH72="","","', '"&amp;BH72)&amp;IF(BI72="","","', '"&amp;BI72)&amp;IF(BJ72="","","', '"&amp;BJ72)&amp;IF(BK72="","","', '"&amp;BK72)&amp;IF(BL72="","","', '"&amp;BL72)&amp;IF(BM72="","","', '"&amp;BM72)&amp;IF(BN72="","","', '"&amp;BN72)&amp;IF(BO72="","","', '"&amp;BO72)&amp;IF(BP72="","","', '"&amp;BP72)&amp;IF(BQ72="","","', '"&amp;BQ72)&amp;IF(BR72="","","', '"&amp;BR72)&amp;"' ];"</f>
        <v>D6.scenario.defSelectData['sel214']= [ '-1', '6', '3.5', '2.5', '2.5', '1.5' ];</v>
      </c>
    </row>
    <row r="73" s="88" customFormat="true" ht="43.5" hidden="false" customHeight="true" outlineLevel="0" collapsed="false">
      <c r="A73" s="66"/>
      <c r="B73" s="95" t="s">
        <v>1457</v>
      </c>
      <c r="C73" s="103" t="s">
        <v>1458</v>
      </c>
      <c r="D73" s="104" t="s">
        <v>1458</v>
      </c>
      <c r="E73" s="95" t="s">
        <v>251</v>
      </c>
      <c r="F73" s="103" t="s">
        <v>1055</v>
      </c>
      <c r="G73" s="104" t="s">
        <v>1055</v>
      </c>
      <c r="H73" s="103" t="s">
        <v>1458</v>
      </c>
      <c r="I73" s="104" t="s">
        <v>1458</v>
      </c>
      <c r="J73" s="103" t="str">
        <f aca="false">IF(K73="","",K73)</f>
        <v>sel215</v>
      </c>
      <c r="K73" s="104" t="str">
        <f aca="false">"sel"&amp;MID($B73,2,5)</f>
        <v>sel215</v>
      </c>
      <c r="L73" s="105"/>
      <c r="M73" s="105"/>
      <c r="N73" s="105"/>
      <c r="O73" s="95" t="s">
        <v>931</v>
      </c>
      <c r="P73" s="105"/>
      <c r="Q73" s="105"/>
      <c r="R73" s="95" t="n">
        <v>-1</v>
      </c>
      <c r="S73" s="66"/>
      <c r="T73" s="66"/>
      <c r="U73" s="106" t="str">
        <f aca="false">J73</f>
        <v>sel215</v>
      </c>
      <c r="V73" s="103" t="s">
        <v>979</v>
      </c>
      <c r="W73" s="103" t="s">
        <v>1459</v>
      </c>
      <c r="X73" s="116" t="s">
        <v>1460</v>
      </c>
      <c r="Y73" s="103" t="s">
        <v>1461</v>
      </c>
      <c r="Z73" s="103" t="s">
        <v>1058</v>
      </c>
      <c r="AA73" s="103" t="s">
        <v>1462</v>
      </c>
      <c r="AB73" s="103" t="s">
        <v>1463</v>
      </c>
      <c r="AC73" s="103" t="s">
        <v>1464</v>
      </c>
      <c r="AD73" s="103" t="s">
        <v>1465</v>
      </c>
      <c r="AE73" s="103" t="s">
        <v>1061</v>
      </c>
      <c r="AF73" s="103"/>
      <c r="AG73" s="103"/>
      <c r="AH73" s="103"/>
      <c r="AI73" s="103"/>
      <c r="AJ73" s="103"/>
      <c r="AK73" s="103"/>
      <c r="AL73" s="104" t="s">
        <v>979</v>
      </c>
      <c r="AM73" s="107" t="s">
        <v>1459</v>
      </c>
      <c r="AN73" s="117" t="s">
        <v>1460</v>
      </c>
      <c r="AO73" s="107" t="s">
        <v>1461</v>
      </c>
      <c r="AP73" s="107" t="s">
        <v>1058</v>
      </c>
      <c r="AQ73" s="107" t="s">
        <v>1462</v>
      </c>
      <c r="AR73" s="107" t="s">
        <v>1463</v>
      </c>
      <c r="AS73" s="107" t="s">
        <v>1464</v>
      </c>
      <c r="AT73" s="104" t="s">
        <v>1465</v>
      </c>
      <c r="AU73" s="104" t="s">
        <v>1061</v>
      </c>
      <c r="AV73" s="104"/>
      <c r="AW73" s="104"/>
      <c r="AX73" s="104"/>
      <c r="AY73" s="104"/>
      <c r="AZ73" s="104"/>
      <c r="BA73" s="104"/>
      <c r="BB73" s="66"/>
      <c r="BC73" s="103" t="n">
        <v>-1</v>
      </c>
      <c r="BD73" s="103" t="n">
        <v>0</v>
      </c>
      <c r="BE73" s="103" t="n">
        <v>1</v>
      </c>
      <c r="BF73" s="103" t="n">
        <v>2</v>
      </c>
      <c r="BG73" s="103" t="n">
        <v>4</v>
      </c>
      <c r="BH73" s="103" t="n">
        <v>6</v>
      </c>
      <c r="BI73" s="103" t="n">
        <v>9</v>
      </c>
      <c r="BJ73" s="103" t="n">
        <v>13</v>
      </c>
      <c r="BK73" s="103" t="n">
        <v>18</v>
      </c>
      <c r="BL73" s="103" t="n">
        <v>25</v>
      </c>
      <c r="BM73" s="103"/>
      <c r="BN73" s="103"/>
      <c r="BO73" s="103"/>
      <c r="BP73" s="103"/>
      <c r="BQ73" s="103"/>
      <c r="BR73" s="103"/>
      <c r="BS73" s="104" t="n">
        <v>-1</v>
      </c>
      <c r="BT73" s="104" t="n">
        <v>0</v>
      </c>
      <c r="BU73" s="104" t="n">
        <v>1</v>
      </c>
      <c r="BV73" s="104" t="n">
        <v>2</v>
      </c>
      <c r="BW73" s="104" t="n">
        <v>4</v>
      </c>
      <c r="BX73" s="104" t="n">
        <v>6</v>
      </c>
      <c r="BY73" s="104" t="n">
        <v>9</v>
      </c>
      <c r="BZ73" s="104" t="n">
        <v>13</v>
      </c>
      <c r="CA73" s="104" t="n">
        <v>18</v>
      </c>
      <c r="CB73" s="104" t="n">
        <v>25</v>
      </c>
      <c r="CC73" s="104"/>
      <c r="CD73" s="104"/>
      <c r="CE73" s="104"/>
      <c r="CF73" s="104"/>
      <c r="CG73" s="104"/>
      <c r="CH73" s="104"/>
      <c r="CJ73" s="95"/>
      <c r="CK73" s="95"/>
      <c r="CL73" s="95"/>
      <c r="CM73" s="95"/>
      <c r="CN73" s="95"/>
      <c r="CO73" s="95"/>
      <c r="CP73" s="95"/>
      <c r="CQ73" s="95"/>
      <c r="CR73" s="95"/>
      <c r="CS73" s="95"/>
      <c r="CT73" s="95"/>
      <c r="CU73" s="95"/>
      <c r="CV73" s="95"/>
      <c r="CW73" s="95"/>
      <c r="CX73" s="95"/>
      <c r="CY73" s="95"/>
      <c r="CZ73" s="95"/>
      <c r="DA73" s="95"/>
      <c r="DB73" s="95"/>
      <c r="DC73" s="95"/>
      <c r="DD73" s="95"/>
      <c r="DE73" s="95"/>
      <c r="DF73" s="95"/>
      <c r="DG73" s="95"/>
      <c r="DL73" s="108"/>
      <c r="DM73" s="108"/>
      <c r="DN73" s="109" t="str">
        <f aca="false">"D6.scenario.defInput["""&amp;B73&amp;"""] = {  "&amp;E$2&amp;":"""&amp;E73&amp;""",  "&amp;C$2&amp;":"""&amp;CLEAN(SUBSTITUTE(C73,"""",""""))&amp;""",  "&amp;F$2&amp;":"""&amp;F73&amp;""",  "&amp;H$2&amp;":"""&amp;CLEAN(SUBSTITUTE(H73,"""",""""))&amp;""", "&amp;J$2&amp;":"""&amp;J73&amp;""", "&amp;L$2&amp;":"""&amp;L73&amp;""", "&amp;M$2&amp;":"""&amp;M73&amp;""", "&amp;N$2&amp;":"""&amp;N73&amp;""", "&amp;O$2&amp;":"""&amp;O73&amp;""", "&amp;P$2&amp;":"""&amp;P73&amp;""", "&amp;Q$2&amp;":"""&amp;Q73&amp;""", "&amp;R$2&amp;":"""&amp;R73&amp;""", d11t:"""&amp;CJ73&amp;""",d11p:"""&amp;CK73&amp;""",d12t:"""&amp;CL73&amp;""",d12p:"""&amp;CM73&amp;""",d13t:"""&amp;CN73&amp;""",d13p:"""&amp;CO73&amp;""",d1w:"""&amp;CP73&amp;""",d1d:"""&amp;CQ73&amp;""", d21t:"""&amp;CR73&amp;""",d21p:"""&amp;CS73&amp;""",d22t:"""&amp;CT73&amp;""",d22p:"""&amp;CU73&amp;""",d23t:"""&amp;CV73&amp;""",d23p:"""&amp;CW73&amp;""",d2w:"""&amp;CX73&amp;""",d2d:"""&amp;CY73&amp;""", d31t:"""&amp;CZ73&amp;""",d31p:"""&amp;DA73&amp;""",d32t:"""&amp;DB73&amp;""",d32p:"""&amp;DC73&amp;""",d33t:"""&amp;DD73&amp;""",d33p:"""&amp;DE73&amp;""",d3w:"""&amp;DF73&amp;""",d3d:"""&amp;DG73&amp;"""}; "</f>
        <v>D6.scenario.defInput["i215"] = {  cons:"consACcool",  title:"エアコンの使用年数",  unit:"年",  text:"エアコンの使用年数", inputType:"sel215", right:"", postfix:"", nodata:"", varType:"Number", min:"", max:"", defaultValue:"-1", d11t:"",d11p:"",d12t:"",d12p:"",d13t:"",d13p:"",d1w:"",d1d:"", d21t:"",d21p:"",d22t:"",d22p:"",d23t:"",d23p:"",d2w:"",d2d:"", d31t:"",d31p:"",d32t:"",d32p:"",d33t:"",d33p:"",d3w:"",d3d:""}; </v>
      </c>
      <c r="DO73" s="110"/>
      <c r="DP73" s="110"/>
      <c r="DQ73" s="111" t="str">
        <f aca="false">"D6.scenario.defSelectValue["""&amp;U73&amp;"""]= [ """&amp;CLEAN(V73)&amp;""", """&amp;CLEAN(W73)&amp;IF(X73="","",""", """&amp;CLEAN(X73))&amp;IF(Y73="","",""", """&amp;CLEAN(Y73))&amp;IF(Z73="","",""", """&amp;CLEAN(Z73))&amp;IF(AA73="","",""", """&amp;CLEAN(AA73))&amp;IF(AB73="","",""", """&amp;CLEAN(AB73))&amp;IF(AC73="","",""", """&amp;CLEAN(AC73))&amp;IF(AD73="","",""", """&amp;CLEAN(AD73))&amp;IF(AE73="","",""", """&amp;CLEAN(AE73))&amp;IF(AF73="","",""", """&amp;CLEAN(AF73))&amp;IF(AG73="","",""", """&amp;CLEAN(AG73))&amp;IF(AH73="","",""", """&amp;CLEAN(AH73))&amp;IF(AI73="","",""", """&amp;CLEAN(AI73))&amp;IF(AJ73="","",""", """&amp;CLEAN(AJ73))&amp;IF(AK73="","",""", """&amp;CLEAN(AK73))&amp;""" ];"</f>
        <v>D6.scenario.defSelectValue["sel215"]= [ "選んで下さい", "持っていない", "1年未満", "3年未満", "5年未満", "7年未満", "10年未満", "15年未満", "20年未満", "20年以上" ];</v>
      </c>
      <c r="DR73" s="112"/>
      <c r="DS73" s="112"/>
      <c r="DT73" s="112" t="str">
        <f aca="false">"D6.scenario.defSelectData['"&amp;U73&amp;"']= [ '"&amp;BC73&amp;"', '"&amp;BD73&amp;"', '"&amp;BE73&amp;IF(BF73="","","', '"&amp;BF73)&amp;IF(BG73="","","', '"&amp;BG73)&amp;IF(BH73="","","', '"&amp;BH73)&amp;IF(BI73="","","', '"&amp;BI73)&amp;IF(BJ73="","","', '"&amp;BJ73)&amp;IF(BK73="","","', '"&amp;BK73)&amp;IF(BL73="","","', '"&amp;BL73)&amp;IF(BM73="","","', '"&amp;BM73)&amp;IF(BN73="","","', '"&amp;BN73)&amp;IF(BO73="","","', '"&amp;BO73)&amp;IF(BP73="","","', '"&amp;BP73)&amp;IF(BQ73="","","', '"&amp;BQ73)&amp;IF(BR73="","","', '"&amp;BR73)&amp;"' ];"</f>
        <v>D6.scenario.defSelectData['sel215']= [ '-1', '0', '1', '2', '4', '6', '9', '13', '18', '25' ];</v>
      </c>
    </row>
    <row r="74" s="88" customFormat="true" ht="43.5" hidden="false" customHeight="true" outlineLevel="0" collapsed="false">
      <c r="A74" s="66"/>
      <c r="B74" s="95" t="s">
        <v>1466</v>
      </c>
      <c r="C74" s="103" t="s">
        <v>1467</v>
      </c>
      <c r="D74" s="104" t="s">
        <v>1467</v>
      </c>
      <c r="E74" s="95" t="s">
        <v>251</v>
      </c>
      <c r="F74" s="103"/>
      <c r="G74" s="104"/>
      <c r="H74" s="103" t="s">
        <v>1468</v>
      </c>
      <c r="I74" s="104" t="s">
        <v>1468</v>
      </c>
      <c r="J74" s="103" t="str">
        <f aca="false">IF(K74="","",K74)</f>
        <v>sel216</v>
      </c>
      <c r="K74" s="104" t="str">
        <f aca="false">"sel"&amp;MID($B74,2,5)</f>
        <v>sel216</v>
      </c>
      <c r="L74" s="105"/>
      <c r="M74" s="105"/>
      <c r="N74" s="105"/>
      <c r="O74" s="95" t="s">
        <v>931</v>
      </c>
      <c r="P74" s="105"/>
      <c r="Q74" s="105"/>
      <c r="R74" s="95" t="n">
        <v>-1</v>
      </c>
      <c r="S74" s="66"/>
      <c r="T74" s="66"/>
      <c r="U74" s="106" t="str">
        <f aca="false">J74</f>
        <v>sel216</v>
      </c>
      <c r="V74" s="103" t="s">
        <v>979</v>
      </c>
      <c r="W74" s="103" t="s">
        <v>1140</v>
      </c>
      <c r="X74" s="116" t="s">
        <v>1141</v>
      </c>
      <c r="Y74" s="103" t="s">
        <v>1062</v>
      </c>
      <c r="Z74" s="103"/>
      <c r="AA74" s="103"/>
      <c r="AB74" s="103"/>
      <c r="AC74" s="103"/>
      <c r="AD74" s="103"/>
      <c r="AE74" s="103"/>
      <c r="AF74" s="103"/>
      <c r="AG74" s="103"/>
      <c r="AH74" s="103"/>
      <c r="AI74" s="103"/>
      <c r="AJ74" s="103"/>
      <c r="AK74" s="103"/>
      <c r="AL74" s="104" t="s">
        <v>979</v>
      </c>
      <c r="AM74" s="107" t="s">
        <v>1140</v>
      </c>
      <c r="AN74" s="117" t="s">
        <v>1141</v>
      </c>
      <c r="AO74" s="107" t="s">
        <v>1062</v>
      </c>
      <c r="AP74" s="104"/>
      <c r="AQ74" s="104"/>
      <c r="AR74" s="104"/>
      <c r="AS74" s="104"/>
      <c r="AT74" s="104"/>
      <c r="AU74" s="104"/>
      <c r="AV74" s="104"/>
      <c r="AW74" s="104"/>
      <c r="AX74" s="104"/>
      <c r="AY74" s="104"/>
      <c r="AZ74" s="104"/>
      <c r="BA74" s="104"/>
      <c r="BB74" s="66"/>
      <c r="BC74" s="103" t="n">
        <v>-1</v>
      </c>
      <c r="BD74" s="103" t="n">
        <v>1</v>
      </c>
      <c r="BE74" s="103" t="n">
        <v>2</v>
      </c>
      <c r="BF74" s="103" t="n">
        <v>3</v>
      </c>
      <c r="BG74" s="103"/>
      <c r="BH74" s="103"/>
      <c r="BI74" s="103"/>
      <c r="BJ74" s="103"/>
      <c r="BK74" s="103"/>
      <c r="BL74" s="103"/>
      <c r="BM74" s="103"/>
      <c r="BN74" s="103"/>
      <c r="BO74" s="103"/>
      <c r="BP74" s="103"/>
      <c r="BQ74" s="103"/>
      <c r="BR74" s="103"/>
      <c r="BS74" s="104" t="n">
        <v>-1</v>
      </c>
      <c r="BT74" s="104" t="n">
        <v>1</v>
      </c>
      <c r="BU74" s="104" t="n">
        <v>2</v>
      </c>
      <c r="BV74" s="104" t="n">
        <v>3</v>
      </c>
      <c r="BW74" s="104"/>
      <c r="BX74" s="104"/>
      <c r="BY74" s="104"/>
      <c r="BZ74" s="104"/>
      <c r="CA74" s="104"/>
      <c r="CB74" s="104"/>
      <c r="CC74" s="104"/>
      <c r="CD74" s="104"/>
      <c r="CE74" s="104"/>
      <c r="CF74" s="104"/>
      <c r="CG74" s="104"/>
      <c r="CH74" s="104"/>
      <c r="CJ74" s="95" t="n">
        <v>2</v>
      </c>
      <c r="CK74" s="95" t="n">
        <v>0</v>
      </c>
      <c r="CL74" s="95" t="n">
        <v>1</v>
      </c>
      <c r="CM74" s="95" t="n">
        <v>2</v>
      </c>
      <c r="CN74" s="95"/>
      <c r="CO74" s="95"/>
      <c r="CP74" s="95" t="n">
        <v>2</v>
      </c>
      <c r="CQ74" s="95" t="n">
        <v>0</v>
      </c>
      <c r="CR74" s="95" t="n">
        <v>2</v>
      </c>
      <c r="CS74" s="95" t="n">
        <v>0</v>
      </c>
      <c r="CT74" s="95" t="n">
        <v>1</v>
      </c>
      <c r="CU74" s="95" t="n">
        <v>2</v>
      </c>
      <c r="CV74" s="95"/>
      <c r="CW74" s="95"/>
      <c r="CX74" s="95" t="n">
        <v>2</v>
      </c>
      <c r="CY74" s="95" t="n">
        <v>0</v>
      </c>
      <c r="CZ74" s="95"/>
      <c r="DA74" s="95"/>
      <c r="DB74" s="95"/>
      <c r="DC74" s="95"/>
      <c r="DD74" s="95"/>
      <c r="DE74" s="95"/>
      <c r="DF74" s="95"/>
      <c r="DG74" s="95"/>
      <c r="DL74" s="108"/>
      <c r="DM74" s="108"/>
      <c r="DN74" s="109" t="str">
        <f aca="false">"D6.scenario.defInput["""&amp;B74&amp;"""] = {  "&amp;E$2&amp;":"""&amp;E74&amp;""",  "&amp;C$2&amp;":"""&amp;CLEAN(SUBSTITUTE(C74,"""",""""))&amp;""",  "&amp;F$2&amp;":"""&amp;F74&amp;""",  "&amp;H$2&amp;":"""&amp;CLEAN(SUBSTITUTE(H74,"""",""""))&amp;""", "&amp;J$2&amp;":"""&amp;J74&amp;""", "&amp;L$2&amp;":"""&amp;L74&amp;""", "&amp;M$2&amp;":"""&amp;M74&amp;""", "&amp;N$2&amp;":"""&amp;N74&amp;""", "&amp;O$2&amp;":"""&amp;O74&amp;""", "&amp;P$2&amp;":"""&amp;P74&amp;""", "&amp;Q$2&amp;":"""&amp;Q74&amp;""", "&amp;R$2&amp;":"""&amp;R74&amp;""", d11t:"""&amp;CJ74&amp;""",d11p:"""&amp;CK74&amp;""",d12t:"""&amp;CL74&amp;""",d12p:"""&amp;CM74&amp;""",d13t:"""&amp;CN74&amp;""",d13p:"""&amp;CO74&amp;""",d1w:"""&amp;CP74&amp;""",d1d:"""&amp;CQ74&amp;""", d21t:"""&amp;CR74&amp;""",d21p:"""&amp;CS74&amp;""",d22t:"""&amp;CT74&amp;""",d22p:"""&amp;CU74&amp;""",d23t:"""&amp;CV74&amp;""",d23p:"""&amp;CW74&amp;""",d2w:"""&amp;CX74&amp;""",d2d:"""&amp;CY74&amp;""", d31t:"""&amp;CZ74&amp;""",d31p:"""&amp;DA74&amp;""",d32t:"""&amp;DB74&amp;""",d32p:"""&amp;DC74&amp;""",d33t:"""&amp;DD74&amp;""",d33p:"""&amp;DE74&amp;""",d3w:"""&amp;DF74&amp;""",d3d:"""&amp;DG74&amp;"""}; "</f>
        <v>D6.scenario.defInput["i216"] = {  cons:"consACcool",  title:"エアコン性能",  unit:"",  text:"エアコンを購入したときには、省エネ型を選びましたか", inputType:"sel216", right:"", postfix:"", nodata:"", varType:"Number", min:"", max:"", defaultValue:"-1", d11t:"2",d11p:"0",d12t:"1",d12p:"2",d13t:"",d13p:"",d1w:"2",d1d:"0", d21t:"2",d21p:"0",d22t:"1",d22p:"2",d23t:"",d23p:"",d2w:"2",d2d:"0", d31t:"",d31p:"",d32t:"",d32p:"",d33t:"",d33p:"",d3w:"",d3d:""}; </v>
      </c>
      <c r="DO74" s="110"/>
      <c r="DP74" s="110"/>
      <c r="DQ74" s="111" t="str">
        <f aca="false">"D6.scenario.defSelectValue["""&amp;U74&amp;"""]= [ """&amp;CLEAN(V74)&amp;""", """&amp;CLEAN(W74)&amp;IF(X74="","",""", """&amp;CLEAN(X74))&amp;IF(Y74="","",""", """&amp;CLEAN(Y74))&amp;IF(Z74="","",""", """&amp;CLEAN(Z74))&amp;IF(AA74="","",""", """&amp;CLEAN(AA74))&amp;IF(AB74="","",""", """&amp;CLEAN(AB74))&amp;IF(AC74="","",""", """&amp;CLEAN(AC74))&amp;IF(AD74="","",""", """&amp;CLEAN(AD74))&amp;IF(AE74="","",""", """&amp;CLEAN(AE74))&amp;IF(AF74="","",""", """&amp;CLEAN(AF74))&amp;IF(AG74="","",""", """&amp;CLEAN(AG74))&amp;IF(AH74="","",""", """&amp;CLEAN(AH74))&amp;IF(AI74="","",""", """&amp;CLEAN(AI74))&amp;IF(AJ74="","",""", """&amp;CLEAN(AJ74))&amp;IF(AK74="","",""", """&amp;CLEAN(AK74))&amp;""" ];"</f>
        <v>D6.scenario.defSelectValue["sel216"]= [ "選んで下さい", "はい", "いいえ", "わからない" ];</v>
      </c>
      <c r="DR74" s="112"/>
      <c r="DS74" s="112"/>
      <c r="DT74" s="112" t="str">
        <f aca="false">"D6.scenario.defSelectData['"&amp;U74&amp;"']= [ '"&amp;BC74&amp;"', '"&amp;BD74&amp;"', '"&amp;BE74&amp;IF(BF74="","","', '"&amp;BF74)&amp;IF(BG74="","","', '"&amp;BG74)&amp;IF(BH74="","","', '"&amp;BH74)&amp;IF(BI74="","","', '"&amp;BI74)&amp;IF(BJ74="","","', '"&amp;BJ74)&amp;IF(BK74="","","', '"&amp;BK74)&amp;IF(BL74="","","', '"&amp;BL74)&amp;IF(BM74="","","', '"&amp;BM74)&amp;IF(BN74="","","', '"&amp;BN74)&amp;IF(BO74="","","', '"&amp;BO74)&amp;IF(BP74="","","', '"&amp;BP74)&amp;IF(BQ74="","","', '"&amp;BQ74)&amp;IF(BR74="","","', '"&amp;BR74)&amp;"' ];"</f>
        <v>D6.scenario.defSelectData['sel216']= [ '-1', '1', '2', '3' ];</v>
      </c>
    </row>
    <row r="75" s="88" customFormat="true" ht="43.5" hidden="false" customHeight="true" outlineLevel="0" collapsed="false">
      <c r="B75" s="95" t="s">
        <v>1469</v>
      </c>
      <c r="C75" s="103" t="s">
        <v>1470</v>
      </c>
      <c r="D75" s="104" t="s">
        <v>1470</v>
      </c>
      <c r="E75" s="95" t="s">
        <v>251</v>
      </c>
      <c r="F75" s="103"/>
      <c r="G75" s="104"/>
      <c r="H75" s="103" t="s">
        <v>1471</v>
      </c>
      <c r="I75" s="104" t="s">
        <v>1471</v>
      </c>
      <c r="J75" s="103" t="str">
        <f aca="false">IF(K75="","",K75)</f>
        <v>sel217</v>
      </c>
      <c r="K75" s="104" t="str">
        <f aca="false">"sel"&amp;MID($B75,2,5)</f>
        <v>sel217</v>
      </c>
      <c r="L75" s="105"/>
      <c r="M75" s="105"/>
      <c r="N75" s="105"/>
      <c r="O75" s="95" t="s">
        <v>931</v>
      </c>
      <c r="P75" s="105"/>
      <c r="Q75" s="105"/>
      <c r="R75" s="95" t="n">
        <v>-1</v>
      </c>
      <c r="T75" s="66"/>
      <c r="U75" s="106" t="str">
        <f aca="false">J75</f>
        <v>sel217</v>
      </c>
      <c r="V75" s="103" t="s">
        <v>979</v>
      </c>
      <c r="W75" s="103" t="s">
        <v>1106</v>
      </c>
      <c r="X75" s="103" t="s">
        <v>1098</v>
      </c>
      <c r="Y75" s="103" t="s">
        <v>1062</v>
      </c>
      <c r="Z75" s="103"/>
      <c r="AA75" s="103"/>
      <c r="AB75" s="103"/>
      <c r="AC75" s="103"/>
      <c r="AD75" s="103"/>
      <c r="AE75" s="103"/>
      <c r="AF75" s="103"/>
      <c r="AG75" s="103"/>
      <c r="AH75" s="103"/>
      <c r="AI75" s="103"/>
      <c r="AJ75" s="103"/>
      <c r="AK75" s="103"/>
      <c r="AL75" s="104" t="s">
        <v>979</v>
      </c>
      <c r="AM75" s="107" t="s">
        <v>1106</v>
      </c>
      <c r="AN75" s="107" t="s">
        <v>1098</v>
      </c>
      <c r="AO75" s="107" t="s">
        <v>1062</v>
      </c>
      <c r="AP75" s="104"/>
      <c r="AQ75" s="104"/>
      <c r="AR75" s="104"/>
      <c r="AS75" s="104"/>
      <c r="AT75" s="104"/>
      <c r="AU75" s="104"/>
      <c r="AV75" s="104"/>
      <c r="AW75" s="104"/>
      <c r="AX75" s="104"/>
      <c r="AY75" s="104"/>
      <c r="AZ75" s="104"/>
      <c r="BA75" s="104"/>
      <c r="BB75" s="66"/>
      <c r="BC75" s="103" t="n">
        <v>-1</v>
      </c>
      <c r="BD75" s="103" t="n">
        <v>1</v>
      </c>
      <c r="BE75" s="103" t="n">
        <v>2</v>
      </c>
      <c r="BF75" s="103" t="n">
        <v>3</v>
      </c>
      <c r="BG75" s="103"/>
      <c r="BH75" s="103"/>
      <c r="BI75" s="103"/>
      <c r="BJ75" s="103"/>
      <c r="BK75" s="103"/>
      <c r="BL75" s="103"/>
      <c r="BM75" s="103"/>
      <c r="BN75" s="103"/>
      <c r="BO75" s="103"/>
      <c r="BP75" s="103"/>
      <c r="BQ75" s="103"/>
      <c r="BR75" s="103"/>
      <c r="BS75" s="104" t="n">
        <v>-1</v>
      </c>
      <c r="BT75" s="104" t="n">
        <v>1</v>
      </c>
      <c r="BU75" s="104" t="n">
        <v>2</v>
      </c>
      <c r="BV75" s="104" t="n">
        <v>3</v>
      </c>
      <c r="BW75" s="104"/>
      <c r="BX75" s="104"/>
      <c r="BY75" s="104"/>
      <c r="BZ75" s="104"/>
      <c r="CA75" s="104"/>
      <c r="CB75" s="104"/>
      <c r="CC75" s="104"/>
      <c r="CD75" s="104"/>
      <c r="CE75" s="104"/>
      <c r="CF75" s="104"/>
      <c r="CG75" s="104"/>
      <c r="CH75" s="104"/>
      <c r="CJ75" s="95"/>
      <c r="CK75" s="95"/>
      <c r="CL75" s="95"/>
      <c r="CM75" s="95"/>
      <c r="CN75" s="95"/>
      <c r="CO75" s="95"/>
      <c r="CP75" s="95"/>
      <c r="CQ75" s="95"/>
      <c r="CR75" s="95"/>
      <c r="CS75" s="95"/>
      <c r="CT75" s="95"/>
      <c r="CU75" s="95"/>
      <c r="CV75" s="95"/>
      <c r="CW75" s="95"/>
      <c r="CX75" s="95"/>
      <c r="CY75" s="95"/>
      <c r="CZ75" s="95" t="n">
        <v>2</v>
      </c>
      <c r="DA75" s="95" t="n">
        <v>0</v>
      </c>
      <c r="DB75" s="95" t="n">
        <v>1</v>
      </c>
      <c r="DC75" s="95" t="n">
        <v>2</v>
      </c>
      <c r="DD75" s="95"/>
      <c r="DE75" s="95"/>
      <c r="DF75" s="95" t="n">
        <v>1</v>
      </c>
      <c r="DG75" s="95" t="n">
        <v>0</v>
      </c>
      <c r="DL75" s="108"/>
      <c r="DM75" s="108"/>
      <c r="DN75" s="109" t="str">
        <f aca="false">"D6.scenario.defInput["""&amp;B75&amp;"""] = {  "&amp;E$2&amp;":"""&amp;E75&amp;""",  "&amp;C$2&amp;":"""&amp;CLEAN(SUBSTITUTE(C75,"""",""""))&amp;""",  "&amp;F$2&amp;":"""&amp;F75&amp;""",  "&amp;H$2&amp;":"""&amp;CLEAN(SUBSTITUTE(H75,"""",""""))&amp;""", "&amp;J$2&amp;":"""&amp;J75&amp;""", "&amp;L$2&amp;":"""&amp;L75&amp;""", "&amp;M$2&amp;":"""&amp;M75&amp;""", "&amp;N$2&amp;":"""&amp;N75&amp;""", "&amp;O$2&amp;":"""&amp;O75&amp;""", "&amp;P$2&amp;":"""&amp;P75&amp;""", "&amp;Q$2&amp;":"""&amp;Q75&amp;""", "&amp;R$2&amp;":"""&amp;R75&amp;""", d11t:"""&amp;CJ75&amp;""",d11p:"""&amp;CK75&amp;""",d12t:"""&amp;CL75&amp;""",d12p:"""&amp;CM75&amp;""",d13t:"""&amp;CN75&amp;""",d13p:"""&amp;CO75&amp;""",d1w:"""&amp;CP75&amp;""",d1d:"""&amp;CQ75&amp;""", d21t:"""&amp;CR75&amp;""",d21p:"""&amp;CS75&amp;""",d22t:"""&amp;CT75&amp;""",d22p:"""&amp;CU75&amp;""",d23t:"""&amp;CV75&amp;""",d23p:"""&amp;CW75&amp;""",d2w:"""&amp;CX75&amp;""",d2d:"""&amp;CY75&amp;""", d31t:"""&amp;CZ75&amp;""",d31p:"""&amp;DA75&amp;""",d32t:"""&amp;DB75&amp;""",d32p:"""&amp;DC75&amp;""",d33t:"""&amp;DD75&amp;""",d33p:"""&amp;DE75&amp;""",d3w:"""&amp;DF75&amp;""",d3d:"""&amp;DG75&amp;"""}; "</f>
        <v>D6.scenario.defInput["i217"] = {  cons:"consACcool",  title:"エアコンのフィルター掃除",  unit:"",  text:"エアコンのフィルター掃除をしていますか", inputType:"sel217", right:"", postfix:"", nodata:"", varType:"Number", min:"", max:"", defaultValue:"-1", d11t:"",d11p:"",d12t:"",d12p:"",d13t:"",d13p:"",d1w:"",d1d:"", d21t:"",d21p:"",d22t:"",d22p:"",d23t:"",d23p:"",d2w:"",d2d:"", d31t:"2",d31p:"0",d32t:"1",d32p:"2",d33t:"",d33p:"",d3w:"1",d3d:"0"}; </v>
      </c>
      <c r="DO75" s="110"/>
      <c r="DP75" s="110"/>
      <c r="DQ75" s="111" t="str">
        <f aca="false">"D6.scenario.defSelectValue["""&amp;U75&amp;"""]= [ """&amp;CLEAN(V75)&amp;""", """&amp;CLEAN(W75)&amp;IF(X75="","",""", """&amp;CLEAN(X75))&amp;IF(Y75="","",""", """&amp;CLEAN(Y75))&amp;IF(Z75="","",""", """&amp;CLEAN(Z75))&amp;IF(AA75="","",""", """&amp;CLEAN(AA75))&amp;IF(AB75="","",""", """&amp;CLEAN(AB75))&amp;IF(AC75="","",""", """&amp;CLEAN(AC75))&amp;IF(AD75="","",""", """&amp;CLEAN(AD75))&amp;IF(AE75="","",""", """&amp;CLEAN(AE75))&amp;IF(AF75="","",""", """&amp;CLEAN(AF75))&amp;IF(AG75="","",""", """&amp;CLEAN(AG75))&amp;IF(AH75="","",""", """&amp;CLEAN(AH75))&amp;IF(AI75="","",""", """&amp;CLEAN(AI75))&amp;IF(AJ75="","",""", """&amp;CLEAN(AJ75))&amp;IF(AK75="","",""", """&amp;CLEAN(AK75))&amp;""" ];"</f>
        <v>D6.scenario.defSelectValue["sel217"]= [ "選んで下さい", "している", "していない", "わからない" ];</v>
      </c>
      <c r="DR75" s="112"/>
      <c r="DS75" s="112"/>
      <c r="DT75" s="112" t="str">
        <f aca="false">"D6.scenario.defSelectData['"&amp;U75&amp;"']= [ '"&amp;BC75&amp;"', '"&amp;BD75&amp;"', '"&amp;BE75&amp;IF(BF75="","","', '"&amp;BF75)&amp;IF(BG75="","","', '"&amp;BG75)&amp;IF(BH75="","","', '"&amp;BH75)&amp;IF(BI75="","","', '"&amp;BI75)&amp;IF(BJ75="","","', '"&amp;BJ75)&amp;IF(BK75="","","', '"&amp;BK75)&amp;IF(BL75="","","', '"&amp;BL75)&amp;IF(BM75="","","', '"&amp;BM75)&amp;IF(BN75="","","', '"&amp;BN75)&amp;IF(BO75="","","', '"&amp;BO75)&amp;IF(BP75="","","', '"&amp;BP75)&amp;IF(BQ75="","","', '"&amp;BQ75)&amp;IF(BR75="","","', '"&amp;BR75)&amp;"' ];"</f>
        <v>D6.scenario.defSelectData['sel217']= [ '-1', '1', '2', '3' ];</v>
      </c>
    </row>
    <row r="76" s="88" customFormat="true" ht="43.5" hidden="false" customHeight="true" outlineLevel="0" collapsed="false">
      <c r="A76" s="66"/>
      <c r="B76" s="95" t="s">
        <v>1472</v>
      </c>
      <c r="C76" s="103" t="s">
        <v>1386</v>
      </c>
      <c r="D76" s="104" t="s">
        <v>1386</v>
      </c>
      <c r="E76" s="95" t="s">
        <v>249</v>
      </c>
      <c r="F76" s="103"/>
      <c r="G76" s="104"/>
      <c r="H76" s="103" t="s">
        <v>1387</v>
      </c>
      <c r="I76" s="104" t="s">
        <v>1387</v>
      </c>
      <c r="J76" s="103" t="str">
        <f aca="false">IF(K76="","",K76)</f>
        <v>sel231</v>
      </c>
      <c r="K76" s="104" t="str">
        <f aca="false">"sel"&amp;MID($B76,2,5)</f>
        <v>sel231</v>
      </c>
      <c r="L76" s="105"/>
      <c r="M76" s="105"/>
      <c r="N76" s="105"/>
      <c r="O76" s="95" t="s">
        <v>931</v>
      </c>
      <c r="P76" s="105"/>
      <c r="Q76" s="105"/>
      <c r="R76" s="95" t="n">
        <v>-1</v>
      </c>
      <c r="S76" s="66"/>
      <c r="T76" s="66"/>
      <c r="U76" s="106" t="str">
        <f aca="false">J76</f>
        <v>sel231</v>
      </c>
      <c r="V76" s="103" t="s">
        <v>979</v>
      </c>
      <c r="W76" s="103" t="s">
        <v>1388</v>
      </c>
      <c r="X76" s="103" t="s">
        <v>1389</v>
      </c>
      <c r="Y76" s="103" t="s">
        <v>1390</v>
      </c>
      <c r="Z76" s="103" t="s">
        <v>1391</v>
      </c>
      <c r="AA76" s="103" t="s">
        <v>766</v>
      </c>
      <c r="AB76" s="103" t="s">
        <v>1392</v>
      </c>
      <c r="AC76" s="103"/>
      <c r="AD76" s="103"/>
      <c r="AE76" s="103"/>
      <c r="AF76" s="103"/>
      <c r="AG76" s="103"/>
      <c r="AH76" s="103"/>
      <c r="AI76" s="103"/>
      <c r="AJ76" s="103"/>
      <c r="AK76" s="103"/>
      <c r="AL76" s="104" t="s">
        <v>979</v>
      </c>
      <c r="AM76" s="107" t="s">
        <v>1388</v>
      </c>
      <c r="AN76" s="107" t="s">
        <v>1389</v>
      </c>
      <c r="AO76" s="107" t="s">
        <v>1390</v>
      </c>
      <c r="AP76" s="107" t="s">
        <v>1391</v>
      </c>
      <c r="AQ76" s="104" t="s">
        <v>766</v>
      </c>
      <c r="AR76" s="107" t="s">
        <v>1392</v>
      </c>
      <c r="AS76" s="104"/>
      <c r="AT76" s="104"/>
      <c r="AU76" s="104"/>
      <c r="AV76" s="104"/>
      <c r="AW76" s="104"/>
      <c r="AX76" s="104"/>
      <c r="AY76" s="104"/>
      <c r="AZ76" s="104"/>
      <c r="BA76" s="104"/>
      <c r="BB76" s="66"/>
      <c r="BC76" s="103" t="n">
        <v>-1</v>
      </c>
      <c r="BD76" s="103" t="n">
        <v>1</v>
      </c>
      <c r="BE76" s="103" t="n">
        <v>2</v>
      </c>
      <c r="BF76" s="103" t="n">
        <v>3</v>
      </c>
      <c r="BG76" s="103" t="n">
        <v>4</v>
      </c>
      <c r="BH76" s="103" t="n">
        <v>5</v>
      </c>
      <c r="BI76" s="103" t="n">
        <v>6</v>
      </c>
      <c r="BJ76" s="103"/>
      <c r="BK76" s="103"/>
      <c r="BL76" s="103"/>
      <c r="BM76" s="103"/>
      <c r="BN76" s="103"/>
      <c r="BO76" s="103"/>
      <c r="BP76" s="103"/>
      <c r="BQ76" s="103"/>
      <c r="BR76" s="103"/>
      <c r="BS76" s="104" t="n">
        <v>-1</v>
      </c>
      <c r="BT76" s="104" t="n">
        <v>1</v>
      </c>
      <c r="BU76" s="104" t="n">
        <v>2</v>
      </c>
      <c r="BV76" s="104" t="n">
        <v>3</v>
      </c>
      <c r="BW76" s="104" t="n">
        <v>4</v>
      </c>
      <c r="BX76" s="104" t="n">
        <v>5</v>
      </c>
      <c r="BY76" s="104" t="n">
        <v>6</v>
      </c>
      <c r="BZ76" s="104"/>
      <c r="CA76" s="104"/>
      <c r="CB76" s="104"/>
      <c r="CC76" s="104"/>
      <c r="CD76" s="104"/>
      <c r="CE76" s="104"/>
      <c r="CF76" s="104"/>
      <c r="CG76" s="104"/>
      <c r="CH76" s="104"/>
      <c r="CJ76" s="95"/>
      <c r="CK76" s="95"/>
      <c r="CL76" s="95"/>
      <c r="CM76" s="95"/>
      <c r="CN76" s="95"/>
      <c r="CO76" s="95"/>
      <c r="CP76" s="95"/>
      <c r="CQ76" s="95"/>
      <c r="CR76" s="95"/>
      <c r="CS76" s="95"/>
      <c r="CT76" s="95"/>
      <c r="CU76" s="95"/>
      <c r="CV76" s="95"/>
      <c r="CW76" s="95"/>
      <c r="CX76" s="95"/>
      <c r="CY76" s="95"/>
      <c r="CZ76" s="95"/>
      <c r="DA76" s="95"/>
      <c r="DB76" s="95"/>
      <c r="DC76" s="95"/>
      <c r="DD76" s="95"/>
      <c r="DE76" s="95"/>
      <c r="DF76" s="95"/>
      <c r="DG76" s="95"/>
      <c r="DL76" s="108"/>
      <c r="DM76" s="108"/>
      <c r="DN76" s="109" t="str">
        <f aca="false">"D6.scenario.defInput["""&amp;B76&amp;"""] = {  "&amp;E$2&amp;":"""&amp;E76&amp;""",  "&amp;C$2&amp;":"""&amp;CLEAN(SUBSTITUTE(C76,"""",""""))&amp;""",  "&amp;F$2&amp;":"""&amp;F76&amp;""",  "&amp;H$2&amp;":"""&amp;CLEAN(SUBSTITUTE(H76,"""",""""))&amp;""", "&amp;J$2&amp;":"""&amp;J76&amp;""", "&amp;L$2&amp;":"""&amp;L76&amp;""", "&amp;M$2&amp;":"""&amp;M76&amp;""", "&amp;N$2&amp;":"""&amp;N76&amp;""", "&amp;O$2&amp;":"""&amp;O76&amp;""", "&amp;P$2&amp;":"""&amp;P76&amp;""", "&amp;Q$2&amp;":"""&amp;Q76&amp;""", "&amp;R$2&amp;":"""&amp;R76&amp;""", d11t:"""&amp;CJ76&amp;""",d11p:"""&amp;CK76&amp;""",d12t:"""&amp;CL76&amp;""",d12p:"""&amp;CM76&amp;""",d13t:"""&amp;CN76&amp;""",d13p:"""&amp;CO76&amp;""",d1w:"""&amp;CP76&amp;""",d1d:"""&amp;CQ76&amp;""", d21t:"""&amp;CR76&amp;""",d21p:"""&amp;CS76&amp;""",d22t:"""&amp;CT76&amp;""",d22p:"""&amp;CU76&amp;""",d23t:"""&amp;CV76&amp;""",d23p:"""&amp;CW76&amp;""",d2w:"""&amp;CX76&amp;""",d2d:"""&amp;CY76&amp;""", d31t:"""&amp;CZ76&amp;""",d31p:"""&amp;DA76&amp;""",d32t:"""&amp;DB76&amp;""",d32p:"""&amp;DC76&amp;""",d33t:"""&amp;DD76&amp;""",d33p:"""&amp;DE76&amp;""",d3w:"""&amp;DF76&amp;""",d3d:"""&amp;DG76&amp;"""}; "</f>
        <v>D6.scenario.defInput["i231"] = {  cons:"consACheat",  title:"主に使う暖房器具",  unit:"",  text:"部屋を暖めるために最もよく使う暖房器具のエネルギー源は何ですか。床暖房の場合は熱源で選んでください。", inputType:"sel231", right:"", postfix:"", nodata:"", varType:"Number", min:"", max:"", defaultValue:"-1", d11t:"",d11p:"",d12t:"",d12p:"",d13t:"",d13p:"",d1w:"",d1d:"", d21t:"",d21p:"",d22t:"",d22p:"",d23t:"",d23p:"",d2w:"",d2d:"", d31t:"",d31p:"",d32t:"",d32p:"",d33t:"",d33p:"",d3w:"",d3d:""}; </v>
      </c>
      <c r="DO76" s="110"/>
      <c r="DP76" s="110"/>
      <c r="DQ76" s="111" t="str">
        <f aca="false">"D6.scenario.defSelectValue["""&amp;U76&amp;"""]= [ """&amp;CLEAN(V76)&amp;""", """&amp;CLEAN(W76)&amp;IF(X76="","",""", """&amp;CLEAN(X76))&amp;IF(Y76="","",""", """&amp;CLEAN(Y76))&amp;IF(Z76="","",""", """&amp;CLEAN(Z76))&amp;IF(AA76="","",""", """&amp;CLEAN(AA76))&amp;IF(AB76="","",""", """&amp;CLEAN(AB76))&amp;IF(AC76="","",""", """&amp;CLEAN(AC76))&amp;IF(AD76="","",""", """&amp;CLEAN(AD76))&amp;IF(AE76="","",""", """&amp;CLEAN(AE76))&amp;IF(AF76="","",""", """&amp;CLEAN(AF76))&amp;IF(AG76="","",""", """&amp;CLEAN(AG76))&amp;IF(AH76="","",""", """&amp;CLEAN(AH76))&amp;IF(AI76="","",""", """&amp;CLEAN(AI76))&amp;IF(AJ76="","",""", """&amp;CLEAN(AJ76))&amp;IF(AK76="","",""", """&amp;CLEAN(AK76))&amp;""" ];"</f>
        <v>D6.scenario.defSelectValue["sel231"]= [ "選んで下さい", "エアコン", "電気熱暖房", "ガス", "灯油", "薪・ペレットストーブ", "こたつやホットカーペットのみ" ];</v>
      </c>
      <c r="DR76" s="112"/>
      <c r="DS76" s="112"/>
      <c r="DT76" s="112" t="str">
        <f aca="false">"D6.scenario.defSelectData['"&amp;U76&amp;"']= [ '"&amp;BC76&amp;"', '"&amp;BD76&amp;"', '"&amp;BE76&amp;IF(BF76="","","', '"&amp;BF76)&amp;IF(BG76="","","', '"&amp;BG76)&amp;IF(BH76="","","', '"&amp;BH76)&amp;IF(BI76="","","', '"&amp;BI76)&amp;IF(BJ76="","","', '"&amp;BJ76)&amp;IF(BK76="","","', '"&amp;BK76)&amp;IF(BL76="","","', '"&amp;BL76)&amp;IF(BM76="","","', '"&amp;BM76)&amp;IF(BN76="","","', '"&amp;BN76)&amp;IF(BO76="","","', '"&amp;BO76)&amp;IF(BP76="","","', '"&amp;BP76)&amp;IF(BQ76="","","', '"&amp;BQ76)&amp;IF(BR76="","","', '"&amp;BR76)&amp;"' ];"</f>
        <v>D6.scenario.defSelectData['sel231']= [ '-1', '1', '2', '3', '4', '5', '6' ];</v>
      </c>
    </row>
    <row r="77" s="88" customFormat="true" ht="43.5" hidden="false" customHeight="true" outlineLevel="0" collapsed="false">
      <c r="A77" s="66"/>
      <c r="B77" s="105" t="s">
        <v>1473</v>
      </c>
      <c r="C77" s="103" t="s">
        <v>1395</v>
      </c>
      <c r="D77" s="104" t="s">
        <v>1395</v>
      </c>
      <c r="E77" s="95" t="s">
        <v>249</v>
      </c>
      <c r="F77" s="103"/>
      <c r="G77" s="104"/>
      <c r="H77" s="103" t="s">
        <v>1396</v>
      </c>
      <c r="I77" s="104" t="s">
        <v>1395</v>
      </c>
      <c r="J77" s="103" t="str">
        <f aca="false">IF(K77="","",K77)</f>
        <v>sel232</v>
      </c>
      <c r="K77" s="104" t="str">
        <f aca="false">"sel"&amp;MID($B77,2,5)</f>
        <v>sel232</v>
      </c>
      <c r="L77" s="105"/>
      <c r="M77" s="105"/>
      <c r="N77" s="105"/>
      <c r="O77" s="95" t="s">
        <v>931</v>
      </c>
      <c r="P77" s="105"/>
      <c r="Q77" s="105"/>
      <c r="R77" s="95" t="n">
        <v>-1</v>
      </c>
      <c r="S77" s="66"/>
      <c r="T77" s="66"/>
      <c r="U77" s="106" t="str">
        <f aca="false">J77</f>
        <v>sel232</v>
      </c>
      <c r="V77" s="103" t="s">
        <v>979</v>
      </c>
      <c r="W77" s="103" t="s">
        <v>1388</v>
      </c>
      <c r="X77" s="116" t="s">
        <v>1389</v>
      </c>
      <c r="Y77" s="103" t="s">
        <v>1390</v>
      </c>
      <c r="Z77" s="103" t="s">
        <v>1391</v>
      </c>
      <c r="AA77" s="103" t="s">
        <v>766</v>
      </c>
      <c r="AB77" s="103" t="s">
        <v>1392</v>
      </c>
      <c r="AC77" s="103"/>
      <c r="AD77" s="103"/>
      <c r="AE77" s="103"/>
      <c r="AF77" s="103"/>
      <c r="AG77" s="103"/>
      <c r="AH77" s="103"/>
      <c r="AI77" s="103"/>
      <c r="AJ77" s="103"/>
      <c r="AK77" s="103"/>
      <c r="AL77" s="104" t="s">
        <v>979</v>
      </c>
      <c r="AM77" s="104" t="s">
        <v>1388</v>
      </c>
      <c r="AN77" s="117" t="s">
        <v>1389</v>
      </c>
      <c r="AO77" s="104" t="s">
        <v>1390</v>
      </c>
      <c r="AP77" s="104" t="s">
        <v>1391</v>
      </c>
      <c r="AQ77" s="104" t="s">
        <v>766</v>
      </c>
      <c r="AR77" s="107" t="s">
        <v>1392</v>
      </c>
      <c r="AS77" s="104"/>
      <c r="AT77" s="104"/>
      <c r="AU77" s="104"/>
      <c r="AV77" s="104"/>
      <c r="AW77" s="104"/>
      <c r="AX77" s="104"/>
      <c r="AY77" s="104"/>
      <c r="AZ77" s="104"/>
      <c r="BA77" s="104"/>
      <c r="BB77" s="66"/>
      <c r="BC77" s="103" t="n">
        <v>-1</v>
      </c>
      <c r="BD77" s="103" t="n">
        <v>0</v>
      </c>
      <c r="BE77" s="103" t="n">
        <v>18</v>
      </c>
      <c r="BF77" s="103" t="n">
        <v>19</v>
      </c>
      <c r="BG77" s="103" t="n">
        <v>20</v>
      </c>
      <c r="BH77" s="103" t="n">
        <v>21</v>
      </c>
      <c r="BI77" s="103" t="n">
        <v>22</v>
      </c>
      <c r="BJ77" s="103" t="n">
        <v>23</v>
      </c>
      <c r="BK77" s="103" t="n">
        <v>24</v>
      </c>
      <c r="BL77" s="103" t="n">
        <v>25</v>
      </c>
      <c r="BM77" s="103" t="n">
        <v>26</v>
      </c>
      <c r="BN77" s="103"/>
      <c r="BO77" s="103"/>
      <c r="BP77" s="103"/>
      <c r="BQ77" s="103"/>
      <c r="BR77" s="103"/>
      <c r="BS77" s="104" t="n">
        <v>-1</v>
      </c>
      <c r="BT77" s="104" t="n">
        <v>0</v>
      </c>
      <c r="BU77" s="104" t="n">
        <v>18</v>
      </c>
      <c r="BV77" s="104" t="n">
        <v>19</v>
      </c>
      <c r="BW77" s="104" t="n">
        <v>20</v>
      </c>
      <c r="BX77" s="104" t="n">
        <v>21</v>
      </c>
      <c r="BY77" s="104" t="n">
        <v>22</v>
      </c>
      <c r="BZ77" s="104" t="n">
        <v>23</v>
      </c>
      <c r="CA77" s="104" t="n">
        <v>24</v>
      </c>
      <c r="CB77" s="104" t="n">
        <v>25</v>
      </c>
      <c r="CC77" s="104" t="n">
        <v>26</v>
      </c>
      <c r="CD77" s="104"/>
      <c r="CE77" s="104"/>
      <c r="CF77" s="104"/>
      <c r="CG77" s="104"/>
      <c r="CH77" s="104"/>
      <c r="CJ77" s="95"/>
      <c r="CK77" s="95"/>
      <c r="CL77" s="95"/>
      <c r="CM77" s="95"/>
      <c r="CN77" s="95"/>
      <c r="CO77" s="95"/>
      <c r="CP77" s="95"/>
      <c r="CQ77" s="95"/>
      <c r="CR77" s="95"/>
      <c r="CS77" s="95"/>
      <c r="CT77" s="95"/>
      <c r="CU77" s="95"/>
      <c r="CV77" s="95"/>
      <c r="CW77" s="95"/>
      <c r="CX77" s="95"/>
      <c r="CY77" s="95"/>
      <c r="CZ77" s="95"/>
      <c r="DA77" s="95"/>
      <c r="DB77" s="95"/>
      <c r="DC77" s="95"/>
      <c r="DD77" s="95"/>
      <c r="DE77" s="95"/>
      <c r="DF77" s="95"/>
      <c r="DG77" s="95"/>
      <c r="DL77" s="108"/>
      <c r="DM77" s="108"/>
      <c r="DN77" s="109" t="str">
        <f aca="false">"D6.scenario.defInput["""&amp;B77&amp;"""] = {  "&amp;E$2&amp;":"""&amp;E77&amp;""",  "&amp;C$2&amp;":"""&amp;CLEAN(SUBSTITUTE(C77,"""",""""))&amp;""",  "&amp;F$2&amp;":"""&amp;F77&amp;""",  "&amp;H$2&amp;":"""&amp;CLEAN(SUBSTITUTE(H77,"""",""""))&amp;""", "&amp;J$2&amp;":"""&amp;J77&amp;""", "&amp;L$2&amp;":"""&amp;L77&amp;""", "&amp;M$2&amp;":"""&amp;M77&amp;""", "&amp;N$2&amp;":"""&amp;N77&amp;""", "&amp;O$2&amp;":"""&amp;O77&amp;""", "&amp;P$2&amp;":"""&amp;P77&amp;""", "&amp;Q$2&amp;":"""&amp;Q77&amp;""", "&amp;R$2&amp;":"""&amp;R77&amp;""", d11t:"""&amp;CJ77&amp;""",d11p:"""&amp;CK77&amp;""",d12t:"""&amp;CL77&amp;""",d12p:"""&amp;CM77&amp;""",d13t:"""&amp;CN77&amp;""",d13p:"""&amp;CO77&amp;""",d1w:"""&amp;CP77&amp;""",d1d:"""&amp;CQ77&amp;""", d21t:"""&amp;CR77&amp;""",d21p:"""&amp;CS77&amp;""",d22t:"""&amp;CT77&amp;""",d22p:"""&amp;CU77&amp;""",d23t:"""&amp;CV77&amp;""",d23p:"""&amp;CW77&amp;""",d2w:"""&amp;CX77&amp;""",d2d:"""&amp;CY77&amp;""", d31t:"""&amp;CZ77&amp;""",d31p:"""&amp;DA77&amp;""",d32t:"""&amp;DB77&amp;""",d32p:"""&amp;DC77&amp;""",d33t:"""&amp;DD77&amp;""",d33p:"""&amp;DE77&amp;""",d3w:"""&amp;DF77&amp;""",d3d:"""&amp;DG77&amp;"""}; "</f>
        <v>D6.scenario.defInput["i232"] = {  cons:"consACheat",  title:"補助的に使う暖房器具",  unit:"",  text:"補助的に使う暖房器具はありますか", inputType:"sel232", right:"", postfix:"", nodata:"", varType:"Number", min:"", max:"", defaultValue:"-1", d11t:"",d11p:"",d12t:"",d12p:"",d13t:"",d13p:"",d1w:"",d1d:"", d21t:"",d21p:"",d22t:"",d22p:"",d23t:"",d23p:"",d2w:"",d2d:"", d31t:"",d31p:"",d32t:"",d32p:"",d33t:"",d33p:"",d3w:"",d3d:""}; </v>
      </c>
      <c r="DO77" s="110"/>
      <c r="DP77" s="110"/>
      <c r="DQ77" s="111" t="str">
        <f aca="false">"D6.scenario.defSelectValue["""&amp;U77&amp;"""]= [ """&amp;CLEAN(V77)&amp;""", """&amp;CLEAN(W77)&amp;IF(X77="","",""", """&amp;CLEAN(X77))&amp;IF(Y77="","",""", """&amp;CLEAN(Y77))&amp;IF(Z77="","",""", """&amp;CLEAN(Z77))&amp;IF(AA77="","",""", """&amp;CLEAN(AA77))&amp;IF(AB77="","",""", """&amp;CLEAN(AB77))&amp;IF(AC77="","",""", """&amp;CLEAN(AC77))&amp;IF(AD77="","",""", """&amp;CLEAN(AD77))&amp;IF(AE77="","",""", """&amp;CLEAN(AE77))&amp;IF(AF77="","",""", """&amp;CLEAN(AF77))&amp;IF(AG77="","",""", """&amp;CLEAN(AG77))&amp;IF(AH77="","",""", """&amp;CLEAN(AH77))&amp;IF(AI77="","",""", """&amp;CLEAN(AI77))&amp;IF(AJ77="","",""", """&amp;CLEAN(AJ77))&amp;IF(AK77="","",""", """&amp;CLEAN(AK77))&amp;""" ];"</f>
        <v>D6.scenario.defSelectValue["sel232"]= [ "選んで下さい", "エアコン", "電気熱暖房", "ガス", "灯油", "薪・ペレットストーブ", "こたつやホットカーペットのみ" ];</v>
      </c>
      <c r="DR77" s="112"/>
      <c r="DS77" s="112"/>
      <c r="DT77" s="112" t="str">
        <f aca="false">"D6.scenario.defSelectData['"&amp;U77&amp;"']= [ '"&amp;BC77&amp;"', '"&amp;BD77&amp;"', '"&amp;BE77&amp;IF(BF77="","","', '"&amp;BF77)&amp;IF(BG77="","","', '"&amp;BG77)&amp;IF(BH77="","","', '"&amp;BH77)&amp;IF(BI77="","","', '"&amp;BI77)&amp;IF(BJ77="","","', '"&amp;BJ77)&amp;IF(BK77="","","', '"&amp;BK77)&amp;IF(BL77="","","', '"&amp;BL77)&amp;IF(BM77="","","', '"&amp;BM77)&amp;IF(BN77="","","', '"&amp;BN77)&amp;IF(BO77="","","', '"&amp;BO77)&amp;IF(BP77="","","', '"&amp;BP77)&amp;IF(BQ77="","","', '"&amp;BQ77)&amp;IF(BR77="","","', '"&amp;BR77)&amp;"' ];"</f>
        <v>D6.scenario.defSelectData['sel232']= [ '-1', '0', '18', '19', '20', '21', '22', '23', '24', '25', '26' ];</v>
      </c>
    </row>
    <row r="78" s="88" customFormat="true" ht="43.5" hidden="false" customHeight="true" outlineLevel="0" collapsed="false">
      <c r="A78" s="66"/>
      <c r="B78" s="95" t="s">
        <v>1474</v>
      </c>
      <c r="C78" s="103" t="s">
        <v>1398</v>
      </c>
      <c r="D78" s="104" t="s">
        <v>1398</v>
      </c>
      <c r="E78" s="95" t="s">
        <v>249</v>
      </c>
      <c r="F78" s="103" t="s">
        <v>1295</v>
      </c>
      <c r="G78" s="104" t="s">
        <v>1295</v>
      </c>
      <c r="H78" s="103" t="s">
        <v>1399</v>
      </c>
      <c r="I78" s="104" t="s">
        <v>1399</v>
      </c>
      <c r="J78" s="103" t="str">
        <f aca="false">IF(K78="","",K78)</f>
        <v>sel233</v>
      </c>
      <c r="K78" s="104" t="str">
        <f aca="false">"sel"&amp;MID($B78,2,5)</f>
        <v>sel233</v>
      </c>
      <c r="L78" s="105"/>
      <c r="M78" s="105"/>
      <c r="N78" s="105"/>
      <c r="O78" s="95" t="s">
        <v>931</v>
      </c>
      <c r="P78" s="105"/>
      <c r="Q78" s="105"/>
      <c r="R78" s="95" t="n">
        <v>-1</v>
      </c>
      <c r="S78" s="66"/>
      <c r="T78" s="66"/>
      <c r="U78" s="106" t="str">
        <f aca="false">J78</f>
        <v>sel233</v>
      </c>
      <c r="V78" s="103" t="s">
        <v>979</v>
      </c>
      <c r="W78" s="103" t="s">
        <v>1170</v>
      </c>
      <c r="X78" s="103" t="s">
        <v>1400</v>
      </c>
      <c r="Y78" s="103" t="s">
        <v>1401</v>
      </c>
      <c r="Z78" s="103" t="s">
        <v>1297</v>
      </c>
      <c r="AA78" s="103" t="s">
        <v>1402</v>
      </c>
      <c r="AB78" s="103" t="s">
        <v>1298</v>
      </c>
      <c r="AC78" s="103" t="s">
        <v>1403</v>
      </c>
      <c r="AD78" s="103" t="s">
        <v>1404</v>
      </c>
      <c r="AE78" s="103" t="s">
        <v>1300</v>
      </c>
      <c r="AF78" s="103" t="s">
        <v>1301</v>
      </c>
      <c r="AG78" s="103"/>
      <c r="AH78" s="103"/>
      <c r="AI78" s="103"/>
      <c r="AJ78" s="103"/>
      <c r="AK78" s="103"/>
      <c r="AL78" s="104" t="s">
        <v>979</v>
      </c>
      <c r="AM78" s="104" t="s">
        <v>1170</v>
      </c>
      <c r="AN78" s="104" t="s">
        <v>1400</v>
      </c>
      <c r="AO78" s="104" t="s">
        <v>1401</v>
      </c>
      <c r="AP78" s="104" t="s">
        <v>1297</v>
      </c>
      <c r="AQ78" s="107" t="s">
        <v>1402</v>
      </c>
      <c r="AR78" s="107" t="s">
        <v>1298</v>
      </c>
      <c r="AS78" s="107" t="s">
        <v>1403</v>
      </c>
      <c r="AT78" s="107" t="s">
        <v>1404</v>
      </c>
      <c r="AU78" s="104" t="s">
        <v>1300</v>
      </c>
      <c r="AV78" s="104" t="s">
        <v>1301</v>
      </c>
      <c r="AW78" s="104"/>
      <c r="AX78" s="104"/>
      <c r="AY78" s="104"/>
      <c r="AZ78" s="104"/>
      <c r="BA78" s="104"/>
      <c r="BB78" s="66"/>
      <c r="BC78" s="103" t="n">
        <v>-1</v>
      </c>
      <c r="BD78" s="103" t="n">
        <v>0</v>
      </c>
      <c r="BE78" s="103" t="n">
        <v>1</v>
      </c>
      <c r="BF78" s="103" t="n">
        <v>2</v>
      </c>
      <c r="BG78" s="103" t="n">
        <v>3</v>
      </c>
      <c r="BH78" s="103" t="n">
        <v>4</v>
      </c>
      <c r="BI78" s="103" t="n">
        <v>6</v>
      </c>
      <c r="BJ78" s="103" t="n">
        <v>8</v>
      </c>
      <c r="BK78" s="103" t="n">
        <v>12</v>
      </c>
      <c r="BL78" s="103" t="n">
        <v>16</v>
      </c>
      <c r="BM78" s="103" t="n">
        <v>24</v>
      </c>
      <c r="BN78" s="103"/>
      <c r="BO78" s="103"/>
      <c r="BP78" s="103"/>
      <c r="BQ78" s="103"/>
      <c r="BR78" s="103"/>
      <c r="BS78" s="104" t="n">
        <v>-1</v>
      </c>
      <c r="BT78" s="104" t="n">
        <v>0</v>
      </c>
      <c r="BU78" s="104" t="n">
        <v>1</v>
      </c>
      <c r="BV78" s="104" t="n">
        <v>2</v>
      </c>
      <c r="BW78" s="104" t="n">
        <v>3</v>
      </c>
      <c r="BX78" s="104" t="n">
        <v>4</v>
      </c>
      <c r="BY78" s="104" t="n">
        <v>6</v>
      </c>
      <c r="BZ78" s="104" t="n">
        <v>8</v>
      </c>
      <c r="CA78" s="104" t="n">
        <v>12</v>
      </c>
      <c r="CB78" s="104" t="n">
        <v>16</v>
      </c>
      <c r="CC78" s="104" t="n">
        <v>24</v>
      </c>
      <c r="CD78" s="104"/>
      <c r="CE78" s="104"/>
      <c r="CF78" s="104"/>
      <c r="CG78" s="104"/>
      <c r="CH78" s="104"/>
      <c r="CJ78" s="95"/>
      <c r="CK78" s="95"/>
      <c r="CL78" s="95"/>
      <c r="CM78" s="95"/>
      <c r="CN78" s="95"/>
      <c r="CO78" s="95"/>
      <c r="CP78" s="95"/>
      <c r="CQ78" s="95"/>
      <c r="CR78" s="95"/>
      <c r="CS78" s="95"/>
      <c r="CT78" s="95"/>
      <c r="CU78" s="95"/>
      <c r="CV78" s="95"/>
      <c r="CW78" s="95"/>
      <c r="CX78" s="95"/>
      <c r="CY78" s="95"/>
      <c r="CZ78" s="95"/>
      <c r="DA78" s="95"/>
      <c r="DB78" s="95"/>
      <c r="DC78" s="95"/>
      <c r="DD78" s="95"/>
      <c r="DE78" s="95"/>
      <c r="DF78" s="95"/>
      <c r="DG78" s="95"/>
      <c r="DL78" s="108"/>
      <c r="DM78" s="108"/>
      <c r="DN78" s="109" t="str">
        <f aca="false">"D6.scenario.defInput["""&amp;B78&amp;"""] = {  "&amp;E$2&amp;":"""&amp;E78&amp;""",  "&amp;C$2&amp;":"""&amp;CLEAN(SUBSTITUTE(C78,"""",""""))&amp;""",  "&amp;F$2&amp;":"""&amp;F78&amp;""",  "&amp;H$2&amp;":"""&amp;CLEAN(SUBSTITUTE(H78,"""",""""))&amp;""", "&amp;J$2&amp;":"""&amp;J78&amp;""", "&amp;L$2&amp;":"""&amp;L78&amp;""", "&amp;M$2&amp;":"""&amp;M78&amp;""", "&amp;N$2&amp;":"""&amp;N78&amp;""", "&amp;O$2&amp;":"""&amp;O78&amp;""", "&amp;P$2&amp;":"""&amp;P78&amp;""", "&amp;Q$2&amp;":"""&amp;Q78&amp;""", "&amp;R$2&amp;":"""&amp;R78&amp;""", d11t:"""&amp;CJ78&amp;""",d11p:"""&amp;CK78&amp;""",d12t:"""&amp;CL78&amp;""",d12p:"""&amp;CM78&amp;""",d13t:"""&amp;CN78&amp;""",d13p:"""&amp;CO78&amp;""",d1w:"""&amp;CP78&amp;""",d1d:"""&amp;CQ78&amp;""", d21t:"""&amp;CR78&amp;""",d21p:"""&amp;CS78&amp;""",d22t:"""&amp;CT78&amp;""",d22p:"""&amp;CU78&amp;""",d23t:"""&amp;CV78&amp;""",d23p:"""&amp;CW78&amp;""",d2w:"""&amp;CX78&amp;""",d2d:"""&amp;CY78&amp;""", d31t:"""&amp;CZ78&amp;""",d31p:"""&amp;DA78&amp;""",d32t:"""&amp;DB78&amp;""",d32p:"""&amp;DC78&amp;""",d33t:"""&amp;DD78&amp;""",d33p:"""&amp;DE78&amp;""",d3w:"""&amp;DF78&amp;""",d3d:"""&amp;DG78&amp;"""}; "</f>
        <v>D6.scenario.defInput["i233"] = {  cons:"consACheat",  title:"暖房時間",  unit:"時間",  text:"冬に暖房は1日に何時間くらい使いますか。", inputType:"sel233", right:"", postfix:"", nodata:"", varType:"Number", min:"", max:"", defaultValue:"-1", d11t:"",d11p:"",d12t:"",d12p:"",d13t:"",d13p:"",d1w:"",d1d:"", d21t:"",d21p:"",d22t:"",d22p:"",d23t:"",d23p:"",d2w:"",d2d:"", d31t:"",d31p:"",d32t:"",d32p:"",d33t:"",d33p:"",d3w:"",d3d:""}; </v>
      </c>
      <c r="DO78" s="110"/>
      <c r="DP78" s="110"/>
      <c r="DQ78" s="111" t="str">
        <f aca="false">"D6.scenario.defSelectValue["""&amp;U78&amp;"""]= [ """&amp;CLEAN(V78)&amp;""", """&amp;CLEAN(W78)&amp;IF(X78="","",""", """&amp;CLEAN(X78))&amp;IF(Y78="","",""", """&amp;CLEAN(Y78))&amp;IF(Z78="","",""", """&amp;CLEAN(Z78))&amp;IF(AA78="","",""", """&amp;CLEAN(AA78))&amp;IF(AB78="","",""", """&amp;CLEAN(AB78))&amp;IF(AC78="","",""", """&amp;CLEAN(AC78))&amp;IF(AD78="","",""", """&amp;CLEAN(AD78))&amp;IF(AE78="","",""", """&amp;CLEAN(AE78))&amp;IF(AF78="","",""", """&amp;CLEAN(AF78))&amp;IF(AG78="","",""", """&amp;CLEAN(AG78))&amp;IF(AH78="","",""", """&amp;CLEAN(AH78))&amp;IF(AI78="","",""", """&amp;CLEAN(AI78))&amp;IF(AJ78="","",""", """&amp;CLEAN(AJ78))&amp;IF(AK78="","",""", """&amp;CLEAN(AK78))&amp;""" ];"</f>
        <v>D6.scenario.defSelectValue["sel233"]= [ "選んで下さい", "使わない", "1時間", "2時間", "3時間", "4時間", "6時間", "8時間", "12時間", "16時間", "24時間" ];</v>
      </c>
      <c r="DR78" s="112"/>
      <c r="DS78" s="112"/>
      <c r="DT78" s="112" t="str">
        <f aca="false">"D6.scenario.defSelectData['"&amp;U78&amp;"']= [ '"&amp;BC78&amp;"', '"&amp;BD78&amp;"', '"&amp;BE78&amp;IF(BF78="","","', '"&amp;BF78)&amp;IF(BG78="","","', '"&amp;BG78)&amp;IF(BH78="","","', '"&amp;BH78)&amp;IF(BI78="","","', '"&amp;BI78)&amp;IF(BJ78="","","', '"&amp;BJ78)&amp;IF(BK78="","","', '"&amp;BK78)&amp;IF(BL78="","","', '"&amp;BL78)&amp;IF(BM78="","","', '"&amp;BM78)&amp;IF(BN78="","","', '"&amp;BN78)&amp;IF(BO78="","","', '"&amp;BO78)&amp;IF(BP78="","","', '"&amp;BP78)&amp;IF(BQ78="","","', '"&amp;BQ78)&amp;IF(BR78="","","', '"&amp;BR78)&amp;"' ];"</f>
        <v>D6.scenario.defSelectData['sel233']= [ '-1', '0', '1', '2', '3', '4', '6', '8', '12', '16', '24' ];</v>
      </c>
    </row>
    <row r="79" s="88" customFormat="true" ht="43.5" hidden="false" customHeight="true" outlineLevel="0" collapsed="false">
      <c r="A79" s="66"/>
      <c r="B79" s="105" t="s">
        <v>1475</v>
      </c>
      <c r="C79" s="103" t="s">
        <v>698</v>
      </c>
      <c r="D79" s="104" t="s">
        <v>698</v>
      </c>
      <c r="E79" s="95" t="s">
        <v>249</v>
      </c>
      <c r="F79" s="103" t="s">
        <v>1406</v>
      </c>
      <c r="G79" s="104" t="s">
        <v>1406</v>
      </c>
      <c r="H79" s="103" t="s">
        <v>1407</v>
      </c>
      <c r="I79" s="104" t="s">
        <v>1407</v>
      </c>
      <c r="J79" s="103" t="str">
        <f aca="false">IF(K79="","",K79)</f>
        <v>sel234</v>
      </c>
      <c r="K79" s="104" t="str">
        <f aca="false">"sel"&amp;MID($B79,2,5)</f>
        <v>sel234</v>
      </c>
      <c r="L79" s="105"/>
      <c r="M79" s="105"/>
      <c r="N79" s="105"/>
      <c r="O79" s="95" t="s">
        <v>931</v>
      </c>
      <c r="P79" s="105"/>
      <c r="Q79" s="105"/>
      <c r="R79" s="95" t="n">
        <v>-1</v>
      </c>
      <c r="S79" s="66"/>
      <c r="T79" s="66"/>
      <c r="U79" s="106" t="str">
        <f aca="false">J79</f>
        <v>sel234</v>
      </c>
      <c r="V79" s="103" t="s">
        <v>979</v>
      </c>
      <c r="W79" s="103" t="s">
        <v>1170</v>
      </c>
      <c r="X79" s="116" t="s">
        <v>1408</v>
      </c>
      <c r="Y79" s="103" t="s">
        <v>1409</v>
      </c>
      <c r="Z79" s="103" t="s">
        <v>1410</v>
      </c>
      <c r="AA79" s="103" t="s">
        <v>1411</v>
      </c>
      <c r="AB79" s="103" t="s">
        <v>1412</v>
      </c>
      <c r="AC79" s="103" t="s">
        <v>1413</v>
      </c>
      <c r="AD79" s="103" t="s">
        <v>1414</v>
      </c>
      <c r="AE79" s="103" t="s">
        <v>1415</v>
      </c>
      <c r="AF79" s="103" t="s">
        <v>1416</v>
      </c>
      <c r="AG79" s="103"/>
      <c r="AH79" s="103"/>
      <c r="AI79" s="103"/>
      <c r="AJ79" s="103"/>
      <c r="AK79" s="103"/>
      <c r="AL79" s="104" t="s">
        <v>979</v>
      </c>
      <c r="AM79" s="104" t="s">
        <v>1170</v>
      </c>
      <c r="AN79" s="118" t="s">
        <v>1408</v>
      </c>
      <c r="AO79" s="104" t="s">
        <v>1409</v>
      </c>
      <c r="AP79" s="107" t="s">
        <v>1410</v>
      </c>
      <c r="AQ79" s="107" t="s">
        <v>1411</v>
      </c>
      <c r="AR79" s="107" t="s">
        <v>1412</v>
      </c>
      <c r="AS79" s="107" t="s">
        <v>1413</v>
      </c>
      <c r="AT79" s="104" t="s">
        <v>1414</v>
      </c>
      <c r="AU79" s="104" t="s">
        <v>1415</v>
      </c>
      <c r="AV79" s="104" t="s">
        <v>1416</v>
      </c>
      <c r="AW79" s="104"/>
      <c r="AX79" s="104"/>
      <c r="AY79" s="104"/>
      <c r="AZ79" s="104"/>
      <c r="BA79" s="104"/>
      <c r="BB79" s="66"/>
      <c r="BC79" s="103" t="n">
        <v>-1</v>
      </c>
      <c r="BD79" s="103" t="n">
        <v>0</v>
      </c>
      <c r="BE79" s="103" t="n">
        <v>18</v>
      </c>
      <c r="BF79" s="103" t="n">
        <v>19</v>
      </c>
      <c r="BG79" s="103" t="n">
        <v>20</v>
      </c>
      <c r="BH79" s="103" t="n">
        <v>21</v>
      </c>
      <c r="BI79" s="103" t="n">
        <v>22</v>
      </c>
      <c r="BJ79" s="103" t="n">
        <v>23</v>
      </c>
      <c r="BK79" s="103" t="n">
        <v>24</v>
      </c>
      <c r="BL79" s="103" t="n">
        <v>25</v>
      </c>
      <c r="BM79" s="103" t="n">
        <v>26</v>
      </c>
      <c r="BN79" s="103"/>
      <c r="BO79" s="103"/>
      <c r="BP79" s="103"/>
      <c r="BQ79" s="103"/>
      <c r="BR79" s="103"/>
      <c r="BS79" s="104" t="n">
        <v>-1</v>
      </c>
      <c r="BT79" s="104" t="n">
        <v>0</v>
      </c>
      <c r="BU79" s="104" t="n">
        <v>18</v>
      </c>
      <c r="BV79" s="104" t="n">
        <v>19</v>
      </c>
      <c r="BW79" s="104" t="n">
        <v>20</v>
      </c>
      <c r="BX79" s="104" t="n">
        <v>21</v>
      </c>
      <c r="BY79" s="104" t="n">
        <v>22</v>
      </c>
      <c r="BZ79" s="104" t="n">
        <v>23</v>
      </c>
      <c r="CA79" s="104" t="n">
        <v>24</v>
      </c>
      <c r="CB79" s="104" t="n">
        <v>25</v>
      </c>
      <c r="CC79" s="104" t="n">
        <v>26</v>
      </c>
      <c r="CD79" s="104"/>
      <c r="CE79" s="104"/>
      <c r="CF79" s="104"/>
      <c r="CG79" s="104"/>
      <c r="CH79" s="104"/>
      <c r="CJ79" s="95"/>
      <c r="CK79" s="95"/>
      <c r="CL79" s="95"/>
      <c r="CM79" s="95"/>
      <c r="CN79" s="95"/>
      <c r="CO79" s="95"/>
      <c r="CP79" s="95"/>
      <c r="CQ79" s="95"/>
      <c r="CR79" s="95"/>
      <c r="CS79" s="95"/>
      <c r="CT79" s="95"/>
      <c r="CU79" s="95"/>
      <c r="CV79" s="95"/>
      <c r="CW79" s="95"/>
      <c r="CX79" s="95"/>
      <c r="CY79" s="95"/>
      <c r="CZ79" s="95"/>
      <c r="DA79" s="95"/>
      <c r="DB79" s="95"/>
      <c r="DC79" s="95"/>
      <c r="DD79" s="95"/>
      <c r="DE79" s="95"/>
      <c r="DF79" s="95"/>
      <c r="DG79" s="95"/>
      <c r="DL79" s="108"/>
      <c r="DM79" s="108"/>
      <c r="DN79" s="109" t="str">
        <f aca="false">"D6.scenario.defInput["""&amp;B79&amp;"""] = {  "&amp;E$2&amp;":"""&amp;E79&amp;""",  "&amp;C$2&amp;":"""&amp;CLEAN(SUBSTITUTE(C79,"""",""""))&amp;""",  "&amp;F$2&amp;":"""&amp;F79&amp;""",  "&amp;H$2&amp;":"""&amp;CLEAN(SUBSTITUTE(H79,"""",""""))&amp;""", "&amp;J$2&amp;":"""&amp;J79&amp;""", "&amp;L$2&amp;":"""&amp;L79&amp;""", "&amp;M$2&amp;":"""&amp;M79&amp;""", "&amp;N$2&amp;":"""&amp;N79&amp;""", "&amp;O$2&amp;":"""&amp;O79&amp;""", "&amp;P$2&amp;":"""&amp;P79&amp;""", "&amp;Q$2&amp;":"""&amp;Q79&amp;""", "&amp;R$2&amp;":"""&amp;R79&amp;""", d11t:"""&amp;CJ79&amp;""",d11p:"""&amp;CK79&amp;""",d12t:"""&amp;CL79&amp;""",d12p:"""&amp;CM79&amp;""",d13t:"""&amp;CN79&amp;""",d13p:"""&amp;CO79&amp;""",d1w:"""&amp;CP79&amp;""",d1d:"""&amp;CQ79&amp;""", d21t:"""&amp;CR79&amp;""",d21p:"""&amp;CS79&amp;""",d22t:"""&amp;CT79&amp;""",d22p:"""&amp;CU79&amp;""",d23t:"""&amp;CV79&amp;""",d23p:"""&amp;CW79&amp;""",d2w:"""&amp;CX79&amp;""",d2d:"""&amp;CY79&amp;""", d31t:"""&amp;CZ79&amp;""",d31p:"""&amp;DA79&amp;""",d32t:"""&amp;DB79&amp;""",d32p:"""&amp;DC79&amp;""",d33t:"""&amp;DD79&amp;""",d33p:"""&amp;DE79&amp;""",d3w:"""&amp;DF79&amp;""",d3d:"""&amp;DG79&amp;"""}; "</f>
        <v>D6.scenario.defInput["i234"] = {  cons:"consACheat",  title:"暖房設定温度",  unit:"℃",  text:"暖房をするときには何℃に設定しますか。設定できない場合はおよそ何℃になっていますか。", inputType:"sel234", right:"", postfix:"", nodata:"", varType:"Number", min:"", max:"", defaultValue:"-1", d11t:"",d11p:"",d12t:"",d12p:"",d13t:"",d13p:"",d1w:"",d1d:"", d21t:"",d21p:"",d22t:"",d22p:"",d23t:"",d23p:"",d2w:"",d2d:"", d31t:"",d31p:"",d32t:"",d32p:"",d33t:"",d33p:"",d3w:"",d3d:""}; </v>
      </c>
      <c r="DO79" s="110"/>
      <c r="DP79" s="110"/>
      <c r="DQ79" s="111" t="str">
        <f aca="false">"D6.scenario.defSelectValue["""&amp;U79&amp;"""]= [ """&amp;CLEAN(V79)&amp;""", """&amp;CLEAN(W79)&amp;IF(X79="","",""", """&amp;CLEAN(X79))&amp;IF(Y79="","",""", """&amp;CLEAN(Y79))&amp;IF(Z79="","",""", """&amp;CLEAN(Z79))&amp;IF(AA79="","",""", """&amp;CLEAN(AA79))&amp;IF(AB79="","",""", """&amp;CLEAN(AB79))&amp;IF(AC79="","",""", """&amp;CLEAN(AC79))&amp;IF(AD79="","",""", """&amp;CLEAN(AD79))&amp;IF(AE79="","",""", """&amp;CLEAN(AE79))&amp;IF(AF79="","",""", """&amp;CLEAN(AF79))&amp;IF(AG79="","",""", """&amp;CLEAN(AG79))&amp;IF(AH79="","",""", """&amp;CLEAN(AH79))&amp;IF(AI79="","",""", """&amp;CLEAN(AI79))&amp;IF(AJ79="","",""", """&amp;CLEAN(AJ79))&amp;IF(AK79="","",""", """&amp;CLEAN(AK79))&amp;""" ];"</f>
        <v>D6.scenario.defSelectValue["sel234"]= [ "選んで下さい", "使わない", "18℃", "19℃", "20℃", "21℃", "22℃", "23℃", "24℃", "25℃", "26℃以上" ];</v>
      </c>
      <c r="DR79" s="112"/>
      <c r="DS79" s="112"/>
      <c r="DT79" s="112" t="str">
        <f aca="false">"D6.scenario.defSelectData['"&amp;U79&amp;"']= [ '"&amp;BC79&amp;"', '"&amp;BD79&amp;"', '"&amp;BE79&amp;IF(BF79="","","', '"&amp;BF79)&amp;IF(BG79="","","', '"&amp;BG79)&amp;IF(BH79="","","', '"&amp;BH79)&amp;IF(BI79="","","', '"&amp;BI79)&amp;IF(BJ79="","","', '"&amp;BJ79)&amp;IF(BK79="","","', '"&amp;BK79)&amp;IF(BL79="","","', '"&amp;BL79)&amp;IF(BM79="","","', '"&amp;BM79)&amp;IF(BN79="","","', '"&amp;BN79)&amp;IF(BO79="","","', '"&amp;BO79)&amp;IF(BP79="","","', '"&amp;BP79)&amp;IF(BQ79="","","', '"&amp;BQ79)&amp;IF(BR79="","","', '"&amp;BR79)&amp;"' ];"</f>
        <v>D6.scenario.defSelectData['sel234']= [ '-1', '0', '18', '19', '20', '21', '22', '23', '24', '25', '26' ];</v>
      </c>
    </row>
    <row r="80" s="88" customFormat="true" ht="43.5" hidden="false" customHeight="true" outlineLevel="0" collapsed="false">
      <c r="A80" s="66"/>
      <c r="B80" s="95" t="s">
        <v>1476</v>
      </c>
      <c r="C80" s="103" t="s">
        <v>1418</v>
      </c>
      <c r="D80" s="104" t="s">
        <v>1418</v>
      </c>
      <c r="E80" s="95" t="s">
        <v>249</v>
      </c>
      <c r="F80" s="103" t="s">
        <v>1338</v>
      </c>
      <c r="G80" s="104" t="s">
        <v>1338</v>
      </c>
      <c r="H80" s="103" t="s">
        <v>1419</v>
      </c>
      <c r="I80" s="104" t="s">
        <v>1418</v>
      </c>
      <c r="J80" s="103" t="str">
        <f aca="false">IF(K80="","",K80)</f>
        <v>sel235</v>
      </c>
      <c r="K80" s="104" t="str">
        <f aca="false">"sel"&amp;MID($B80,2,5)</f>
        <v>sel235</v>
      </c>
      <c r="L80" s="105"/>
      <c r="M80" s="105"/>
      <c r="N80" s="105"/>
      <c r="O80" s="95" t="s">
        <v>931</v>
      </c>
      <c r="P80" s="105"/>
      <c r="Q80" s="105"/>
      <c r="R80" s="95" t="n">
        <v>-1</v>
      </c>
      <c r="S80" s="66"/>
      <c r="T80" s="66"/>
      <c r="U80" s="106" t="str">
        <f aca="false">J80</f>
        <v>sel235</v>
      </c>
      <c r="V80" s="103" t="s">
        <v>979</v>
      </c>
      <c r="W80" s="103" t="s">
        <v>1420</v>
      </c>
      <c r="X80" s="116" t="s">
        <v>1421</v>
      </c>
      <c r="Y80" s="116" t="s">
        <v>1341</v>
      </c>
      <c r="Z80" s="103" t="s">
        <v>1422</v>
      </c>
      <c r="AA80" s="103" t="s">
        <v>1342</v>
      </c>
      <c r="AB80" s="103" t="s">
        <v>1423</v>
      </c>
      <c r="AC80" s="103" t="s">
        <v>1343</v>
      </c>
      <c r="AD80" s="103" t="s">
        <v>1344</v>
      </c>
      <c r="AE80" s="103" t="s">
        <v>1345</v>
      </c>
      <c r="AF80" s="103"/>
      <c r="AG80" s="103"/>
      <c r="AH80" s="103"/>
      <c r="AI80" s="103"/>
      <c r="AJ80" s="103"/>
      <c r="AK80" s="103"/>
      <c r="AL80" s="104" t="s">
        <v>979</v>
      </c>
      <c r="AM80" s="104" t="s">
        <v>1420</v>
      </c>
      <c r="AN80" s="118" t="s">
        <v>1421</v>
      </c>
      <c r="AO80" s="118" t="s">
        <v>1341</v>
      </c>
      <c r="AP80" s="104" t="s">
        <v>1422</v>
      </c>
      <c r="AQ80" s="107" t="s">
        <v>1342</v>
      </c>
      <c r="AR80" s="107" t="s">
        <v>1423</v>
      </c>
      <c r="AS80" s="107" t="s">
        <v>1343</v>
      </c>
      <c r="AT80" s="104" t="s">
        <v>1344</v>
      </c>
      <c r="AU80" s="104" t="s">
        <v>1345</v>
      </c>
      <c r="AV80" s="104"/>
      <c r="AW80" s="104"/>
      <c r="AX80" s="104"/>
      <c r="AY80" s="104"/>
      <c r="AZ80" s="104"/>
      <c r="BA80" s="104"/>
      <c r="BB80" s="66"/>
      <c r="BC80" s="113" t="n">
        <v>-1</v>
      </c>
      <c r="BD80" s="103" t="n">
        <v>0</v>
      </c>
      <c r="BE80" s="103" t="n">
        <v>1</v>
      </c>
      <c r="BF80" s="103" t="n">
        <v>2</v>
      </c>
      <c r="BG80" s="103" t="n">
        <v>3</v>
      </c>
      <c r="BH80" s="103" t="n">
        <v>4</v>
      </c>
      <c r="BI80" s="103" t="n">
        <v>5</v>
      </c>
      <c r="BJ80" s="103" t="n">
        <v>6</v>
      </c>
      <c r="BK80" s="103" t="n">
        <v>8</v>
      </c>
      <c r="BL80" s="103" t="n">
        <v>10</v>
      </c>
      <c r="BM80" s="103"/>
      <c r="BN80" s="103"/>
      <c r="BO80" s="103"/>
      <c r="BP80" s="103"/>
      <c r="BQ80" s="103"/>
      <c r="BR80" s="103"/>
      <c r="BS80" s="114" t="n">
        <v>-1</v>
      </c>
      <c r="BT80" s="104" t="n">
        <v>0</v>
      </c>
      <c r="BU80" s="104" t="n">
        <v>1</v>
      </c>
      <c r="BV80" s="104" t="n">
        <v>2</v>
      </c>
      <c r="BW80" s="104" t="n">
        <v>3</v>
      </c>
      <c r="BX80" s="104" t="n">
        <v>4</v>
      </c>
      <c r="BY80" s="104" t="n">
        <v>5</v>
      </c>
      <c r="BZ80" s="104" t="n">
        <v>6</v>
      </c>
      <c r="CA80" s="104" t="n">
        <v>8</v>
      </c>
      <c r="CB80" s="104" t="n">
        <v>10</v>
      </c>
      <c r="CC80" s="104"/>
      <c r="CD80" s="104"/>
      <c r="CE80" s="104"/>
      <c r="CF80" s="104"/>
      <c r="CG80" s="104"/>
      <c r="CH80" s="104"/>
      <c r="CJ80" s="95"/>
      <c r="CK80" s="95"/>
      <c r="CL80" s="95"/>
      <c r="CM80" s="95"/>
      <c r="CN80" s="95"/>
      <c r="CO80" s="95"/>
      <c r="CP80" s="95"/>
      <c r="CQ80" s="95"/>
      <c r="CR80" s="95"/>
      <c r="CS80" s="95"/>
      <c r="CT80" s="95"/>
      <c r="CU80" s="95"/>
      <c r="CV80" s="95"/>
      <c r="CW80" s="95"/>
      <c r="CX80" s="95"/>
      <c r="CY80" s="95"/>
      <c r="CZ80" s="95"/>
      <c r="DA80" s="95"/>
      <c r="DB80" s="95"/>
      <c r="DC80" s="95"/>
      <c r="DD80" s="95"/>
      <c r="DE80" s="95"/>
      <c r="DF80" s="95"/>
      <c r="DG80" s="95"/>
      <c r="DL80" s="108"/>
      <c r="DM80" s="108"/>
      <c r="DN80" s="109" t="str">
        <f aca="false">"D6.scenario.defInput["""&amp;B80&amp;"""] = {  "&amp;E$2&amp;":"""&amp;E80&amp;""",  "&amp;C$2&amp;":"""&amp;CLEAN(SUBSTITUTE(C80,"""",""""))&amp;""",  "&amp;F$2&amp;":"""&amp;F80&amp;""",  "&amp;H$2&amp;":"""&amp;CLEAN(SUBSTITUTE(H80,"""",""""))&amp;""", "&amp;J$2&amp;":"""&amp;J80&amp;""", "&amp;L$2&amp;":"""&amp;L80&amp;""", "&amp;M$2&amp;":"""&amp;M80&amp;""", "&amp;N$2&amp;":"""&amp;N80&amp;""", "&amp;O$2&amp;":"""&amp;O80&amp;""", "&amp;P$2&amp;":"""&amp;P80&amp;""", "&amp;Q$2&amp;":"""&amp;Q80&amp;""", "&amp;R$2&amp;":"""&amp;R80&amp;""", d11t:"""&amp;CJ80&amp;""",d11p:"""&amp;CK80&amp;""",d12t:"""&amp;CL80&amp;""",d12p:"""&amp;CM80&amp;""",d13t:"""&amp;CN80&amp;""",d13p:"""&amp;CO80&amp;""",d1w:"""&amp;CP80&amp;""",d1d:"""&amp;CQ80&amp;""", d21t:"""&amp;CR80&amp;""",d21p:"""&amp;CS80&amp;""",d22t:"""&amp;CT80&amp;""",d22p:"""&amp;CU80&amp;""",d23t:"""&amp;CV80&amp;""",d23p:"""&amp;CW80&amp;""",d2w:"""&amp;CX80&amp;""",d2d:"""&amp;CY80&amp;""", d31t:"""&amp;CZ80&amp;""",d31p:"""&amp;DA80&amp;""",d32t:"""&amp;DB80&amp;""",d32p:"""&amp;DC80&amp;""",d33t:"""&amp;DD80&amp;""",d33p:"""&amp;DE80&amp;""",d3w:"""&amp;DF80&amp;""",d3d:"""&amp;DG80&amp;"""}; "</f>
        <v>D6.scenario.defInput["i235"] = {  cons:"consACheat",  title:"暖房する期間",  unit:"ヶ月",  text:"部屋を暖房する期間は1年で何ヶ月くらいですか", inputType:"sel235", right:"", postfix:"", nodata:"", varType:"Number", min:"", max:"", defaultValue:"-1", d11t:"",d11p:"",d12t:"",d12p:"",d13t:"",d13p:"",d1w:"",d1d:"", d21t:"",d21p:"",d22t:"",d22p:"",d23t:"",d23p:"",d2w:"",d2d:"", d31t:"",d31p:"",d32t:"",d32p:"",d33t:"",d33p:"",d3w:"",d3d:""}; </v>
      </c>
      <c r="DO80" s="110"/>
      <c r="DP80" s="110"/>
      <c r="DQ80" s="111" t="str">
        <f aca="false">"D6.scenario.defSelectValue["""&amp;U80&amp;"""]= [ """&amp;CLEAN(V80)&amp;""", """&amp;CLEAN(W80)&amp;IF(X80="","",""", """&amp;CLEAN(X80))&amp;IF(Y80="","",""", """&amp;CLEAN(Y80))&amp;IF(Z80="","",""", """&amp;CLEAN(Z80))&amp;IF(AA80="","",""", """&amp;CLEAN(AA80))&amp;IF(AB80="","",""", """&amp;CLEAN(AB80))&amp;IF(AC80="","",""", """&amp;CLEAN(AC80))&amp;IF(AD80="","",""", """&amp;CLEAN(AD80))&amp;IF(AE80="","",""", """&amp;CLEAN(AE80))&amp;IF(AF80="","",""", """&amp;CLEAN(AF80))&amp;IF(AG80="","",""", """&amp;CLEAN(AG80))&amp;IF(AH80="","",""", """&amp;CLEAN(AH80))&amp;IF(AI80="","",""", """&amp;CLEAN(AI80))&amp;IF(AJ80="","",""", """&amp;CLEAN(AJ80))&amp;IF(AK80="","",""", """&amp;CLEAN(AK80))&amp;""" ];"</f>
        <v>D6.scenario.defSelectValue["sel235"]= [ "選んで下さい", "暖房をしない", "1ヶ月", "2ヶ月", "3ヶ月", "4ヶ月", "5ヶ月", "6ヶ月", "8ヶ月", "10ヶ月" ];</v>
      </c>
      <c r="DR80" s="112"/>
      <c r="DS80" s="112"/>
      <c r="DT80" s="112" t="str">
        <f aca="false">"D6.scenario.defSelectData['"&amp;U80&amp;"']= [ '"&amp;BC80&amp;"', '"&amp;BD80&amp;"', '"&amp;BE80&amp;IF(BF80="","","', '"&amp;BF80)&amp;IF(BG80="","","', '"&amp;BG80)&amp;IF(BH80="","","', '"&amp;BH80)&amp;IF(BI80="","","', '"&amp;BI80)&amp;IF(BJ80="","","', '"&amp;BJ80)&amp;IF(BK80="","","', '"&amp;BK80)&amp;IF(BL80="","","', '"&amp;BL80)&amp;IF(BM80="","","', '"&amp;BM80)&amp;IF(BN80="","","', '"&amp;BN80)&amp;IF(BO80="","","', '"&amp;BO80)&amp;IF(BP80="","","', '"&amp;BP80)&amp;IF(BQ80="","","', '"&amp;BQ80)&amp;IF(BR80="","","', '"&amp;BR80)&amp;"' ];"</f>
        <v>D6.scenario.defSelectData['sel235']= [ '-1', '0', '1', '2', '3', '4', '5', '6', '8', '10' ];</v>
      </c>
    </row>
    <row r="81" s="88" customFormat="true" ht="43.5" hidden="false" customHeight="true" outlineLevel="0" collapsed="false">
      <c r="A81" s="66"/>
      <c r="B81" s="105" t="s">
        <v>1477</v>
      </c>
      <c r="C81" s="103" t="s">
        <v>1478</v>
      </c>
      <c r="D81" s="104" t="s">
        <v>1478</v>
      </c>
      <c r="E81" s="95" t="s">
        <v>249</v>
      </c>
      <c r="F81" s="103" t="s">
        <v>1338</v>
      </c>
      <c r="G81" s="104" t="s">
        <v>1338</v>
      </c>
      <c r="H81" s="103" t="s">
        <v>1479</v>
      </c>
      <c r="I81" s="104" t="s">
        <v>1478</v>
      </c>
      <c r="J81" s="103" t="str">
        <f aca="false">IF(K81="","",K81)</f>
        <v>sel236</v>
      </c>
      <c r="K81" s="104" t="str">
        <f aca="false">"sel"&amp;MID($B81,2,5)</f>
        <v>sel236</v>
      </c>
      <c r="L81" s="105"/>
      <c r="M81" s="105"/>
      <c r="N81" s="105"/>
      <c r="O81" s="95" t="s">
        <v>931</v>
      </c>
      <c r="P81" s="105"/>
      <c r="Q81" s="105"/>
      <c r="R81" s="95" t="n">
        <v>-1</v>
      </c>
      <c r="S81" s="66"/>
      <c r="T81" s="66"/>
      <c r="U81" s="106" t="str">
        <f aca="false">J81</f>
        <v>sel236</v>
      </c>
      <c r="V81" s="103" t="s">
        <v>979</v>
      </c>
      <c r="W81" s="103" t="s">
        <v>1480</v>
      </c>
      <c r="X81" s="116" t="s">
        <v>1421</v>
      </c>
      <c r="Y81" s="103" t="s">
        <v>1341</v>
      </c>
      <c r="Z81" s="103" t="s">
        <v>1422</v>
      </c>
      <c r="AA81" s="103" t="s">
        <v>1342</v>
      </c>
      <c r="AB81" s="103" t="s">
        <v>1423</v>
      </c>
      <c r="AC81" s="103" t="s">
        <v>1343</v>
      </c>
      <c r="AD81" s="103"/>
      <c r="AE81" s="103"/>
      <c r="AF81" s="103"/>
      <c r="AG81" s="103"/>
      <c r="AH81" s="103"/>
      <c r="AI81" s="103"/>
      <c r="AJ81" s="103"/>
      <c r="AK81" s="103"/>
      <c r="AL81" s="104" t="s">
        <v>979</v>
      </c>
      <c r="AM81" s="107" t="s">
        <v>1480</v>
      </c>
      <c r="AN81" s="118" t="s">
        <v>1421</v>
      </c>
      <c r="AO81" s="104" t="s">
        <v>1341</v>
      </c>
      <c r="AP81" s="107" t="s">
        <v>1422</v>
      </c>
      <c r="AQ81" s="107" t="s">
        <v>1342</v>
      </c>
      <c r="AR81" s="104" t="s">
        <v>1423</v>
      </c>
      <c r="AS81" s="104" t="s">
        <v>1343</v>
      </c>
      <c r="AT81" s="104"/>
      <c r="AU81" s="104"/>
      <c r="AV81" s="104"/>
      <c r="AW81" s="104"/>
      <c r="AX81" s="104"/>
      <c r="AY81" s="104"/>
      <c r="AZ81" s="104"/>
      <c r="BA81" s="104"/>
      <c r="BB81" s="66"/>
      <c r="BC81" s="113" t="n">
        <v>-1</v>
      </c>
      <c r="BD81" s="103" t="n">
        <v>0</v>
      </c>
      <c r="BE81" s="103" t="n">
        <v>1</v>
      </c>
      <c r="BF81" s="103" t="n">
        <v>2</v>
      </c>
      <c r="BG81" s="103" t="n">
        <v>3</v>
      </c>
      <c r="BH81" s="103" t="n">
        <v>4</v>
      </c>
      <c r="BI81" s="103" t="n">
        <v>5</v>
      </c>
      <c r="BJ81" s="103" t="n">
        <v>6</v>
      </c>
      <c r="BK81" s="103"/>
      <c r="BL81" s="103"/>
      <c r="BM81" s="103"/>
      <c r="BN81" s="103"/>
      <c r="BO81" s="103"/>
      <c r="BP81" s="103"/>
      <c r="BQ81" s="103"/>
      <c r="BR81" s="103"/>
      <c r="BS81" s="114" t="n">
        <v>-1</v>
      </c>
      <c r="BT81" s="104" t="n">
        <v>0</v>
      </c>
      <c r="BU81" s="104" t="n">
        <v>1</v>
      </c>
      <c r="BV81" s="104" t="n">
        <v>2</v>
      </c>
      <c r="BW81" s="104" t="n">
        <v>3</v>
      </c>
      <c r="BX81" s="104" t="n">
        <v>4</v>
      </c>
      <c r="BY81" s="104" t="n">
        <v>5</v>
      </c>
      <c r="BZ81" s="104" t="n">
        <v>6</v>
      </c>
      <c r="CA81" s="104"/>
      <c r="CB81" s="104"/>
      <c r="CC81" s="104"/>
      <c r="CD81" s="104"/>
      <c r="CE81" s="104"/>
      <c r="CF81" s="104"/>
      <c r="CG81" s="104"/>
      <c r="CH81" s="104"/>
      <c r="CJ81" s="95"/>
      <c r="CK81" s="95"/>
      <c r="CL81" s="95"/>
      <c r="CM81" s="95"/>
      <c r="CN81" s="95"/>
      <c r="CO81" s="95"/>
      <c r="CP81" s="95"/>
      <c r="CQ81" s="95"/>
      <c r="CR81" s="95"/>
      <c r="CS81" s="95"/>
      <c r="CT81" s="95"/>
      <c r="CU81" s="95"/>
      <c r="CV81" s="95"/>
      <c r="CW81" s="95"/>
      <c r="CX81" s="95"/>
      <c r="CY81" s="95"/>
      <c r="CZ81" s="95"/>
      <c r="DA81" s="95"/>
      <c r="DB81" s="95"/>
      <c r="DC81" s="95"/>
      <c r="DD81" s="95"/>
      <c r="DE81" s="95"/>
      <c r="DF81" s="95"/>
      <c r="DG81" s="95"/>
      <c r="DL81" s="108"/>
      <c r="DM81" s="108"/>
      <c r="DN81" s="109" t="str">
        <f aca="false">"D6.scenario.defInput["""&amp;B81&amp;"""] = {  "&amp;E$2&amp;":"""&amp;E81&amp;""",  "&amp;C$2&amp;":"""&amp;CLEAN(SUBSTITUTE(C81,"""",""""))&amp;""",  "&amp;F$2&amp;":"""&amp;F81&amp;""",  "&amp;H$2&amp;":"""&amp;CLEAN(SUBSTITUTE(H81,"""",""""))&amp;""", "&amp;J$2&amp;":"""&amp;J81&amp;""", "&amp;L$2&amp;":"""&amp;L81&amp;""", "&amp;M$2&amp;":"""&amp;M81&amp;""", "&amp;N$2&amp;":"""&amp;N81&amp;""", "&amp;O$2&amp;":"""&amp;O81&amp;""", "&amp;P$2&amp;":"""&amp;P81&amp;""", "&amp;Q$2&amp;":"""&amp;Q81&amp;""", "&amp;R$2&amp;":"""&amp;R81&amp;""", d11t:"""&amp;CJ81&amp;""",d11p:"""&amp;CK81&amp;""",d12t:"""&amp;CL81&amp;""",d12p:"""&amp;CM81&amp;""",d13t:"""&amp;CN81&amp;""",d13p:"""&amp;CO81&amp;""",d1w:"""&amp;CP81&amp;""",d1d:"""&amp;CQ81&amp;""", d21t:"""&amp;CR81&amp;""",d21p:"""&amp;CS81&amp;""",d22t:"""&amp;CT81&amp;""",d22p:"""&amp;CU81&amp;""",d23t:"""&amp;CV81&amp;""",d23p:"""&amp;CW81&amp;""",d2w:"""&amp;CX81&amp;""",d2d:"""&amp;CY81&amp;""", d31t:"""&amp;CZ81&amp;""",d31p:"""&amp;DA81&amp;""",d32t:"""&amp;DB81&amp;""",d32p:"""&amp;DC81&amp;""",d33t:"""&amp;DD81&amp;""",d33p:"""&amp;DE81&amp;""",d3w:"""&amp;DF81&amp;""",d3d:"""&amp;DG81&amp;"""}; "</f>
        <v>D6.scenario.defInput["i236"] = {  cons:"consACheat",  title:"加湿器の使用期間",  unit:"ヶ月",  text:"加湿器を使う期間は、1年で何ヶ月くらいですか", inputType:"sel236", right:"", postfix:"", nodata:"", varType:"Number", min:"", max:"", defaultValue:"-1", d11t:"",d11p:"",d12t:"",d12p:"",d13t:"",d13p:"",d1w:"",d1d:"", d21t:"",d21p:"",d22t:"",d22p:"",d23t:"",d23p:"",d2w:"",d2d:"", d31t:"",d31p:"",d32t:"",d32p:"",d33t:"",d33p:"",d3w:"",d3d:""}; </v>
      </c>
      <c r="DO81" s="110"/>
      <c r="DP81" s="110"/>
      <c r="DQ81" s="111" t="str">
        <f aca="false">"D6.scenario.defSelectValue["""&amp;U81&amp;"""]= [ """&amp;CLEAN(V81)&amp;""", """&amp;CLEAN(W81)&amp;IF(X81="","",""", """&amp;CLEAN(X81))&amp;IF(Y81="","",""", """&amp;CLEAN(Y81))&amp;IF(Z81="","",""", """&amp;CLEAN(Z81))&amp;IF(AA81="","",""", """&amp;CLEAN(AA81))&amp;IF(AB81="","",""", """&amp;CLEAN(AB81))&amp;IF(AC81="","",""", """&amp;CLEAN(AC81))&amp;IF(AD81="","",""", """&amp;CLEAN(AD81))&amp;IF(AE81="","",""", """&amp;CLEAN(AE81))&amp;IF(AF81="","",""", """&amp;CLEAN(AF81))&amp;IF(AG81="","",""", """&amp;CLEAN(AG81))&amp;IF(AH81="","",""", """&amp;CLEAN(AH81))&amp;IF(AI81="","",""", """&amp;CLEAN(AI81))&amp;IF(AJ81="","",""", """&amp;CLEAN(AJ81))&amp;IF(AK81="","",""", """&amp;CLEAN(AK81))&amp;""" ];"</f>
        <v>D6.scenario.defSelectValue["sel236"]= [ "選んで下さい", "加湿をしない", "1ヶ月", "2ヶ月", "3ヶ月", "4ヶ月", "5ヶ月", "6ヶ月" ];</v>
      </c>
      <c r="DR81" s="112"/>
      <c r="DS81" s="112"/>
      <c r="DT81" s="112" t="str">
        <f aca="false">"D6.scenario.defSelectData['"&amp;U81&amp;"']= [ '"&amp;BC81&amp;"', '"&amp;BD81&amp;"', '"&amp;BE81&amp;IF(BF81="","","', '"&amp;BF81)&amp;IF(BG81="","","', '"&amp;BG81)&amp;IF(BH81="","","', '"&amp;BH81)&amp;IF(BI81="","","', '"&amp;BI81)&amp;IF(BJ81="","","', '"&amp;BJ81)&amp;IF(BK81="","","', '"&amp;BK81)&amp;IF(BL81="","","', '"&amp;BL81)&amp;IF(BM81="","","', '"&amp;BM81)&amp;IF(BN81="","","', '"&amp;BN81)&amp;IF(BO81="","","', '"&amp;BO81)&amp;IF(BP81="","","', '"&amp;BP81)&amp;IF(BQ81="","","', '"&amp;BQ81)&amp;IF(BR81="","","', '"&amp;BR81)&amp;"' ];"</f>
        <v>D6.scenario.defSelectData['sel236']= [ '-1', '0', '1', '2', '3', '4', '5', '6' ];</v>
      </c>
    </row>
    <row r="82" s="88" customFormat="true" ht="43.5" hidden="false" customHeight="true" outlineLevel="0" collapsed="false">
      <c r="B82" s="95" t="s">
        <v>1481</v>
      </c>
      <c r="C82" s="103" t="s">
        <v>1482</v>
      </c>
      <c r="D82" s="104" t="s">
        <v>1482</v>
      </c>
      <c r="E82" s="95" t="s">
        <v>249</v>
      </c>
      <c r="F82" s="103"/>
      <c r="G82" s="104"/>
      <c r="H82" s="103" t="s">
        <v>1483</v>
      </c>
      <c r="I82" s="104" t="s">
        <v>1483</v>
      </c>
      <c r="J82" s="103" t="str">
        <f aca="false">IF(K82="","",K82)</f>
        <v>sel237</v>
      </c>
      <c r="K82" s="104" t="str">
        <f aca="false">"sel"&amp;MID($B82,2,5)</f>
        <v>sel237</v>
      </c>
      <c r="L82" s="105"/>
      <c r="M82" s="105"/>
      <c r="N82" s="105"/>
      <c r="O82" s="95" t="s">
        <v>931</v>
      </c>
      <c r="P82" s="105"/>
      <c r="Q82" s="105"/>
      <c r="R82" s="95" t="n">
        <v>-1</v>
      </c>
      <c r="T82" s="66"/>
      <c r="U82" s="106" t="str">
        <f aca="false">J82</f>
        <v>sel237</v>
      </c>
      <c r="V82" s="103" t="s">
        <v>979</v>
      </c>
      <c r="W82" s="103" t="s">
        <v>1106</v>
      </c>
      <c r="X82" s="103" t="s">
        <v>1098</v>
      </c>
      <c r="Y82" s="103"/>
      <c r="Z82" s="103"/>
      <c r="AA82" s="103"/>
      <c r="AB82" s="103"/>
      <c r="AC82" s="103"/>
      <c r="AD82" s="103"/>
      <c r="AE82" s="103"/>
      <c r="AF82" s="103"/>
      <c r="AG82" s="103"/>
      <c r="AH82" s="103"/>
      <c r="AI82" s="103"/>
      <c r="AJ82" s="103"/>
      <c r="AK82" s="103"/>
      <c r="AL82" s="104" t="s">
        <v>979</v>
      </c>
      <c r="AM82" s="107" t="s">
        <v>1106</v>
      </c>
      <c r="AN82" s="107" t="s">
        <v>1098</v>
      </c>
      <c r="AO82" s="104"/>
      <c r="AP82" s="104"/>
      <c r="AQ82" s="104"/>
      <c r="AR82" s="104"/>
      <c r="AS82" s="104"/>
      <c r="AT82" s="104"/>
      <c r="AU82" s="104"/>
      <c r="AV82" s="104"/>
      <c r="AW82" s="104"/>
      <c r="AX82" s="104"/>
      <c r="AY82" s="104"/>
      <c r="AZ82" s="104"/>
      <c r="BA82" s="104"/>
      <c r="BB82" s="66"/>
      <c r="BC82" s="103" t="n">
        <v>-1</v>
      </c>
      <c r="BD82" s="103" t="n">
        <v>1</v>
      </c>
      <c r="BE82" s="103" t="n">
        <v>2</v>
      </c>
      <c r="BF82" s="103"/>
      <c r="BG82" s="103"/>
      <c r="BH82" s="103"/>
      <c r="BI82" s="103"/>
      <c r="BJ82" s="103"/>
      <c r="BK82" s="103"/>
      <c r="BL82" s="103"/>
      <c r="BM82" s="103"/>
      <c r="BN82" s="103"/>
      <c r="BO82" s="103"/>
      <c r="BP82" s="103"/>
      <c r="BQ82" s="103"/>
      <c r="BR82" s="103"/>
      <c r="BS82" s="104" t="n">
        <v>-1</v>
      </c>
      <c r="BT82" s="104" t="n">
        <v>1</v>
      </c>
      <c r="BU82" s="104" t="n">
        <v>2</v>
      </c>
      <c r="BV82" s="104"/>
      <c r="BW82" s="104"/>
      <c r="BX82" s="104"/>
      <c r="BY82" s="104"/>
      <c r="BZ82" s="104"/>
      <c r="CA82" s="104"/>
      <c r="CB82" s="104"/>
      <c r="CC82" s="104"/>
      <c r="CD82" s="104"/>
      <c r="CE82" s="104"/>
      <c r="CF82" s="104"/>
      <c r="CG82" s="104"/>
      <c r="CH82" s="104"/>
      <c r="CJ82" s="95"/>
      <c r="CK82" s="95"/>
      <c r="CL82" s="95"/>
      <c r="CM82" s="95"/>
      <c r="CN82" s="95"/>
      <c r="CO82" s="95"/>
      <c r="CP82" s="95"/>
      <c r="CQ82" s="95"/>
      <c r="CR82" s="95"/>
      <c r="CS82" s="95"/>
      <c r="CT82" s="95"/>
      <c r="CU82" s="95"/>
      <c r="CV82" s="95"/>
      <c r="CW82" s="95"/>
      <c r="CX82" s="95"/>
      <c r="CY82" s="95"/>
      <c r="CZ82" s="95"/>
      <c r="DA82" s="95"/>
      <c r="DB82" s="95"/>
      <c r="DC82" s="95"/>
      <c r="DD82" s="95"/>
      <c r="DE82" s="95"/>
      <c r="DF82" s="95"/>
      <c r="DG82" s="95"/>
      <c r="DL82" s="108"/>
      <c r="DM82" s="108"/>
      <c r="DN82" s="109" t="str">
        <f aca="false">"D6.scenario.defInput["""&amp;B82&amp;"""] = {  "&amp;E$2&amp;":"""&amp;E82&amp;""",  "&amp;C$2&amp;":"""&amp;CLEAN(SUBSTITUTE(C82,"""",""""))&amp;""",  "&amp;F$2&amp;":"""&amp;F82&amp;""",  "&amp;H$2&amp;":"""&amp;CLEAN(SUBSTITUTE(H82,"""",""""))&amp;""", "&amp;J$2&amp;":"""&amp;J82&amp;""", "&amp;L$2&amp;":"""&amp;L82&amp;""", "&amp;M$2&amp;":"""&amp;M82&amp;""", "&amp;N$2&amp;":"""&amp;N82&amp;""", "&amp;O$2&amp;":"""&amp;O82&amp;""", "&amp;P$2&amp;":"""&amp;P82&amp;""", "&amp;Q$2&amp;":"""&amp;Q82&amp;""", "&amp;R$2&amp;":"""&amp;R82&amp;""", d11t:"""&amp;CJ82&amp;""",d11p:"""&amp;CK82&amp;""",d12t:"""&amp;CL82&amp;""",d12p:"""&amp;CM82&amp;""",d13t:"""&amp;CN82&amp;""",d13p:"""&amp;CO82&amp;""",d1w:"""&amp;CP82&amp;""",d1d:"""&amp;CQ82&amp;""", d21t:"""&amp;CR82&amp;""",d21p:"""&amp;CS82&amp;""",d22t:"""&amp;CT82&amp;""",d22p:"""&amp;CU82&amp;""",d23t:"""&amp;CV82&amp;""",d23p:"""&amp;CW82&amp;""",d2w:"""&amp;CX82&amp;""",d2d:"""&amp;CY82&amp;""", d31t:"""&amp;CZ82&amp;""",d31p:"""&amp;DA82&amp;""",d32t:"""&amp;DB82&amp;""",d32p:"""&amp;DC82&amp;""",d33t:"""&amp;DD82&amp;""",d33p:"""&amp;DE82&amp;""",d3w:"""&amp;DF82&amp;""",d3d:"""&amp;DG82&amp;"""}; "</f>
        <v>D6.scenario.defInput["i237"] = {  cons:"consACheat",  title:"断熱シートの設置",  unit:"",  text:"冬場の厚手のカーテン・断熱シートの設置", inputType:"sel237", right:"", postfix:"", nodata:"", varType:"Number", min:"", max:"", defaultValue:"-1", d11t:"",d11p:"",d12t:"",d12p:"",d13t:"",d13p:"",d1w:"",d1d:"", d21t:"",d21p:"",d22t:"",d22p:"",d23t:"",d23p:"",d2w:"",d2d:"", d31t:"",d31p:"",d32t:"",d32p:"",d33t:"",d33p:"",d3w:"",d3d:""}; </v>
      </c>
      <c r="DO82" s="110"/>
      <c r="DP82" s="110"/>
      <c r="DQ82" s="111" t="str">
        <f aca="false">"D6.scenario.defSelectValue["""&amp;U82&amp;"""]= [ """&amp;CLEAN(V82)&amp;""", """&amp;CLEAN(W82)&amp;IF(X82="","",""", """&amp;CLEAN(X82))&amp;IF(Y82="","",""", """&amp;CLEAN(Y82))&amp;IF(Z82="","",""", """&amp;CLEAN(Z82))&amp;IF(AA82="","",""", """&amp;CLEAN(AA82))&amp;IF(AB82="","",""", """&amp;CLEAN(AB82))&amp;IF(AC82="","",""", """&amp;CLEAN(AC82))&amp;IF(AD82="","",""", """&amp;CLEAN(AD82))&amp;IF(AE82="","",""", """&amp;CLEAN(AE82))&amp;IF(AF82="","",""", """&amp;CLEAN(AF82))&amp;IF(AG82="","",""", """&amp;CLEAN(AG82))&amp;IF(AH82="","",""", """&amp;CLEAN(AH82))&amp;IF(AI82="","",""", """&amp;CLEAN(AI82))&amp;IF(AJ82="","",""", """&amp;CLEAN(AJ82))&amp;IF(AK82="","",""", """&amp;CLEAN(AK82))&amp;""" ];"</f>
        <v>D6.scenario.defSelectValue["sel237"]= [ "選んで下さい", "している", "していない" ];</v>
      </c>
      <c r="DR82" s="112"/>
      <c r="DS82" s="112"/>
      <c r="DT82" s="112" t="str">
        <f aca="false">"D6.scenario.defSelectData['"&amp;U82&amp;"']= [ '"&amp;BC82&amp;"', '"&amp;BD82&amp;"', '"&amp;BE82&amp;IF(BF82="","","', '"&amp;BF82)&amp;IF(BG82="","","', '"&amp;BG82)&amp;IF(BH82="","","', '"&amp;BH82)&amp;IF(BI82="","","', '"&amp;BI82)&amp;IF(BJ82="","","', '"&amp;BJ82)&amp;IF(BK82="","","', '"&amp;BK82)&amp;IF(BL82="","","', '"&amp;BL82)&amp;IF(BM82="","","', '"&amp;BM82)&amp;IF(BN82="","","', '"&amp;BN82)&amp;IF(BO82="","","', '"&amp;BO82)&amp;IF(BP82="","","', '"&amp;BP82)&amp;IF(BQ82="","","', '"&amp;BQ82)&amp;IF(BR82="","","', '"&amp;BR82)&amp;"' ];"</f>
        <v>D6.scenario.defSelectData['sel237']= [ '-1', '1', '2' ];</v>
      </c>
    </row>
    <row r="83" s="88" customFormat="true" ht="43.5" hidden="false" customHeight="true" outlineLevel="0" collapsed="false">
      <c r="B83" s="105" t="s">
        <v>1484</v>
      </c>
      <c r="C83" s="103" t="s">
        <v>1485</v>
      </c>
      <c r="D83" s="104" t="s">
        <v>1485</v>
      </c>
      <c r="E83" s="95" t="s">
        <v>249</v>
      </c>
      <c r="F83" s="103"/>
      <c r="G83" s="104"/>
      <c r="H83" s="103" t="s">
        <v>1485</v>
      </c>
      <c r="I83" s="104" t="s">
        <v>1485</v>
      </c>
      <c r="J83" s="103" t="str">
        <f aca="false">IF(K83="","",K83)</f>
        <v>sel238</v>
      </c>
      <c r="K83" s="104" t="str">
        <f aca="false">"sel"&amp;MID($B83,2,5)</f>
        <v>sel238</v>
      </c>
      <c r="L83" s="105"/>
      <c r="M83" s="105"/>
      <c r="N83" s="105"/>
      <c r="O83" s="95" t="s">
        <v>931</v>
      </c>
      <c r="P83" s="105"/>
      <c r="Q83" s="105"/>
      <c r="R83" s="95" t="n">
        <v>-1</v>
      </c>
      <c r="T83" s="66"/>
      <c r="U83" s="106" t="str">
        <f aca="false">J83</f>
        <v>sel238</v>
      </c>
      <c r="V83" s="103" t="s">
        <v>979</v>
      </c>
      <c r="W83" s="103" t="s">
        <v>1486</v>
      </c>
      <c r="X83" s="103" t="s">
        <v>1487</v>
      </c>
      <c r="Y83" s="103"/>
      <c r="Z83" s="103"/>
      <c r="AA83" s="103"/>
      <c r="AB83" s="103"/>
      <c r="AC83" s="103"/>
      <c r="AD83" s="103"/>
      <c r="AE83" s="103"/>
      <c r="AF83" s="103"/>
      <c r="AG83" s="103"/>
      <c r="AH83" s="103"/>
      <c r="AI83" s="103"/>
      <c r="AJ83" s="103"/>
      <c r="AK83" s="103"/>
      <c r="AL83" s="104" t="s">
        <v>979</v>
      </c>
      <c r="AM83" s="107" t="s">
        <v>1486</v>
      </c>
      <c r="AN83" s="107" t="s">
        <v>1487</v>
      </c>
      <c r="AO83" s="104"/>
      <c r="AP83" s="104"/>
      <c r="AQ83" s="104"/>
      <c r="AR83" s="104"/>
      <c r="AS83" s="104"/>
      <c r="AT83" s="104"/>
      <c r="AU83" s="104"/>
      <c r="AV83" s="104"/>
      <c r="AW83" s="104"/>
      <c r="AX83" s="104"/>
      <c r="AY83" s="104"/>
      <c r="AZ83" s="104"/>
      <c r="BA83" s="104"/>
      <c r="BB83" s="66"/>
      <c r="BC83" s="103" t="n">
        <v>-1</v>
      </c>
      <c r="BD83" s="103" t="n">
        <v>1</v>
      </c>
      <c r="BE83" s="103" t="n">
        <v>2</v>
      </c>
      <c r="BF83" s="103"/>
      <c r="BG83" s="103"/>
      <c r="BH83" s="103"/>
      <c r="BI83" s="103"/>
      <c r="BJ83" s="103"/>
      <c r="BK83" s="103"/>
      <c r="BL83" s="103"/>
      <c r="BM83" s="103"/>
      <c r="BN83" s="103"/>
      <c r="BO83" s="103"/>
      <c r="BP83" s="103"/>
      <c r="BQ83" s="103"/>
      <c r="BR83" s="103"/>
      <c r="BS83" s="104" t="n">
        <v>-1</v>
      </c>
      <c r="BT83" s="104" t="n">
        <v>1</v>
      </c>
      <c r="BU83" s="104" t="n">
        <v>2</v>
      </c>
      <c r="BV83" s="104"/>
      <c r="BW83" s="104"/>
      <c r="BX83" s="104"/>
      <c r="BY83" s="104"/>
      <c r="BZ83" s="104"/>
      <c r="CA83" s="104"/>
      <c r="CB83" s="104"/>
      <c r="CC83" s="104"/>
      <c r="CD83" s="104"/>
      <c r="CE83" s="104"/>
      <c r="CF83" s="104"/>
      <c r="CG83" s="104"/>
      <c r="CH83" s="104"/>
      <c r="CJ83" s="95"/>
      <c r="CK83" s="95"/>
      <c r="CL83" s="95"/>
      <c r="CM83" s="95"/>
      <c r="CN83" s="95"/>
      <c r="CO83" s="95"/>
      <c r="CP83" s="95"/>
      <c r="CQ83" s="95"/>
      <c r="CR83" s="95"/>
      <c r="CS83" s="95"/>
      <c r="CT83" s="95"/>
      <c r="CU83" s="95"/>
      <c r="CV83" s="95"/>
      <c r="CW83" s="95"/>
      <c r="CX83" s="95"/>
      <c r="CY83" s="95"/>
      <c r="CZ83" s="95"/>
      <c r="DA83" s="95"/>
      <c r="DB83" s="95"/>
      <c r="DC83" s="95"/>
      <c r="DD83" s="95"/>
      <c r="DE83" s="95"/>
      <c r="DF83" s="95"/>
      <c r="DG83" s="95"/>
      <c r="DL83" s="108"/>
      <c r="DM83" s="108"/>
      <c r="DN83" s="109" t="str">
        <f aca="false">"D6.scenario.defInput["""&amp;B83&amp;"""] = {  "&amp;E$2&amp;":"""&amp;E83&amp;""",  "&amp;C$2&amp;":"""&amp;CLEAN(SUBSTITUTE(C83,"""",""""))&amp;""",  "&amp;F$2&amp;":"""&amp;F83&amp;""",  "&amp;H$2&amp;":"""&amp;CLEAN(SUBSTITUTE(H83,"""",""""))&amp;""", "&amp;J$2&amp;":"""&amp;J83&amp;""", "&amp;L$2&amp;":"""&amp;L83&amp;""", "&amp;M$2&amp;":"""&amp;M83&amp;""", "&amp;N$2&amp;":"""&amp;N83&amp;""", "&amp;O$2&amp;":"""&amp;O83&amp;""", "&amp;P$2&amp;":"""&amp;P83&amp;""", "&amp;Q$2&amp;":"""&amp;Q83&amp;""", "&amp;R$2&amp;":"""&amp;R83&amp;""", d11t:"""&amp;CJ83&amp;""",d11p:"""&amp;CK83&amp;""",d12t:"""&amp;CL83&amp;""",d12p:"""&amp;CM83&amp;""",d13t:"""&amp;CN83&amp;""",d13p:"""&amp;CO83&amp;""",d1w:"""&amp;CP83&amp;""",d1d:"""&amp;CQ83&amp;""", d21t:"""&amp;CR83&amp;""",d21p:"""&amp;CS83&amp;""",d22t:"""&amp;CT83&amp;""",d22p:"""&amp;CU83&amp;""",d23t:"""&amp;CV83&amp;""",d23p:"""&amp;CW83&amp;""",d2w:"""&amp;CX83&amp;""",d2d:"""&amp;CY83&amp;""", d31t:"""&amp;CZ83&amp;""",d31p:"""&amp;DA83&amp;""",d32t:"""&amp;DB83&amp;""",d32p:"""&amp;DC83&amp;""",d33t:"""&amp;DD83&amp;""",d33p:"""&amp;DE83&amp;""",d3w:"""&amp;DF83&amp;""",d3d:"""&amp;DG83&amp;"""}; "</f>
        <v>D6.scenario.defInput["i238"] = {  cons:"consACheat",  title:"部屋を戸で締め切れますか",  unit:"",  text:"部屋を戸で締め切れますか", inputType:"sel238", right:"", postfix:"", nodata:"", varType:"Number", min:"", max:"", defaultValue:"-1", d11t:"",d11p:"",d12t:"",d12p:"",d13t:"",d13p:"",d1w:"",d1d:"", d21t:"",d21p:"",d22t:"",d22p:"",d23t:"",d23p:"",d2w:"",d2d:"", d31t:"",d31p:"",d32t:"",d32p:"",d33t:"",d33p:"",d3w:"",d3d:""}; </v>
      </c>
      <c r="DO83" s="110"/>
      <c r="DP83" s="110"/>
      <c r="DQ83" s="111" t="str">
        <f aca="false">"D6.scenario.defSelectValue["""&amp;U83&amp;"""]= [ """&amp;CLEAN(V83)&amp;""", """&amp;CLEAN(W83)&amp;IF(X83="","",""", """&amp;CLEAN(X83))&amp;IF(Y83="","",""", """&amp;CLEAN(Y83))&amp;IF(Z83="","",""", """&amp;CLEAN(Z83))&amp;IF(AA83="","",""", """&amp;CLEAN(AA83))&amp;IF(AB83="","",""", """&amp;CLEAN(AB83))&amp;IF(AC83="","",""", """&amp;CLEAN(AC83))&amp;IF(AD83="","",""", """&amp;CLEAN(AD83))&amp;IF(AE83="","",""", """&amp;CLEAN(AE83))&amp;IF(AF83="","",""", """&amp;CLEAN(AF83))&amp;IF(AG83="","",""", """&amp;CLEAN(AG83))&amp;IF(AH83="","",""", """&amp;CLEAN(AH83))&amp;IF(AI83="","",""", """&amp;CLEAN(AI83))&amp;IF(AJ83="","",""", """&amp;CLEAN(AJ83))&amp;IF(AK83="","",""", """&amp;CLEAN(AK83))&amp;""" ];"</f>
        <v>D6.scenario.defSelectValue["sel238"]= [ "選んで下さい", "できる", "できない" ];</v>
      </c>
      <c r="DR83" s="112"/>
      <c r="DS83" s="112"/>
      <c r="DT83" s="112" t="str">
        <f aca="false">"D6.scenario.defSelectData['"&amp;U83&amp;"']= [ '"&amp;BC83&amp;"', '"&amp;BD83&amp;"', '"&amp;BE83&amp;IF(BF83="","","', '"&amp;BF83)&amp;IF(BG83="","","', '"&amp;BG83)&amp;IF(BH83="","","', '"&amp;BH83)&amp;IF(BI83="","","', '"&amp;BI83)&amp;IF(BJ83="","","', '"&amp;BJ83)&amp;IF(BK83="","","', '"&amp;BK83)&amp;IF(BL83="","","', '"&amp;BL83)&amp;IF(BM83="","","', '"&amp;BM83)&amp;IF(BN83="","","', '"&amp;BN83)&amp;IF(BO83="","","', '"&amp;BO83)&amp;IF(BP83="","","', '"&amp;BP83)&amp;IF(BQ83="","","', '"&amp;BQ83)&amp;IF(BR83="","","', '"&amp;BR83)&amp;"' ];"</f>
        <v>D6.scenario.defSelectData['sel238']= [ '-1', '1', '2' ];</v>
      </c>
    </row>
    <row r="84" s="88" customFormat="true" ht="43.5" hidden="false" customHeight="true" outlineLevel="0" collapsed="false">
      <c r="B84" s="95" t="s">
        <v>1488</v>
      </c>
      <c r="C84" s="103" t="s">
        <v>1489</v>
      </c>
      <c r="D84" s="104" t="s">
        <v>1489</v>
      </c>
      <c r="E84" s="95" t="s">
        <v>249</v>
      </c>
      <c r="F84" s="103"/>
      <c r="G84" s="104"/>
      <c r="H84" s="103" t="s">
        <v>1490</v>
      </c>
      <c r="I84" s="104" t="s">
        <v>1490</v>
      </c>
      <c r="J84" s="103" t="str">
        <f aca="false">IF(K84="","",K84)</f>
        <v>sel239</v>
      </c>
      <c r="K84" s="104" t="str">
        <f aca="false">"sel"&amp;MID($B84,2,5)</f>
        <v>sel239</v>
      </c>
      <c r="L84" s="105"/>
      <c r="M84" s="105"/>
      <c r="N84" s="105"/>
      <c r="O84" s="95" t="s">
        <v>931</v>
      </c>
      <c r="P84" s="105"/>
      <c r="Q84" s="105"/>
      <c r="R84" s="95" t="n">
        <v>-1</v>
      </c>
      <c r="T84" s="66"/>
      <c r="U84" s="106" t="str">
        <f aca="false">J84</f>
        <v>sel239</v>
      </c>
      <c r="V84" s="103" t="s">
        <v>979</v>
      </c>
      <c r="W84" s="103" t="s">
        <v>1491</v>
      </c>
      <c r="X84" s="103" t="s">
        <v>1492</v>
      </c>
      <c r="Y84" s="103"/>
      <c r="Z84" s="103"/>
      <c r="AA84" s="103"/>
      <c r="AB84" s="103"/>
      <c r="AC84" s="103"/>
      <c r="AD84" s="103"/>
      <c r="AE84" s="103"/>
      <c r="AF84" s="103"/>
      <c r="AG84" s="103"/>
      <c r="AH84" s="103"/>
      <c r="AI84" s="103"/>
      <c r="AJ84" s="103"/>
      <c r="AK84" s="103"/>
      <c r="AL84" s="104" t="s">
        <v>979</v>
      </c>
      <c r="AM84" s="107" t="s">
        <v>1491</v>
      </c>
      <c r="AN84" s="107" t="s">
        <v>1492</v>
      </c>
      <c r="AO84" s="104"/>
      <c r="AP84" s="104"/>
      <c r="AQ84" s="104"/>
      <c r="AR84" s="104"/>
      <c r="AS84" s="104"/>
      <c r="AT84" s="104"/>
      <c r="AU84" s="104"/>
      <c r="AV84" s="104"/>
      <c r="AW84" s="104"/>
      <c r="AX84" s="104"/>
      <c r="AY84" s="104"/>
      <c r="AZ84" s="104"/>
      <c r="BA84" s="104"/>
      <c r="BB84" s="66"/>
      <c r="BC84" s="103" t="n">
        <v>-1</v>
      </c>
      <c r="BD84" s="103" t="n">
        <v>1</v>
      </c>
      <c r="BE84" s="103" t="n">
        <v>2</v>
      </c>
      <c r="BF84" s="103"/>
      <c r="BG84" s="103"/>
      <c r="BH84" s="103"/>
      <c r="BI84" s="103"/>
      <c r="BJ84" s="103"/>
      <c r="BK84" s="103"/>
      <c r="BL84" s="103"/>
      <c r="BM84" s="103"/>
      <c r="BN84" s="103"/>
      <c r="BO84" s="103"/>
      <c r="BP84" s="103"/>
      <c r="BQ84" s="103"/>
      <c r="BR84" s="103"/>
      <c r="BS84" s="104" t="n">
        <v>-1</v>
      </c>
      <c r="BT84" s="104" t="n">
        <v>1</v>
      </c>
      <c r="BU84" s="104" t="n">
        <v>2</v>
      </c>
      <c r="BV84" s="104"/>
      <c r="BW84" s="104"/>
      <c r="BX84" s="104"/>
      <c r="BY84" s="104"/>
      <c r="BZ84" s="104"/>
      <c r="CA84" s="104"/>
      <c r="CB84" s="104"/>
      <c r="CC84" s="104"/>
      <c r="CD84" s="104"/>
      <c r="CE84" s="104"/>
      <c r="CF84" s="104"/>
      <c r="CG84" s="104"/>
      <c r="CH84" s="104"/>
      <c r="CJ84" s="95"/>
      <c r="CK84" s="95"/>
      <c r="CL84" s="95"/>
      <c r="CM84" s="95"/>
      <c r="CN84" s="95"/>
      <c r="CO84" s="95"/>
      <c r="CP84" s="95"/>
      <c r="CQ84" s="95"/>
      <c r="CR84" s="95"/>
      <c r="CS84" s="95"/>
      <c r="CT84" s="95"/>
      <c r="CU84" s="95"/>
      <c r="CV84" s="95"/>
      <c r="CW84" s="95"/>
      <c r="CX84" s="95"/>
      <c r="CY84" s="95"/>
      <c r="CZ84" s="95"/>
      <c r="DA84" s="95"/>
      <c r="DB84" s="95"/>
      <c r="DC84" s="95"/>
      <c r="DD84" s="95"/>
      <c r="DE84" s="95"/>
      <c r="DF84" s="95"/>
      <c r="DG84" s="95"/>
      <c r="DL84" s="108"/>
      <c r="DM84" s="108"/>
      <c r="DN84" s="109" t="str">
        <f aca="false">"D6.scenario.defInput["""&amp;B84&amp;"""] = {  "&amp;E$2&amp;":"""&amp;E84&amp;""",  "&amp;C$2&amp;":"""&amp;CLEAN(SUBSTITUTE(C84,"""",""""))&amp;""",  "&amp;F$2&amp;":"""&amp;F84&amp;""",  "&amp;H$2&amp;":"""&amp;CLEAN(SUBSTITUTE(H84,"""",""""))&amp;""", "&amp;J$2&amp;":"""&amp;J84&amp;""", "&amp;L$2&amp;":"""&amp;L84&amp;""", "&amp;M$2&amp;":"""&amp;M84&amp;""", "&amp;N$2&amp;":"""&amp;N84&amp;""", "&amp;O$2&amp;":"""&amp;O84&amp;""", "&amp;P$2&amp;":"""&amp;P84&amp;""", "&amp;Q$2&amp;":"""&amp;Q84&amp;""", "&amp;R$2&amp;":"""&amp;R84&amp;""", d11t:"""&amp;CJ84&amp;""",d11p:"""&amp;CK84&amp;""",d12t:"""&amp;CL84&amp;""",d12p:"""&amp;CM84&amp;""",d13t:"""&amp;CN84&amp;""",d13p:"""&amp;CO84&amp;""",d1w:"""&amp;CP84&amp;""",d1d:"""&amp;CQ84&amp;""", d21t:"""&amp;CR84&amp;""",d21p:"""&amp;CS84&amp;""",d22t:"""&amp;CT84&amp;""",d22p:"""&amp;CU84&amp;""",d23t:"""&amp;CV84&amp;""",d23p:"""&amp;CW84&amp;""",d2w:"""&amp;CX84&amp;""",d2d:"""&amp;CY84&amp;""", d31t:"""&amp;CZ84&amp;""",d31p:"""&amp;DA84&amp;""",d32t:"""&amp;DB84&amp;""",d32p:"""&amp;DC84&amp;""",d33t:"""&amp;DD84&amp;""",d33p:"""&amp;DE84&amp;""",d3w:"""&amp;DF84&amp;""",d3d:"""&amp;DG84&amp;"""}; "</f>
        <v>D6.scenario.defInput["i239"] = {  cons:"consACheat",  title:"吹き抜け",  unit:"",  text:"吹き抜けもしくは、部屋から階段で上階に上がれますか", inputType:"sel239", right:"", postfix:"", nodata:"", varType:"Number", min:"", max:"", defaultValue:"-1", d11t:"",d11p:"",d12t:"",d12p:"",d13t:"",d13p:"",d1w:"",d1d:"", d21t:"",d21p:"",d22t:"",d22p:"",d23t:"",d23p:"",d2w:"",d2d:"", d31t:"",d31p:"",d32t:"",d32p:"",d33t:"",d33p:"",d3w:"",d3d:""}; </v>
      </c>
      <c r="DO84" s="110"/>
      <c r="DP84" s="110"/>
      <c r="DQ84" s="111" t="str">
        <f aca="false">"D6.scenario.defSelectValue["""&amp;U84&amp;"""]= [ """&amp;CLEAN(V84)&amp;""", """&amp;CLEAN(W84)&amp;IF(X84="","",""", """&amp;CLEAN(X84))&amp;IF(Y84="","",""", """&amp;CLEAN(Y84))&amp;IF(Z84="","",""", """&amp;CLEAN(Z84))&amp;IF(AA84="","",""", """&amp;CLEAN(AA84))&amp;IF(AB84="","",""", """&amp;CLEAN(AB84))&amp;IF(AC84="","",""", """&amp;CLEAN(AC84))&amp;IF(AD84="","",""", """&amp;CLEAN(AD84))&amp;IF(AE84="","",""", """&amp;CLEAN(AE84))&amp;IF(AF84="","",""", """&amp;CLEAN(AF84))&amp;IF(AG84="","",""", """&amp;CLEAN(AG84))&amp;IF(AH84="","",""", """&amp;CLEAN(AH84))&amp;IF(AI84="","",""", """&amp;CLEAN(AI84))&amp;IF(AJ84="","",""", """&amp;CLEAN(AJ84))&amp;IF(AK84="","",""", """&amp;CLEAN(AK84))&amp;""" ];"</f>
        <v>D6.scenario.defSelectValue["sel239"]= [ "選んで下さい", "ある", "ない" ];</v>
      </c>
      <c r="DR84" s="112"/>
      <c r="DS84" s="112"/>
      <c r="DT84" s="112" t="str">
        <f aca="false">"D6.scenario.defSelectData['"&amp;U84&amp;"']= [ '"&amp;BC84&amp;"', '"&amp;BD84&amp;"', '"&amp;BE84&amp;IF(BF84="","","', '"&amp;BF84)&amp;IF(BG84="","","', '"&amp;BG84)&amp;IF(BH84="","","', '"&amp;BH84)&amp;IF(BI84="","","', '"&amp;BI84)&amp;IF(BJ84="","","', '"&amp;BJ84)&amp;IF(BK84="","","', '"&amp;BK84)&amp;IF(BL84="","","', '"&amp;BL84)&amp;IF(BM84="","","', '"&amp;BM84)&amp;IF(BN84="","","', '"&amp;BN84)&amp;IF(BO84="","","', '"&amp;BO84)&amp;IF(BP84="","","', '"&amp;BP84)&amp;IF(BQ84="","","', '"&amp;BQ84)&amp;IF(BR84="","","', '"&amp;BR84)&amp;"' ];"</f>
        <v>D6.scenario.defSelectData['sel239']= [ '-1', '1', '2' ];</v>
      </c>
    </row>
    <row r="85" s="88" customFormat="true" ht="43.5" hidden="false" customHeight="true" outlineLevel="0" collapsed="false">
      <c r="B85" s="105" t="s">
        <v>1493</v>
      </c>
      <c r="C85" s="103" t="s">
        <v>1494</v>
      </c>
      <c r="D85" s="104" t="s">
        <v>1494</v>
      </c>
      <c r="E85" s="95" t="s">
        <v>249</v>
      </c>
      <c r="F85" s="103"/>
      <c r="G85" s="104"/>
      <c r="H85" s="103" t="s">
        <v>1494</v>
      </c>
      <c r="I85" s="104" t="s">
        <v>1494</v>
      </c>
      <c r="J85" s="103" t="str">
        <f aca="false">IF(K85="","",K85)</f>
        <v>sel240</v>
      </c>
      <c r="K85" s="104" t="str">
        <f aca="false">"sel"&amp;MID($B85,2,5)</f>
        <v>sel240</v>
      </c>
      <c r="L85" s="105"/>
      <c r="M85" s="105"/>
      <c r="N85" s="105"/>
      <c r="O85" s="95" t="s">
        <v>931</v>
      </c>
      <c r="P85" s="105"/>
      <c r="Q85" s="105"/>
      <c r="R85" s="95" t="n">
        <v>-1</v>
      </c>
      <c r="T85" s="66"/>
      <c r="U85" s="106" t="str">
        <f aca="false">J85</f>
        <v>sel240</v>
      </c>
      <c r="V85" s="103" t="s">
        <v>979</v>
      </c>
      <c r="W85" s="103" t="s">
        <v>1487</v>
      </c>
      <c r="X85" s="103" t="s">
        <v>1495</v>
      </c>
      <c r="Y85" s="103" t="s">
        <v>1496</v>
      </c>
      <c r="Z85" s="103" t="s">
        <v>1497</v>
      </c>
      <c r="AA85" s="103" t="s">
        <v>1498</v>
      </c>
      <c r="AB85" s="103"/>
      <c r="AC85" s="103"/>
      <c r="AD85" s="103"/>
      <c r="AE85" s="103"/>
      <c r="AF85" s="103"/>
      <c r="AG85" s="103"/>
      <c r="AH85" s="103"/>
      <c r="AI85" s="103"/>
      <c r="AJ85" s="103"/>
      <c r="AK85" s="103"/>
      <c r="AL85" s="104" t="s">
        <v>979</v>
      </c>
      <c r="AM85" s="107" t="s">
        <v>1487</v>
      </c>
      <c r="AN85" s="104" t="s">
        <v>1495</v>
      </c>
      <c r="AO85" s="104" t="s">
        <v>1496</v>
      </c>
      <c r="AP85" s="104" t="s">
        <v>1497</v>
      </c>
      <c r="AQ85" s="104" t="s">
        <v>1498</v>
      </c>
      <c r="AR85" s="104"/>
      <c r="AS85" s="104"/>
      <c r="AT85" s="104"/>
      <c r="AU85" s="104"/>
      <c r="AV85" s="104"/>
      <c r="AW85" s="104"/>
      <c r="AX85" s="104"/>
      <c r="AY85" s="104"/>
      <c r="AZ85" s="104"/>
      <c r="BA85" s="104"/>
      <c r="BB85" s="66"/>
      <c r="BC85" s="103" t="n">
        <v>-1</v>
      </c>
      <c r="BD85" s="103" t="n">
        <v>0</v>
      </c>
      <c r="BE85" s="103" t="n">
        <v>2</v>
      </c>
      <c r="BF85" s="103" t="n">
        <v>3</v>
      </c>
      <c r="BG85" s="103" t="n">
        <v>5</v>
      </c>
      <c r="BH85" s="103" t="n">
        <v>7</v>
      </c>
      <c r="BI85" s="103"/>
      <c r="BJ85" s="103"/>
      <c r="BK85" s="103"/>
      <c r="BL85" s="103"/>
      <c r="BM85" s="103"/>
      <c r="BN85" s="103"/>
      <c r="BO85" s="103"/>
      <c r="BP85" s="103"/>
      <c r="BQ85" s="103"/>
      <c r="BR85" s="103"/>
      <c r="BS85" s="104" t="n">
        <v>-1</v>
      </c>
      <c r="BT85" s="104" t="n">
        <v>0</v>
      </c>
      <c r="BU85" s="104" t="n">
        <v>2</v>
      </c>
      <c r="BV85" s="104" t="n">
        <v>3</v>
      </c>
      <c r="BW85" s="104" t="n">
        <v>5</v>
      </c>
      <c r="BX85" s="104" t="n">
        <v>7</v>
      </c>
      <c r="BY85" s="104"/>
      <c r="BZ85" s="104"/>
      <c r="CA85" s="104"/>
      <c r="CB85" s="104"/>
      <c r="CC85" s="104"/>
      <c r="CD85" s="104"/>
      <c r="CE85" s="104"/>
      <c r="CF85" s="104"/>
      <c r="CG85" s="104"/>
      <c r="CH85" s="104"/>
      <c r="CJ85" s="95"/>
      <c r="CK85" s="95"/>
      <c r="CL85" s="95"/>
      <c r="CM85" s="95"/>
      <c r="CN85" s="95"/>
      <c r="CO85" s="95"/>
      <c r="CP85" s="95"/>
      <c r="CQ85" s="95"/>
      <c r="CR85" s="95"/>
      <c r="CS85" s="95"/>
      <c r="CT85" s="95"/>
      <c r="CU85" s="95"/>
      <c r="CV85" s="95"/>
      <c r="CW85" s="95"/>
      <c r="CX85" s="95"/>
      <c r="CY85" s="95"/>
      <c r="CZ85" s="95"/>
      <c r="DA85" s="95"/>
      <c r="DB85" s="95"/>
      <c r="DC85" s="95"/>
      <c r="DD85" s="95"/>
      <c r="DE85" s="95"/>
      <c r="DF85" s="95"/>
      <c r="DG85" s="95"/>
      <c r="DL85" s="108"/>
      <c r="DM85" s="108"/>
      <c r="DN85" s="109" t="str">
        <f aca="false">"D6.scenario.defInput["""&amp;B85&amp;"""] = {  "&amp;E$2&amp;":"""&amp;E85&amp;""",  "&amp;C$2&amp;":"""&amp;CLEAN(SUBSTITUTE(C85,"""",""""))&amp;""",  "&amp;F$2&amp;":"""&amp;F85&amp;""",  "&amp;H$2&amp;":"""&amp;CLEAN(SUBSTITUTE(H85,"""",""""))&amp;""", "&amp;J$2&amp;":"""&amp;J85&amp;""", "&amp;L$2&amp;":"""&amp;L85&amp;""", "&amp;M$2&amp;":"""&amp;M85&amp;""", "&amp;N$2&amp;":"""&amp;N85&amp;""", "&amp;O$2&amp;":"""&amp;O85&amp;""", "&amp;P$2&amp;":"""&amp;P85&amp;""", "&amp;Q$2&amp;":"""&amp;Q85&amp;""", "&amp;R$2&amp;":"""&amp;R85&amp;""", d11t:"""&amp;CJ85&amp;""",d11p:"""&amp;CK85&amp;""",d12t:"""&amp;CL85&amp;""",d12p:"""&amp;CM85&amp;""",d13t:"""&amp;CN85&amp;""",d13p:"""&amp;CO85&amp;""",d1w:"""&amp;CP85&amp;""",d1d:"""&amp;CQ85&amp;""", d21t:"""&amp;CR85&amp;""",d21p:"""&amp;CS85&amp;""",d22t:"""&amp;CT85&amp;""",d22p:"""&amp;CU85&amp;""",d23t:"""&amp;CV85&amp;""",d23p:"""&amp;CW85&amp;""",d2w:"""&amp;CX85&amp;""",d2d:"""&amp;CY85&amp;""", d31t:"""&amp;CZ85&amp;""",d31p:"""&amp;DA85&amp;""",d32t:"""&amp;DB85&amp;""",d32p:"""&amp;DC85&amp;""",d33t:"""&amp;DD85&amp;""",d33p:"""&amp;DE85&amp;""",d3w:"""&amp;DF85&amp;""",d3d:"""&amp;DG85&amp;"""}; "</f>
        <v>D6.scenario.defInput["i240"] = {  cons:"consACheat",  title:"部屋のしきりによる暖房面積の削減",  unit:"",  text:"部屋のしきりによる暖房面積の削減", inputType:"sel240", right:"", postfix:"", nodata:"", varType:"Number", min:"", max:"", defaultValue:"-1", d11t:"",d11p:"",d12t:"",d12p:"",d13t:"",d13p:"",d1w:"",d1d:"", d21t:"",d21p:"",d22t:"",d22p:"",d23t:"",d23p:"",d2w:"",d2d:"", d31t:"",d31p:"",d32t:"",d32p:"",d33t:"",d33p:"",d3w:"",d3d:""}; </v>
      </c>
      <c r="DO85" s="110"/>
      <c r="DP85" s="110"/>
      <c r="DQ85" s="111" t="str">
        <f aca="false">"D6.scenario.defSelectValue["""&amp;U85&amp;"""]= [ """&amp;CLEAN(V85)&amp;""", """&amp;CLEAN(W85)&amp;IF(X85="","",""", """&amp;CLEAN(X85))&amp;IF(Y85="","",""", """&amp;CLEAN(Y85))&amp;IF(Z85="","",""", """&amp;CLEAN(Z85))&amp;IF(AA85="","",""", """&amp;CLEAN(AA85))&amp;IF(AB85="","",""", """&amp;CLEAN(AB85))&amp;IF(AC85="","",""", """&amp;CLEAN(AC85))&amp;IF(AD85="","",""", """&amp;CLEAN(AD85))&amp;IF(AE85="","",""", """&amp;CLEAN(AE85))&amp;IF(AF85="","",""", """&amp;CLEAN(AF85))&amp;IF(AG85="","",""", """&amp;CLEAN(AG85))&amp;IF(AH85="","",""", """&amp;CLEAN(AH85))&amp;IF(AI85="","",""", """&amp;CLEAN(AI85))&amp;IF(AJ85="","",""", """&amp;CLEAN(AJ85))&amp;IF(AK85="","",""", """&amp;CLEAN(AK85))&amp;""" ];"</f>
        <v>D6.scenario.defSelectValue["sel240"]= [ "選んで下さい", "できない", "2割減", "3～4割減", "半減", "6～7割減" ];</v>
      </c>
      <c r="DR85" s="112"/>
      <c r="DS85" s="112"/>
      <c r="DT85" s="112" t="str">
        <f aca="false">"D6.scenario.defSelectData['"&amp;U85&amp;"']= [ '"&amp;BC85&amp;"', '"&amp;BD85&amp;"', '"&amp;BE85&amp;IF(BF85="","","', '"&amp;BF85)&amp;IF(BG85="","","', '"&amp;BG85)&amp;IF(BH85="","","', '"&amp;BH85)&amp;IF(BI85="","","', '"&amp;BI85)&amp;IF(BJ85="","","', '"&amp;BJ85)&amp;IF(BK85="","","', '"&amp;BK85)&amp;IF(BL85="","","', '"&amp;BL85)&amp;IF(BM85="","","', '"&amp;BM85)&amp;IF(BN85="","","', '"&amp;BN85)&amp;IF(BO85="","","', '"&amp;BO85)&amp;IF(BP85="","","', '"&amp;BP85)&amp;IF(BQ85="","","', '"&amp;BQ85)&amp;IF(BR85="","","', '"&amp;BR85)&amp;"' ];"</f>
        <v>D6.scenario.defSelectData['sel240']= [ '-1', '0', '2', '3', '5', '7' ];</v>
      </c>
    </row>
    <row r="86" s="88" customFormat="true" ht="43.5" hidden="false" customHeight="true" outlineLevel="0" collapsed="false">
      <c r="B86" s="95" t="s">
        <v>1499</v>
      </c>
      <c r="C86" s="103" t="s">
        <v>1500</v>
      </c>
      <c r="D86" s="104" t="s">
        <v>1500</v>
      </c>
      <c r="E86" s="95" t="s">
        <v>249</v>
      </c>
      <c r="F86" s="103"/>
      <c r="G86" s="104"/>
      <c r="H86" s="103" t="s">
        <v>1501</v>
      </c>
      <c r="I86" s="104" t="s">
        <v>1502</v>
      </c>
      <c r="J86" s="103" t="str">
        <f aca="false">IF(K86="","",K86)</f>
        <v>sel241</v>
      </c>
      <c r="K86" s="104" t="str">
        <f aca="false">"sel"&amp;MID($B86,2,5)</f>
        <v>sel241</v>
      </c>
      <c r="L86" s="105"/>
      <c r="M86" s="105"/>
      <c r="N86" s="105"/>
      <c r="O86" s="95" t="s">
        <v>931</v>
      </c>
      <c r="P86" s="105"/>
      <c r="Q86" s="105"/>
      <c r="R86" s="95" t="n">
        <v>-1</v>
      </c>
      <c r="T86" s="66"/>
      <c r="U86" s="106" t="str">
        <f aca="false">J86</f>
        <v>sel241</v>
      </c>
      <c r="V86" s="103" t="s">
        <v>979</v>
      </c>
      <c r="W86" s="103" t="s">
        <v>1170</v>
      </c>
      <c r="X86" s="103" t="s">
        <v>1400</v>
      </c>
      <c r="Y86" s="103" t="s">
        <v>1401</v>
      </c>
      <c r="Z86" s="103" t="s">
        <v>1297</v>
      </c>
      <c r="AA86" s="103" t="s">
        <v>1402</v>
      </c>
      <c r="AB86" s="103" t="s">
        <v>1298</v>
      </c>
      <c r="AC86" s="103" t="s">
        <v>1403</v>
      </c>
      <c r="AD86" s="103" t="s">
        <v>1404</v>
      </c>
      <c r="AE86" s="103" t="s">
        <v>1300</v>
      </c>
      <c r="AF86" s="103" t="s">
        <v>1301</v>
      </c>
      <c r="AG86" s="103"/>
      <c r="AH86" s="103"/>
      <c r="AI86" s="103"/>
      <c r="AJ86" s="103"/>
      <c r="AK86" s="103"/>
      <c r="AL86" s="104" t="s">
        <v>979</v>
      </c>
      <c r="AM86" s="107" t="s">
        <v>1170</v>
      </c>
      <c r="AN86" s="107" t="s">
        <v>1400</v>
      </c>
      <c r="AO86" s="107" t="s">
        <v>1401</v>
      </c>
      <c r="AP86" s="107" t="s">
        <v>1297</v>
      </c>
      <c r="AQ86" s="107" t="s">
        <v>1402</v>
      </c>
      <c r="AR86" s="104" t="s">
        <v>1298</v>
      </c>
      <c r="AS86" s="104" t="s">
        <v>1403</v>
      </c>
      <c r="AT86" s="104" t="s">
        <v>1404</v>
      </c>
      <c r="AU86" s="104" t="s">
        <v>1300</v>
      </c>
      <c r="AV86" s="104" t="s">
        <v>1301</v>
      </c>
      <c r="AW86" s="104"/>
      <c r="AX86" s="104"/>
      <c r="AY86" s="104"/>
      <c r="AZ86" s="104"/>
      <c r="BA86" s="104"/>
      <c r="BB86" s="66"/>
      <c r="BC86" s="103" t="n">
        <v>-1</v>
      </c>
      <c r="BD86" s="103" t="n">
        <v>0</v>
      </c>
      <c r="BE86" s="103" t="n">
        <v>1</v>
      </c>
      <c r="BF86" s="103" t="n">
        <v>2</v>
      </c>
      <c r="BG86" s="103" t="n">
        <v>3</v>
      </c>
      <c r="BH86" s="103" t="n">
        <v>4</v>
      </c>
      <c r="BI86" s="103" t="n">
        <v>6</v>
      </c>
      <c r="BJ86" s="103" t="n">
        <v>8</v>
      </c>
      <c r="BK86" s="103" t="n">
        <v>12</v>
      </c>
      <c r="BL86" s="103" t="n">
        <v>16</v>
      </c>
      <c r="BM86" s="103" t="n">
        <v>24</v>
      </c>
      <c r="BN86" s="103"/>
      <c r="BO86" s="103"/>
      <c r="BP86" s="103"/>
      <c r="BQ86" s="103"/>
      <c r="BR86" s="103"/>
      <c r="BS86" s="104" t="n">
        <v>-1</v>
      </c>
      <c r="BT86" s="104" t="n">
        <v>0</v>
      </c>
      <c r="BU86" s="104" t="n">
        <v>1</v>
      </c>
      <c r="BV86" s="104" t="n">
        <v>2</v>
      </c>
      <c r="BW86" s="104" t="n">
        <v>3</v>
      </c>
      <c r="BX86" s="104" t="n">
        <v>4</v>
      </c>
      <c r="BY86" s="104" t="n">
        <v>6</v>
      </c>
      <c r="BZ86" s="104" t="n">
        <v>8</v>
      </c>
      <c r="CA86" s="104" t="n">
        <v>12</v>
      </c>
      <c r="CB86" s="104" t="n">
        <v>16</v>
      </c>
      <c r="CC86" s="104" t="n">
        <v>24</v>
      </c>
      <c r="CD86" s="104"/>
      <c r="CE86" s="104"/>
      <c r="CF86" s="104"/>
      <c r="CG86" s="104"/>
      <c r="CH86" s="104"/>
      <c r="CJ86" s="95"/>
      <c r="CK86" s="95"/>
      <c r="CL86" s="95"/>
      <c r="CM86" s="95"/>
      <c r="CN86" s="95"/>
      <c r="CO86" s="95"/>
      <c r="CP86" s="95"/>
      <c r="CQ86" s="95"/>
      <c r="CR86" s="95"/>
      <c r="CS86" s="95"/>
      <c r="CT86" s="95"/>
      <c r="CU86" s="95"/>
      <c r="CV86" s="95"/>
      <c r="CW86" s="95"/>
      <c r="CX86" s="95"/>
      <c r="CY86" s="95"/>
      <c r="CZ86" s="95"/>
      <c r="DA86" s="95"/>
      <c r="DB86" s="95"/>
      <c r="DC86" s="95"/>
      <c r="DD86" s="95"/>
      <c r="DE86" s="95"/>
      <c r="DF86" s="95"/>
      <c r="DG86" s="95"/>
      <c r="DL86" s="108"/>
      <c r="DM86" s="108"/>
      <c r="DN86" s="109" t="str">
        <f aca="false">"D6.scenario.defInput["""&amp;B86&amp;"""] = {  "&amp;E$2&amp;":"""&amp;E86&amp;""",  "&amp;C$2&amp;":"""&amp;CLEAN(SUBSTITUTE(C86,"""",""""))&amp;""",  "&amp;F$2&amp;":"""&amp;F86&amp;""",  "&amp;H$2&amp;":"""&amp;CLEAN(SUBSTITUTE(H86,"""",""""))&amp;""", "&amp;J$2&amp;":"""&amp;J86&amp;""", "&amp;L$2&amp;":"""&amp;L86&amp;""", "&amp;M$2&amp;":"""&amp;M86&amp;""", "&amp;N$2&amp;":"""&amp;N86&amp;""", "&amp;O$2&amp;":"""&amp;O86&amp;""", "&amp;P$2&amp;":"""&amp;P86&amp;""", "&amp;Q$2&amp;":"""&amp;Q86&amp;""", "&amp;R$2&amp;":"""&amp;R86&amp;""", d11t:"""&amp;CJ86&amp;""",d11p:"""&amp;CK86&amp;""",d12t:"""&amp;CL86&amp;""",d12p:"""&amp;CM86&amp;""",d13t:"""&amp;CN86&amp;""",d13p:"""&amp;CO86&amp;""",d1w:"""&amp;CP86&amp;""",d1d:"""&amp;CQ86&amp;""", d21t:"""&amp;CR86&amp;""",d21p:"""&amp;CS86&amp;""",d22t:"""&amp;CT86&amp;""",d22p:"""&amp;CU86&amp;""",d23t:"""&amp;CV86&amp;""",d23p:"""&amp;CW86&amp;""",d2w:"""&amp;CX86&amp;""",d2d:"""&amp;CY86&amp;""", d31t:"""&amp;CZ86&amp;""",d31p:"""&amp;DA86&amp;""",d32t:"""&amp;DB86&amp;""",d32p:"""&amp;DC86&amp;""",d33t:"""&amp;DD86&amp;""",d33p:"""&amp;DE86&amp;""",d3w:"""&amp;DF86&amp;""",d3d:"""&amp;DG86&amp;"""}; "</f>
        <v>D6.scenario.defInput["i241"] = {  cons:"consACheat",  title:"電気ストーブの使用時間",  unit:"",  text:"電気ストーブ・オイルヒータの使用時間はどのくらいですか", inputType:"sel241", right:"", postfix:"", nodata:"", varType:"Number", min:"", max:"", defaultValue:"-1", d11t:"",d11p:"",d12t:"",d12p:"",d13t:"",d13p:"",d1w:"",d1d:"", d21t:"",d21p:"",d22t:"",d22p:"",d23t:"",d23p:"",d2w:"",d2d:"", d31t:"",d31p:"",d32t:"",d32p:"",d33t:"",d33p:"",d3w:"",d3d:""}; </v>
      </c>
      <c r="DO86" s="110"/>
      <c r="DP86" s="110"/>
      <c r="DQ86" s="111" t="str">
        <f aca="false">"D6.scenario.defSelectValue["""&amp;U86&amp;"""]= [ """&amp;CLEAN(V86)&amp;""", """&amp;CLEAN(W86)&amp;IF(X86="","",""", """&amp;CLEAN(X86))&amp;IF(Y86="","",""", """&amp;CLEAN(Y86))&amp;IF(Z86="","",""", """&amp;CLEAN(Z86))&amp;IF(AA86="","",""", """&amp;CLEAN(AA86))&amp;IF(AB86="","",""", """&amp;CLEAN(AB86))&amp;IF(AC86="","",""", """&amp;CLEAN(AC86))&amp;IF(AD86="","",""", """&amp;CLEAN(AD86))&amp;IF(AE86="","",""", """&amp;CLEAN(AE86))&amp;IF(AF86="","",""", """&amp;CLEAN(AF86))&amp;IF(AG86="","",""", """&amp;CLEAN(AG86))&amp;IF(AH86="","",""", """&amp;CLEAN(AH86))&amp;IF(AI86="","",""", """&amp;CLEAN(AI86))&amp;IF(AJ86="","",""", """&amp;CLEAN(AJ86))&amp;IF(AK86="","",""", """&amp;CLEAN(AK86))&amp;""" ];"</f>
        <v>D6.scenario.defSelectValue["sel241"]= [ "選んで下さい", "使わない", "1時間", "2時間", "3時間", "4時間", "6時間", "8時間", "12時間", "16時間", "24時間" ];</v>
      </c>
      <c r="DR86" s="112"/>
      <c r="DS86" s="112"/>
      <c r="DT86" s="112" t="str">
        <f aca="false">"D6.scenario.defSelectData['"&amp;U86&amp;"']= [ '"&amp;BC86&amp;"', '"&amp;BD86&amp;"', '"&amp;BE86&amp;IF(BF86="","","', '"&amp;BF86)&amp;IF(BG86="","","', '"&amp;BG86)&amp;IF(BH86="","","', '"&amp;BH86)&amp;IF(BI86="","","', '"&amp;BI86)&amp;IF(BJ86="","","', '"&amp;BJ86)&amp;IF(BK86="","","', '"&amp;BK86)&amp;IF(BL86="","","', '"&amp;BL86)&amp;IF(BM86="","","', '"&amp;BM86)&amp;IF(BN86="","","', '"&amp;BN86)&amp;IF(BO86="","","', '"&amp;BO86)&amp;IF(BP86="","","', '"&amp;BP86)&amp;IF(BQ86="","","', '"&amp;BQ86)&amp;IF(BR86="","","', '"&amp;BR86)&amp;"' ];"</f>
        <v>D6.scenario.defSelectData['sel241']= [ '-1', '0', '1', '2', '3', '4', '6', '8', '12', '16', '24' ];</v>
      </c>
    </row>
    <row r="87" s="88" customFormat="true" ht="43.5" hidden="false" customHeight="true" outlineLevel="0" collapsed="false">
      <c r="B87" s="105" t="s">
        <v>1503</v>
      </c>
      <c r="C87" s="103" t="s">
        <v>1504</v>
      </c>
      <c r="D87" s="104" t="s">
        <v>1504</v>
      </c>
      <c r="E87" s="95" t="s">
        <v>249</v>
      </c>
      <c r="F87" s="103"/>
      <c r="G87" s="104"/>
      <c r="H87" s="103" t="s">
        <v>1505</v>
      </c>
      <c r="I87" s="104" t="s">
        <v>1505</v>
      </c>
      <c r="J87" s="103" t="str">
        <f aca="false">IF(K87="","",K87)</f>
        <v>sel242</v>
      </c>
      <c r="K87" s="104" t="str">
        <f aca="false">"sel"&amp;MID($B87,2,5)</f>
        <v>sel242</v>
      </c>
      <c r="L87" s="105"/>
      <c r="M87" s="105"/>
      <c r="N87" s="105"/>
      <c r="O87" s="95" t="s">
        <v>931</v>
      </c>
      <c r="P87" s="105"/>
      <c r="Q87" s="105"/>
      <c r="R87" s="95" t="n">
        <v>-1</v>
      </c>
      <c r="T87" s="66"/>
      <c r="U87" s="106" t="str">
        <f aca="false">J87</f>
        <v>sel242</v>
      </c>
      <c r="V87" s="103" t="s">
        <v>979</v>
      </c>
      <c r="W87" s="103" t="s">
        <v>1506</v>
      </c>
      <c r="X87" s="103" t="s">
        <v>1507</v>
      </c>
      <c r="Y87" s="103" t="s">
        <v>1508</v>
      </c>
      <c r="Z87" s="103" t="s">
        <v>1509</v>
      </c>
      <c r="AA87" s="103" t="s">
        <v>1510</v>
      </c>
      <c r="AB87" s="103"/>
      <c r="AC87" s="103"/>
      <c r="AD87" s="103"/>
      <c r="AE87" s="103"/>
      <c r="AF87" s="103"/>
      <c r="AG87" s="103"/>
      <c r="AH87" s="103"/>
      <c r="AI87" s="103"/>
      <c r="AJ87" s="103"/>
      <c r="AK87" s="103"/>
      <c r="AL87" s="104" t="s">
        <v>979</v>
      </c>
      <c r="AM87" s="107" t="s">
        <v>1506</v>
      </c>
      <c r="AN87" s="107" t="s">
        <v>1507</v>
      </c>
      <c r="AO87" s="107" t="s">
        <v>1508</v>
      </c>
      <c r="AP87" s="107" t="s">
        <v>1509</v>
      </c>
      <c r="AQ87" s="107" t="s">
        <v>1510</v>
      </c>
      <c r="AR87" s="104"/>
      <c r="AS87" s="104"/>
      <c r="AT87" s="104"/>
      <c r="AU87" s="104"/>
      <c r="AV87" s="104"/>
      <c r="AW87" s="104"/>
      <c r="AX87" s="104"/>
      <c r="AY87" s="104"/>
      <c r="AZ87" s="104"/>
      <c r="BA87" s="104"/>
      <c r="BB87" s="66"/>
      <c r="BC87" s="103" t="n">
        <v>-1</v>
      </c>
      <c r="BD87" s="103" t="n">
        <v>1</v>
      </c>
      <c r="BE87" s="103" t="n">
        <v>2</v>
      </c>
      <c r="BF87" s="103" t="n">
        <v>3</v>
      </c>
      <c r="BG87" s="103" t="n">
        <v>4</v>
      </c>
      <c r="BH87" s="103" t="n">
        <v>5</v>
      </c>
      <c r="BI87" s="103"/>
      <c r="BJ87" s="103"/>
      <c r="BK87" s="103"/>
      <c r="BL87" s="103"/>
      <c r="BM87" s="103"/>
      <c r="BN87" s="103"/>
      <c r="BO87" s="103"/>
      <c r="BP87" s="103"/>
      <c r="BQ87" s="103"/>
      <c r="BR87" s="103"/>
      <c r="BS87" s="104" t="n">
        <v>-1</v>
      </c>
      <c r="BT87" s="104" t="n">
        <v>1</v>
      </c>
      <c r="BU87" s="104" t="n">
        <v>2</v>
      </c>
      <c r="BV87" s="104" t="n">
        <v>3</v>
      </c>
      <c r="BW87" s="104" t="n">
        <v>4</v>
      </c>
      <c r="BX87" s="104" t="n">
        <v>5</v>
      </c>
      <c r="BY87" s="104"/>
      <c r="BZ87" s="104"/>
      <c r="CA87" s="104"/>
      <c r="CB87" s="104"/>
      <c r="CC87" s="104"/>
      <c r="CD87" s="104"/>
      <c r="CE87" s="104"/>
      <c r="CF87" s="104"/>
      <c r="CG87" s="104"/>
      <c r="CH87" s="104"/>
      <c r="CJ87" s="95"/>
      <c r="CK87" s="95"/>
      <c r="CL87" s="95"/>
      <c r="CM87" s="95"/>
      <c r="CN87" s="95"/>
      <c r="CO87" s="95"/>
      <c r="CP87" s="95"/>
      <c r="CQ87" s="95"/>
      <c r="CR87" s="95"/>
      <c r="CS87" s="95"/>
      <c r="CT87" s="95"/>
      <c r="CU87" s="95"/>
      <c r="CV87" s="95"/>
      <c r="CW87" s="95"/>
      <c r="CX87" s="95"/>
      <c r="CY87" s="95"/>
      <c r="CZ87" s="95"/>
      <c r="DA87" s="95"/>
      <c r="DB87" s="95"/>
      <c r="DC87" s="95"/>
      <c r="DD87" s="95"/>
      <c r="DE87" s="95"/>
      <c r="DF87" s="95"/>
      <c r="DG87" s="95"/>
      <c r="DL87" s="108"/>
      <c r="DM87" s="108"/>
      <c r="DN87" s="109" t="str">
        <f aca="false">"D6.scenario.defInput["""&amp;B87&amp;"""] = {  "&amp;E$2&amp;":"""&amp;E87&amp;""",  "&amp;C$2&amp;":"""&amp;CLEAN(SUBSTITUTE(C87,"""",""""))&amp;""",  "&amp;F$2&amp;":"""&amp;F87&amp;""",  "&amp;H$2&amp;":"""&amp;CLEAN(SUBSTITUTE(H87,"""",""""))&amp;""", "&amp;J$2&amp;":"""&amp;J87&amp;""", "&amp;L$2&amp;":"""&amp;L87&amp;""", "&amp;M$2&amp;":"""&amp;M87&amp;""", "&amp;N$2&amp;":"""&amp;N87&amp;""", "&amp;O$2&amp;":"""&amp;O87&amp;""", "&amp;P$2&amp;":"""&amp;P87&amp;""", "&amp;Q$2&amp;":"""&amp;Q87&amp;""", "&amp;R$2&amp;":"""&amp;R87&amp;""", d11t:"""&amp;CJ87&amp;""",d11p:"""&amp;CK87&amp;""",d12t:"""&amp;CL87&amp;""",d12p:"""&amp;CM87&amp;""",d13t:"""&amp;CN87&amp;""",d13p:"""&amp;CO87&amp;""",d1w:"""&amp;CP87&amp;""",d1d:"""&amp;CQ87&amp;""", d21t:"""&amp;CR87&amp;""",d21p:"""&amp;CS87&amp;""",d22t:"""&amp;CT87&amp;""",d22p:"""&amp;CU87&amp;""",d23t:"""&amp;CV87&amp;""",d23p:"""&amp;CW87&amp;""",d2w:"""&amp;CX87&amp;""",d2d:"""&amp;CY87&amp;""", d31t:"""&amp;CZ87&amp;""",d31p:"""&amp;DA87&amp;""",d32t:"""&amp;DB87&amp;""",d32p:"""&amp;DC87&amp;""",d33t:"""&amp;DD87&amp;""",d33p:"""&amp;DE87&amp;""",d3w:"""&amp;DF87&amp;""",d3d:"""&amp;DG87&amp;"""}; "</f>
        <v>D6.scenario.defInput["i242"] = {  cons:"consACheat",  title:"部屋の寒さ",  unit:"",  text:"その部屋は暖房は効きますか", inputType:"sel242", right:"", postfix:"", nodata:"", varType:"Number", min:"", max:"", defaultValue:"-1", d11t:"",d11p:"",d12t:"",d12p:"",d13t:"",d13p:"",d1w:"",d1d:"", d21t:"",d21p:"",d22t:"",d22p:"",d23t:"",d23p:"",d2w:"",d2d:"", d31t:"",d31p:"",d32t:"",d32p:"",d33t:"",d33p:"",d3w:"",d3d:""}; </v>
      </c>
      <c r="DO87" s="110"/>
      <c r="DP87" s="110"/>
      <c r="DQ87" s="111" t="str">
        <f aca="false">"D6.scenario.defSelectValue["""&amp;U87&amp;"""]= [ """&amp;CLEAN(V87)&amp;""", """&amp;CLEAN(W87)&amp;IF(X87="","",""", """&amp;CLEAN(X87))&amp;IF(Y87="","",""", """&amp;CLEAN(Y87))&amp;IF(Z87="","",""", """&amp;CLEAN(Z87))&amp;IF(AA87="","",""", """&amp;CLEAN(AA87))&amp;IF(AB87="","",""", """&amp;CLEAN(AB87))&amp;IF(AC87="","",""", """&amp;CLEAN(AC87))&amp;IF(AD87="","",""", """&amp;CLEAN(AD87))&amp;IF(AE87="","",""", """&amp;CLEAN(AE87))&amp;IF(AF87="","",""", """&amp;CLEAN(AF87))&amp;IF(AG87="","",""", """&amp;CLEAN(AG87))&amp;IF(AH87="","",""", """&amp;CLEAN(AH87))&amp;IF(AI87="","",""", """&amp;CLEAN(AI87))&amp;IF(AJ87="","",""", """&amp;CLEAN(AJ87))&amp;IF(AK87="","",""", """&amp;CLEAN(AK87))&amp;""" ];"</f>
        <v>D6.scenario.defSelectValue["sel242"]= [ "選んで下さい", "暖房すると寒さは感じない", "やや寒い", "なかなか暖まらない", "暖房しても寒い", "暖房はしない" ];</v>
      </c>
      <c r="DR87" s="112"/>
      <c r="DS87" s="112"/>
      <c r="DT87" s="112" t="str">
        <f aca="false">"D6.scenario.defSelectData['"&amp;U87&amp;"']= [ '"&amp;BC87&amp;"', '"&amp;BD87&amp;"', '"&amp;BE87&amp;IF(BF87="","","', '"&amp;BF87)&amp;IF(BG87="","","', '"&amp;BG87)&amp;IF(BH87="","","', '"&amp;BH87)&amp;IF(BI87="","","', '"&amp;BI87)&amp;IF(BJ87="","","', '"&amp;BJ87)&amp;IF(BK87="","","', '"&amp;BK87)&amp;IF(BL87="","","', '"&amp;BL87)&amp;IF(BM87="","","', '"&amp;BM87)&amp;IF(BN87="","","', '"&amp;BN87)&amp;IF(BO87="","","', '"&amp;BO87)&amp;IF(BP87="","","', '"&amp;BP87)&amp;IF(BQ87="","","', '"&amp;BQ87)&amp;IF(BR87="","","', '"&amp;BR87)&amp;"' ];"</f>
        <v>D6.scenario.defSelectData['sel242']= [ '-1', '1', '2', '3', '4', '5' ];</v>
      </c>
    </row>
    <row r="88" s="88" customFormat="true" ht="43.5" hidden="false" customHeight="true" outlineLevel="0" collapsed="false">
      <c r="B88" s="95" t="s">
        <v>1511</v>
      </c>
      <c r="C88" s="103" t="s">
        <v>1512</v>
      </c>
      <c r="D88" s="104" t="s">
        <v>1512</v>
      </c>
      <c r="E88" s="95" t="s">
        <v>240</v>
      </c>
      <c r="F88" s="103"/>
      <c r="G88" s="104"/>
      <c r="H88" s="103" t="s">
        <v>1513</v>
      </c>
      <c r="I88" s="104" t="s">
        <v>1513</v>
      </c>
      <c r="J88" s="103" t="str">
        <f aca="false">IF(K88="","",K88)</f>
        <v>sel243</v>
      </c>
      <c r="K88" s="104" t="str">
        <f aca="false">"sel"&amp;MID($B88,2,5)</f>
        <v>sel243</v>
      </c>
      <c r="L88" s="105"/>
      <c r="M88" s="105"/>
      <c r="N88" s="105"/>
      <c r="O88" s="95" t="s">
        <v>931</v>
      </c>
      <c r="P88" s="105"/>
      <c r="Q88" s="105"/>
      <c r="R88" s="95" t="n">
        <v>-1</v>
      </c>
      <c r="T88" s="66"/>
      <c r="U88" s="106" t="str">
        <f aca="false">J88</f>
        <v>sel243</v>
      </c>
      <c r="V88" s="103" t="s">
        <v>979</v>
      </c>
      <c r="W88" s="103" t="s">
        <v>1514</v>
      </c>
      <c r="X88" s="103" t="s">
        <v>1515</v>
      </c>
      <c r="Y88" s="103" t="s">
        <v>1516</v>
      </c>
      <c r="Z88" s="103" t="s">
        <v>1517</v>
      </c>
      <c r="AA88" s="103" t="s">
        <v>1062</v>
      </c>
      <c r="AB88" s="103"/>
      <c r="AC88" s="103"/>
      <c r="AD88" s="103"/>
      <c r="AE88" s="103"/>
      <c r="AF88" s="103"/>
      <c r="AG88" s="103"/>
      <c r="AH88" s="103"/>
      <c r="AI88" s="103"/>
      <c r="AJ88" s="103"/>
      <c r="AK88" s="103"/>
      <c r="AL88" s="104" t="s">
        <v>979</v>
      </c>
      <c r="AM88" s="107" t="s">
        <v>1514</v>
      </c>
      <c r="AN88" s="107" t="s">
        <v>1515</v>
      </c>
      <c r="AO88" s="107" t="s">
        <v>1516</v>
      </c>
      <c r="AP88" s="104" t="s">
        <v>1517</v>
      </c>
      <c r="AQ88" s="104" t="s">
        <v>1062</v>
      </c>
      <c r="AR88" s="104"/>
      <c r="AS88" s="104"/>
      <c r="AT88" s="104"/>
      <c r="AU88" s="104"/>
      <c r="AV88" s="104"/>
      <c r="AW88" s="104"/>
      <c r="AX88" s="104"/>
      <c r="AY88" s="104"/>
      <c r="AZ88" s="104"/>
      <c r="BA88" s="104"/>
      <c r="BB88" s="66"/>
      <c r="BC88" s="103" t="n">
        <v>-1</v>
      </c>
      <c r="BD88" s="103" t="n">
        <v>1</v>
      </c>
      <c r="BE88" s="103" t="n">
        <v>2</v>
      </c>
      <c r="BF88" s="103" t="n">
        <v>3</v>
      </c>
      <c r="BG88" s="103" t="n">
        <v>4</v>
      </c>
      <c r="BH88" s="103" t="n">
        <v>5</v>
      </c>
      <c r="BI88" s="103"/>
      <c r="BJ88" s="103"/>
      <c r="BK88" s="103"/>
      <c r="BL88" s="103"/>
      <c r="BM88" s="103"/>
      <c r="BN88" s="103"/>
      <c r="BO88" s="103"/>
      <c r="BP88" s="103"/>
      <c r="BQ88" s="103"/>
      <c r="BR88" s="103"/>
      <c r="BS88" s="104" t="n">
        <v>-1</v>
      </c>
      <c r="BT88" s="104" t="n">
        <v>1</v>
      </c>
      <c r="BU88" s="104" t="n">
        <v>2</v>
      </c>
      <c r="BV88" s="104" t="n">
        <v>3</v>
      </c>
      <c r="BW88" s="104" t="n">
        <v>4</v>
      </c>
      <c r="BX88" s="104" t="n">
        <v>5</v>
      </c>
      <c r="BY88" s="104"/>
      <c r="BZ88" s="104"/>
      <c r="CA88" s="104"/>
      <c r="CB88" s="104"/>
      <c r="CC88" s="104"/>
      <c r="CD88" s="104"/>
      <c r="CE88" s="104"/>
      <c r="CF88" s="104"/>
      <c r="CG88" s="104"/>
      <c r="CH88" s="104"/>
      <c r="CJ88" s="95"/>
      <c r="CK88" s="95"/>
      <c r="CL88" s="95"/>
      <c r="CM88" s="95"/>
      <c r="CN88" s="95"/>
      <c r="CO88" s="95"/>
      <c r="CP88" s="95"/>
      <c r="CQ88" s="95"/>
      <c r="CR88" s="95"/>
      <c r="CS88" s="95"/>
      <c r="CT88" s="95"/>
      <c r="CU88" s="95"/>
      <c r="CV88" s="95"/>
      <c r="CW88" s="95"/>
      <c r="CX88" s="95"/>
      <c r="CY88" s="95"/>
      <c r="CZ88" s="95"/>
      <c r="DA88" s="95"/>
      <c r="DB88" s="95"/>
      <c r="DC88" s="95"/>
      <c r="DD88" s="95"/>
      <c r="DE88" s="95"/>
      <c r="DF88" s="95"/>
      <c r="DG88" s="95"/>
      <c r="DL88" s="108"/>
      <c r="DM88" s="108"/>
      <c r="DN88" s="109" t="str">
        <f aca="false">"D6.scenario.defInput["""&amp;B88&amp;"""] = {  "&amp;E$2&amp;":"""&amp;E88&amp;""",  "&amp;C$2&amp;":"""&amp;CLEAN(SUBSTITUTE(C88,"""",""""))&amp;""",  "&amp;F$2&amp;":"""&amp;F88&amp;""",  "&amp;H$2&amp;":"""&amp;CLEAN(SUBSTITUTE(H88,"""",""""))&amp;""", "&amp;J$2&amp;":"""&amp;J88&amp;""", "&amp;L$2&amp;":"""&amp;L88&amp;""", "&amp;M$2&amp;":"""&amp;M88&amp;""", "&amp;N$2&amp;":"""&amp;N88&amp;""", "&amp;O$2&amp;":"""&amp;O88&amp;""", "&amp;P$2&amp;":"""&amp;P88&amp;""", "&amp;Q$2&amp;":"""&amp;Q88&amp;""", "&amp;R$2&amp;":"""&amp;R88&amp;""", d11t:"""&amp;CJ88&amp;""",d11p:"""&amp;CK88&amp;""",d12t:"""&amp;CL88&amp;""",d12p:"""&amp;CM88&amp;""",d13t:"""&amp;CN88&amp;""",d13p:"""&amp;CO88&amp;""",d1w:"""&amp;CP88&amp;""",d1d:"""&amp;CQ88&amp;""", d21t:"""&amp;CR88&amp;""",d21p:"""&amp;CS88&amp;""",d22t:"""&amp;CT88&amp;""",d22p:"""&amp;CU88&amp;""",d23t:"""&amp;CV88&amp;""",d23p:"""&amp;CW88&amp;""",d2w:"""&amp;CX88&amp;""",d2d:"""&amp;CY88&amp;""", d31t:"""&amp;CZ88&amp;""",d31p:"""&amp;DA88&amp;""",d32t:"""&amp;DB88&amp;""",d32p:"""&amp;DC88&amp;""",d33t:"""&amp;DD88&amp;""",d33p:"""&amp;DE88&amp;""",d3w:"""&amp;DF88&amp;""",d3d:"""&amp;DG88&amp;"""}; "</f>
        <v>D6.scenario.defInput["i243"] = {  cons:"consHTsum",  title:"窓の結露の有無",  unit:"",  text:"窓の結露はありますか", inputType:"sel243", right:"", postfix:"", nodata:"", varType:"Number", min:"", max:"", defaultValue:"-1", d11t:"",d11p:"",d12t:"",d12p:"",d13t:"",d13p:"",d1w:"",d1d:"", d21t:"",d21p:"",d22t:"",d22p:"",d23t:"",d23p:"",d2w:"",d2d:"", d31t:"",d31p:"",d32t:"",d32p:"",d33t:"",d33p:"",d3w:"",d3d:""}; </v>
      </c>
      <c r="DO88" s="110"/>
      <c r="DP88" s="110"/>
      <c r="DQ88" s="111" t="str">
        <f aca="false">"D6.scenario.defSelectValue["""&amp;U88&amp;"""]= [ """&amp;CLEAN(V88)&amp;""", """&amp;CLEAN(W88)&amp;IF(X88="","",""", """&amp;CLEAN(X88))&amp;IF(Y88="","",""", """&amp;CLEAN(Y88))&amp;IF(Z88="","",""", """&amp;CLEAN(Z88))&amp;IF(AA88="","",""", """&amp;CLEAN(AA88))&amp;IF(AB88="","",""", """&amp;CLEAN(AB88))&amp;IF(AC88="","",""", """&amp;CLEAN(AC88))&amp;IF(AD88="","",""", """&amp;CLEAN(AD88))&amp;IF(AE88="","",""", """&amp;CLEAN(AE88))&amp;IF(AF88="","",""", """&amp;CLEAN(AF88))&amp;IF(AG88="","",""", """&amp;CLEAN(AG88))&amp;IF(AH88="","",""", """&amp;CLEAN(AH88))&amp;IF(AI88="","",""", """&amp;CLEAN(AI88))&amp;IF(AJ88="","",""", """&amp;CLEAN(AJ88))&amp;IF(AK88="","",""", """&amp;CLEAN(AK88))&amp;""" ];"</f>
        <v>D6.scenario.defSelectValue["sel243"]= [ "選んで下さい", "よく結露する", "少し結露する", "ほとんど結露しない", "結露しない", "わからない" ];</v>
      </c>
      <c r="DR88" s="112"/>
      <c r="DS88" s="112"/>
      <c r="DT88" s="112" t="str">
        <f aca="false">"D6.scenario.defSelectData['"&amp;U88&amp;"']= [ '"&amp;BC88&amp;"', '"&amp;BD88&amp;"', '"&amp;BE88&amp;IF(BF88="","","', '"&amp;BF88)&amp;IF(BG88="","","', '"&amp;BG88)&amp;IF(BH88="","","', '"&amp;BH88)&amp;IF(BI88="","","', '"&amp;BI88)&amp;IF(BJ88="","","', '"&amp;BJ88)&amp;IF(BK88="","","', '"&amp;BK88)&amp;IF(BL88="","","', '"&amp;BL88)&amp;IF(BM88="","","', '"&amp;BM88)&amp;IF(BN88="","","', '"&amp;BN88)&amp;IF(BO88="","","', '"&amp;BO88)&amp;IF(BP88="","","', '"&amp;BP88)&amp;IF(BQ88="","","', '"&amp;BQ88)&amp;IF(BR88="","","', '"&amp;BR88)&amp;"' ];"</f>
        <v>D6.scenario.defSelectData['sel243']= [ '-1', '1', '2', '3', '4', '5' ];</v>
      </c>
    </row>
    <row r="89" s="88" customFormat="true" ht="43.5" hidden="false" customHeight="true" outlineLevel="0" collapsed="false">
      <c r="B89" s="105" t="s">
        <v>1518</v>
      </c>
      <c r="C89" s="103" t="s">
        <v>1519</v>
      </c>
      <c r="D89" s="104" t="s">
        <v>1519</v>
      </c>
      <c r="E89" s="95" t="s">
        <v>240</v>
      </c>
      <c r="F89" s="103"/>
      <c r="G89" s="104"/>
      <c r="H89" s="103" t="s">
        <v>1520</v>
      </c>
      <c r="I89" s="104" t="s">
        <v>1520</v>
      </c>
      <c r="J89" s="103" t="str">
        <f aca="false">IF(K89="","",K89)</f>
        <v>sel244</v>
      </c>
      <c r="K89" s="104" t="str">
        <f aca="false">"sel"&amp;MID($B89,2,5)</f>
        <v>sel244</v>
      </c>
      <c r="L89" s="105"/>
      <c r="M89" s="105"/>
      <c r="N89" s="105"/>
      <c r="O89" s="95" t="s">
        <v>931</v>
      </c>
      <c r="P89" s="105"/>
      <c r="Q89" s="105"/>
      <c r="R89" s="95" t="n">
        <v>-1</v>
      </c>
      <c r="T89" s="66"/>
      <c r="U89" s="106" t="str">
        <f aca="false">J89</f>
        <v>sel244</v>
      </c>
      <c r="V89" s="103" t="s">
        <v>979</v>
      </c>
      <c r="W89" s="103" t="s">
        <v>1514</v>
      </c>
      <c r="X89" s="103" t="s">
        <v>1515</v>
      </c>
      <c r="Y89" s="103" t="s">
        <v>1516</v>
      </c>
      <c r="Z89" s="103" t="s">
        <v>1517</v>
      </c>
      <c r="AA89" s="103" t="s">
        <v>1062</v>
      </c>
      <c r="AB89" s="103"/>
      <c r="AC89" s="103"/>
      <c r="AD89" s="103"/>
      <c r="AE89" s="103"/>
      <c r="AF89" s="103"/>
      <c r="AG89" s="103"/>
      <c r="AH89" s="103"/>
      <c r="AI89" s="103"/>
      <c r="AJ89" s="103"/>
      <c r="AK89" s="103"/>
      <c r="AL89" s="104" t="s">
        <v>979</v>
      </c>
      <c r="AM89" s="104" t="s">
        <v>1514</v>
      </c>
      <c r="AN89" s="107" t="s">
        <v>1515</v>
      </c>
      <c r="AO89" s="104" t="s">
        <v>1516</v>
      </c>
      <c r="AP89" s="107" t="s">
        <v>1517</v>
      </c>
      <c r="AQ89" s="104" t="s">
        <v>1062</v>
      </c>
      <c r="AR89" s="104"/>
      <c r="AS89" s="104"/>
      <c r="AT89" s="104"/>
      <c r="AU89" s="104"/>
      <c r="AV89" s="104"/>
      <c r="AW89" s="104"/>
      <c r="AX89" s="104"/>
      <c r="AY89" s="104"/>
      <c r="AZ89" s="104"/>
      <c r="BA89" s="104"/>
      <c r="BB89" s="66"/>
      <c r="BC89" s="103" t="n">
        <v>-1</v>
      </c>
      <c r="BD89" s="103" t="n">
        <v>1</v>
      </c>
      <c r="BE89" s="103" t="n">
        <v>2</v>
      </c>
      <c r="BF89" s="103" t="n">
        <v>3</v>
      </c>
      <c r="BG89" s="103" t="n">
        <v>4</v>
      </c>
      <c r="BH89" s="103" t="n">
        <v>5</v>
      </c>
      <c r="BI89" s="103"/>
      <c r="BJ89" s="103"/>
      <c r="BK89" s="103"/>
      <c r="BL89" s="103"/>
      <c r="BM89" s="103"/>
      <c r="BN89" s="103"/>
      <c r="BO89" s="103"/>
      <c r="BP89" s="103"/>
      <c r="BQ89" s="103"/>
      <c r="BR89" s="103"/>
      <c r="BS89" s="104" t="n">
        <v>-1</v>
      </c>
      <c r="BT89" s="104" t="n">
        <v>1</v>
      </c>
      <c r="BU89" s="104" t="n">
        <v>2</v>
      </c>
      <c r="BV89" s="104" t="n">
        <v>3</v>
      </c>
      <c r="BW89" s="104" t="n">
        <v>4</v>
      </c>
      <c r="BX89" s="104" t="n">
        <v>5</v>
      </c>
      <c r="BY89" s="104"/>
      <c r="BZ89" s="104"/>
      <c r="CA89" s="104"/>
      <c r="CB89" s="104"/>
      <c r="CC89" s="104"/>
      <c r="CD89" s="104"/>
      <c r="CE89" s="104"/>
      <c r="CF89" s="104"/>
      <c r="CG89" s="104"/>
      <c r="CH89" s="104"/>
      <c r="CJ89" s="95"/>
      <c r="CK89" s="95"/>
      <c r="CL89" s="95"/>
      <c r="CM89" s="95"/>
      <c r="CN89" s="95"/>
      <c r="CO89" s="95"/>
      <c r="CP89" s="95"/>
      <c r="CQ89" s="95"/>
      <c r="CR89" s="95"/>
      <c r="CS89" s="95"/>
      <c r="CT89" s="95"/>
      <c r="CU89" s="95"/>
      <c r="CV89" s="95"/>
      <c r="CW89" s="95"/>
      <c r="CX89" s="95"/>
      <c r="CY89" s="95"/>
      <c r="CZ89" s="95"/>
      <c r="DA89" s="95"/>
      <c r="DB89" s="95"/>
      <c r="DC89" s="95"/>
      <c r="DD89" s="95"/>
      <c r="DE89" s="95"/>
      <c r="DF89" s="95"/>
      <c r="DG89" s="95"/>
      <c r="DL89" s="108"/>
      <c r="DM89" s="108"/>
      <c r="DN89" s="109" t="str">
        <f aca="false">"D6.scenario.defInput["""&amp;B89&amp;"""] = {  "&amp;E$2&amp;":"""&amp;E89&amp;""",  "&amp;C$2&amp;":"""&amp;CLEAN(SUBSTITUTE(C89,"""",""""))&amp;""",  "&amp;F$2&amp;":"""&amp;F89&amp;""",  "&amp;H$2&amp;":"""&amp;CLEAN(SUBSTITUTE(H89,"""",""""))&amp;""", "&amp;J$2&amp;":"""&amp;J89&amp;""", "&amp;L$2&amp;":"""&amp;L89&amp;""", "&amp;M$2&amp;":"""&amp;M89&amp;""", "&amp;N$2&amp;":"""&amp;N89&amp;""", "&amp;O$2&amp;":"""&amp;O89&amp;""", "&amp;P$2&amp;":"""&amp;P89&amp;""", "&amp;Q$2&amp;":"""&amp;Q89&amp;""", "&amp;R$2&amp;":"""&amp;R89&amp;""", d11t:"""&amp;CJ89&amp;""",d11p:"""&amp;CK89&amp;""",d12t:"""&amp;CL89&amp;""",d12p:"""&amp;CM89&amp;""",d13t:"""&amp;CN89&amp;""",d13p:"""&amp;CO89&amp;""",d1w:"""&amp;CP89&amp;""",d1d:"""&amp;CQ89&amp;""", d21t:"""&amp;CR89&amp;""",d21p:"""&amp;CS89&amp;""",d22t:"""&amp;CT89&amp;""",d22p:"""&amp;CU89&amp;""",d23t:"""&amp;CV89&amp;""",d23p:"""&amp;CW89&amp;""",d2w:"""&amp;CX89&amp;""",d2d:"""&amp;CY89&amp;""", d31t:"""&amp;CZ89&amp;""",d31p:"""&amp;DA89&amp;""",d32t:"""&amp;DB89&amp;""",d32p:"""&amp;DC89&amp;""",d33t:"""&amp;DD89&amp;""",d33p:"""&amp;DE89&amp;""",d3w:"""&amp;DF89&amp;""",d3d:"""&amp;DG89&amp;"""}; "</f>
        <v>D6.scenario.defInput["i244"] = {  cons:"consHTsum",  title:"押入れなどの壁面の結露",  unit:"",  text:"押入れなどの壁面の結露はありますか", inputType:"sel244", right:"", postfix:"", nodata:"", varType:"Number", min:"", max:"", defaultValue:"-1", d11t:"",d11p:"",d12t:"",d12p:"",d13t:"",d13p:"",d1w:"",d1d:"", d21t:"",d21p:"",d22t:"",d22p:"",d23t:"",d23p:"",d2w:"",d2d:"", d31t:"",d31p:"",d32t:"",d32p:"",d33t:"",d33p:"",d3w:"",d3d:""}; </v>
      </c>
      <c r="DO89" s="110"/>
      <c r="DP89" s="110"/>
      <c r="DQ89" s="111" t="str">
        <f aca="false">"D6.scenario.defSelectValue["""&amp;U89&amp;"""]= [ """&amp;CLEAN(V89)&amp;""", """&amp;CLEAN(W89)&amp;IF(X89="","",""", """&amp;CLEAN(X89))&amp;IF(Y89="","",""", """&amp;CLEAN(Y89))&amp;IF(Z89="","",""", """&amp;CLEAN(Z89))&amp;IF(AA89="","",""", """&amp;CLEAN(AA89))&amp;IF(AB89="","",""", """&amp;CLEAN(AB89))&amp;IF(AC89="","",""", """&amp;CLEAN(AC89))&amp;IF(AD89="","",""", """&amp;CLEAN(AD89))&amp;IF(AE89="","",""", """&amp;CLEAN(AE89))&amp;IF(AF89="","",""", """&amp;CLEAN(AF89))&amp;IF(AG89="","",""", """&amp;CLEAN(AG89))&amp;IF(AH89="","",""", """&amp;CLEAN(AH89))&amp;IF(AI89="","",""", """&amp;CLEAN(AI89))&amp;IF(AJ89="","",""", """&amp;CLEAN(AJ89))&amp;IF(AK89="","",""", """&amp;CLEAN(AK89))&amp;""" ];"</f>
        <v>D6.scenario.defSelectValue["sel244"]= [ "選んで下さい", "よく結露する", "少し結露する", "ほとんど結露しない", "結露しない", "わからない" ];</v>
      </c>
      <c r="DR89" s="112"/>
      <c r="DS89" s="112"/>
      <c r="DT89" s="112" t="str">
        <f aca="false">"D6.scenario.defSelectData['"&amp;U89&amp;"']= [ '"&amp;BC89&amp;"', '"&amp;BD89&amp;"', '"&amp;BE89&amp;IF(BF89="","","', '"&amp;BF89)&amp;IF(BG89="","","', '"&amp;BG89)&amp;IF(BH89="","","', '"&amp;BH89)&amp;IF(BI89="","","', '"&amp;BI89)&amp;IF(BJ89="","","', '"&amp;BJ89)&amp;IF(BK89="","","', '"&amp;BK89)&amp;IF(BL89="","","', '"&amp;BL89)&amp;IF(BM89="","","', '"&amp;BM89)&amp;IF(BN89="","","', '"&amp;BN89)&amp;IF(BO89="","","', '"&amp;BO89)&amp;IF(BP89="","","', '"&amp;BP89)&amp;IF(BQ89="","","', '"&amp;BQ89)&amp;IF(BR89="","","', '"&amp;BR89)&amp;"' ];"</f>
        <v>D6.scenario.defSelectData['sel244']= [ '-1', '1', '2', '3', '4', '5' ];</v>
      </c>
    </row>
    <row r="90" s="88" customFormat="true" ht="43.5" hidden="false" customHeight="true" outlineLevel="0" collapsed="false">
      <c r="A90" s="66"/>
      <c r="B90" s="95" t="s">
        <v>1521</v>
      </c>
      <c r="C90" s="103" t="s">
        <v>1522</v>
      </c>
      <c r="D90" s="104" t="s">
        <v>1522</v>
      </c>
      <c r="E90" s="95" t="s">
        <v>240</v>
      </c>
      <c r="F90" s="103" t="s">
        <v>1338</v>
      </c>
      <c r="G90" s="104" t="s">
        <v>1338</v>
      </c>
      <c r="H90" s="103" t="s">
        <v>1523</v>
      </c>
      <c r="I90" s="104" t="s">
        <v>1523</v>
      </c>
      <c r="J90" s="103" t="str">
        <f aca="false">IF(K90="","",K90)</f>
        <v>sel245</v>
      </c>
      <c r="K90" s="104" t="str">
        <f aca="false">"sel"&amp;MID($B90,2,5)</f>
        <v>sel245</v>
      </c>
      <c r="L90" s="105"/>
      <c r="M90" s="105"/>
      <c r="N90" s="105"/>
      <c r="O90" s="95" t="s">
        <v>931</v>
      </c>
      <c r="P90" s="105"/>
      <c r="Q90" s="105"/>
      <c r="R90" s="95" t="n">
        <v>-1</v>
      </c>
      <c r="S90" s="66"/>
      <c r="T90" s="66"/>
      <c r="U90" s="106" t="str">
        <f aca="false">J90</f>
        <v>sel245</v>
      </c>
      <c r="V90" s="103" t="s">
        <v>979</v>
      </c>
      <c r="W90" s="103" t="s">
        <v>1524</v>
      </c>
      <c r="X90" s="116" t="s">
        <v>1525</v>
      </c>
      <c r="Y90" s="103" t="s">
        <v>1526</v>
      </c>
      <c r="Z90" s="103" t="s">
        <v>1527</v>
      </c>
      <c r="AA90" s="103"/>
      <c r="AB90" s="103"/>
      <c r="AC90" s="103"/>
      <c r="AD90" s="103"/>
      <c r="AE90" s="103"/>
      <c r="AF90" s="103"/>
      <c r="AG90" s="103"/>
      <c r="AH90" s="103"/>
      <c r="AI90" s="103"/>
      <c r="AJ90" s="103"/>
      <c r="AK90" s="103"/>
      <c r="AL90" s="104" t="s">
        <v>979</v>
      </c>
      <c r="AM90" s="107" t="s">
        <v>1524</v>
      </c>
      <c r="AN90" s="118" t="s">
        <v>1525</v>
      </c>
      <c r="AO90" s="104" t="s">
        <v>1526</v>
      </c>
      <c r="AP90" s="104" t="s">
        <v>1527</v>
      </c>
      <c r="AQ90" s="104"/>
      <c r="AR90" s="104"/>
      <c r="AS90" s="104"/>
      <c r="AT90" s="104"/>
      <c r="AU90" s="104"/>
      <c r="AV90" s="104"/>
      <c r="AW90" s="104"/>
      <c r="AX90" s="104"/>
      <c r="AY90" s="104"/>
      <c r="AZ90" s="104"/>
      <c r="BA90" s="104"/>
      <c r="BB90" s="66"/>
      <c r="BC90" s="113" t="n">
        <v>-1</v>
      </c>
      <c r="BD90" s="103" t="n">
        <v>1</v>
      </c>
      <c r="BE90" s="103" t="n">
        <v>2</v>
      </c>
      <c r="BF90" s="103" t="n">
        <v>3</v>
      </c>
      <c r="BG90" s="103" t="n">
        <v>4</v>
      </c>
      <c r="BH90" s="103" t="n">
        <v>5</v>
      </c>
      <c r="BI90" s="103"/>
      <c r="BJ90" s="103"/>
      <c r="BK90" s="103"/>
      <c r="BL90" s="103"/>
      <c r="BM90" s="103"/>
      <c r="BN90" s="103"/>
      <c r="BO90" s="103"/>
      <c r="BP90" s="103"/>
      <c r="BQ90" s="103"/>
      <c r="BR90" s="103"/>
      <c r="BS90" s="114" t="n">
        <v>-1</v>
      </c>
      <c r="BT90" s="104" t="n">
        <v>1</v>
      </c>
      <c r="BU90" s="104" t="n">
        <v>2</v>
      </c>
      <c r="BV90" s="104" t="n">
        <v>3</v>
      </c>
      <c r="BW90" s="104" t="n">
        <v>4</v>
      </c>
      <c r="BX90" s="104" t="n">
        <v>5</v>
      </c>
      <c r="BY90" s="104"/>
      <c r="BZ90" s="104"/>
      <c r="CA90" s="104"/>
      <c r="CB90" s="104"/>
      <c r="CC90" s="104"/>
      <c r="CD90" s="104"/>
      <c r="CE90" s="104"/>
      <c r="CF90" s="104"/>
      <c r="CG90" s="104"/>
      <c r="CH90" s="104"/>
      <c r="CJ90" s="95"/>
      <c r="CK90" s="95"/>
      <c r="CL90" s="95"/>
      <c r="CM90" s="95"/>
      <c r="CN90" s="95"/>
      <c r="CO90" s="95"/>
      <c r="CP90" s="95"/>
      <c r="CQ90" s="95"/>
      <c r="CR90" s="95"/>
      <c r="CS90" s="95"/>
      <c r="CT90" s="95"/>
      <c r="CU90" s="95"/>
      <c r="CV90" s="95"/>
      <c r="CW90" s="95"/>
      <c r="CX90" s="95"/>
      <c r="CY90" s="95"/>
      <c r="CZ90" s="95"/>
      <c r="DA90" s="95"/>
      <c r="DB90" s="95"/>
      <c r="DC90" s="95"/>
      <c r="DD90" s="95"/>
      <c r="DE90" s="95"/>
      <c r="DF90" s="95"/>
      <c r="DG90" s="95"/>
      <c r="DL90" s="108"/>
      <c r="DM90" s="108"/>
      <c r="DN90" s="109" t="str">
        <f aca="false">"D6.scenario.defInput["""&amp;B90&amp;"""] = {  "&amp;E$2&amp;":"""&amp;E90&amp;""",  "&amp;C$2&amp;":"""&amp;CLEAN(SUBSTITUTE(C90,"""",""""))&amp;""",  "&amp;F$2&amp;":"""&amp;F90&amp;""",  "&amp;H$2&amp;":"""&amp;CLEAN(SUBSTITUTE(H90,"""",""""))&amp;""", "&amp;J$2&amp;":"""&amp;J90&amp;""", "&amp;L$2&amp;":"""&amp;L90&amp;""", "&amp;M$2&amp;":"""&amp;M90&amp;""", "&amp;N$2&amp;":"""&amp;N90&amp;""", "&amp;O$2&amp;":"""&amp;O90&amp;""", "&amp;P$2&amp;":"""&amp;P90&amp;""", "&amp;Q$2&amp;":"""&amp;Q90&amp;""", "&amp;R$2&amp;":"""&amp;R90&amp;""", d11t:"""&amp;CJ90&amp;""",d11p:"""&amp;CK90&amp;""",d12t:"""&amp;CL90&amp;""",d12p:"""&amp;CM90&amp;""",d13t:"""&amp;CN90&amp;""",d13p:"""&amp;CO90&amp;""",d1w:"""&amp;CP90&amp;""",d1d:"""&amp;CQ90&amp;""", d21t:"""&amp;CR90&amp;""",d21p:"""&amp;CS90&amp;""",d22t:"""&amp;CT90&amp;""",d22p:"""&amp;CU90&amp;""",d23t:"""&amp;CV90&amp;""",d23p:"""&amp;CW90&amp;""",d2w:"""&amp;CX90&amp;""",d2d:"""&amp;CY90&amp;""", d31t:"""&amp;CZ90&amp;""",d31p:"""&amp;DA90&amp;""",d32t:"""&amp;DB90&amp;""",d32p:"""&amp;DC90&amp;""",d33t:"""&amp;DD90&amp;""",d33p:"""&amp;DE90&amp;""",d3w:"""&amp;DF90&amp;""",d3d:"""&amp;DG90&amp;"""}; "</f>
        <v>D6.scenario.defInput["i245"] = {  cons:"consHTsum",  title:"朝方寒さを感じること",  unit:"ヶ月",  text:"最も実感できる寒さを選んで下さい", inputType:"sel245", right:"", postfix:"", nodata:"", varType:"Number", min:"", max:"", defaultValue:"-1", d11t:"",d11p:"",d12t:"",d12p:"",d13t:"",d13p:"",d1w:"",d1d:"", d21t:"",d21p:"",d22t:"",d22p:"",d23t:"",d23p:"",d2w:"",d2d:"", d31t:"",d31p:"",d32t:"",d32p:"",d33t:"",d33p:"",d3w:"",d3d:""}; </v>
      </c>
      <c r="DO90" s="110"/>
      <c r="DP90" s="110"/>
      <c r="DQ90" s="111" t="str">
        <f aca="false">"D6.scenario.defSelectValue["""&amp;U90&amp;"""]= [ """&amp;CLEAN(V90)&amp;""", """&amp;CLEAN(W90)&amp;IF(X90="","",""", """&amp;CLEAN(X90))&amp;IF(Y90="","",""", """&amp;CLEAN(Y90))&amp;IF(Z90="","",""", """&amp;CLEAN(Z90))&amp;IF(AA90="","",""", """&amp;CLEAN(AA90))&amp;IF(AB90="","",""", """&amp;CLEAN(AB90))&amp;IF(AC90="","",""", """&amp;CLEAN(AC90))&amp;IF(AD90="","",""", """&amp;CLEAN(AD90))&amp;IF(AE90="","",""", """&amp;CLEAN(AE90))&amp;IF(AF90="","",""", """&amp;CLEAN(AF90))&amp;IF(AG90="","",""", """&amp;CLEAN(AG90))&amp;IF(AH90="","",""", """&amp;CLEAN(AH90))&amp;IF(AI90="","",""", """&amp;CLEAN(AI90))&amp;IF(AJ90="","",""", """&amp;CLEAN(AJ90))&amp;IF(AK90="","",""", """&amp;CLEAN(AK90))&amp;""" ];"</f>
        <v>D6.scenario.defSelectValue["sel245"]= [ "選んで下さい", "寒さで朝起きるのがつらい", "手足が冷たい", "窓に霜がつく", "部屋で息が白く曇る" ];</v>
      </c>
      <c r="DR90" s="112"/>
      <c r="DS90" s="112"/>
      <c r="DT90" s="112" t="str">
        <f aca="false">"D6.scenario.defSelectData['"&amp;U90&amp;"']= [ '"&amp;BC90&amp;"', '"&amp;BD90&amp;"', '"&amp;BE90&amp;IF(BF90="","","', '"&amp;BF90)&amp;IF(BG90="","","', '"&amp;BG90)&amp;IF(BH90="","","', '"&amp;BH90)&amp;IF(BI90="","","', '"&amp;BI90)&amp;IF(BJ90="","","', '"&amp;BJ90)&amp;IF(BK90="","","', '"&amp;BK90)&amp;IF(BL90="","","', '"&amp;BL90)&amp;IF(BM90="","","', '"&amp;BM90)&amp;IF(BN90="","","', '"&amp;BN90)&amp;IF(BO90="","","', '"&amp;BO90)&amp;IF(BP90="","","', '"&amp;BP90)&amp;IF(BQ90="","","', '"&amp;BQ90)&amp;IF(BR90="","","', '"&amp;BR90)&amp;"' ];"</f>
        <v>D6.scenario.defSelectData['sel245']= [ '-1', '1', '2', '3', '4', '5' ];</v>
      </c>
    </row>
    <row r="91" s="88" customFormat="true" ht="43.5" hidden="false" customHeight="true" outlineLevel="0" collapsed="false">
      <c r="A91" s="66"/>
      <c r="B91" s="105" t="s">
        <v>1528</v>
      </c>
      <c r="C91" s="103" t="s">
        <v>1529</v>
      </c>
      <c r="D91" s="104" t="s">
        <v>1529</v>
      </c>
      <c r="E91" s="95" t="s">
        <v>240</v>
      </c>
      <c r="F91" s="103"/>
      <c r="G91" s="104"/>
      <c r="H91" s="103" t="s">
        <v>1530</v>
      </c>
      <c r="I91" s="104" t="s">
        <v>1531</v>
      </c>
      <c r="J91" s="103" t="str">
        <f aca="false">IF(K91="","",K91)</f>
        <v>sel246</v>
      </c>
      <c r="K91" s="104" t="str">
        <f aca="false">"sel"&amp;MID($B91,2,5)</f>
        <v>sel246</v>
      </c>
      <c r="L91" s="105"/>
      <c r="M91" s="105"/>
      <c r="N91" s="105"/>
      <c r="O91" s="95" t="s">
        <v>931</v>
      </c>
      <c r="P91" s="105"/>
      <c r="Q91" s="105"/>
      <c r="R91" s="95" t="n">
        <v>-1</v>
      </c>
      <c r="S91" s="66"/>
      <c r="T91" s="66"/>
      <c r="U91" s="106" t="str">
        <f aca="false">J91</f>
        <v>sel246</v>
      </c>
      <c r="V91" s="103" t="s">
        <v>979</v>
      </c>
      <c r="W91" s="103" t="s">
        <v>1532</v>
      </c>
      <c r="X91" s="116" t="s">
        <v>1533</v>
      </c>
      <c r="Y91" s="103" t="s">
        <v>1534</v>
      </c>
      <c r="Z91" s="103" t="s">
        <v>1535</v>
      </c>
      <c r="AA91" s="103" t="s">
        <v>1536</v>
      </c>
      <c r="AB91" s="103" t="s">
        <v>1537</v>
      </c>
      <c r="AC91" s="103" t="s">
        <v>1538</v>
      </c>
      <c r="AD91" s="103" t="s">
        <v>1539</v>
      </c>
      <c r="AE91" s="103"/>
      <c r="AF91" s="103"/>
      <c r="AG91" s="103"/>
      <c r="AH91" s="103"/>
      <c r="AI91" s="103"/>
      <c r="AJ91" s="103"/>
      <c r="AK91" s="103"/>
      <c r="AL91" s="104" t="s">
        <v>979</v>
      </c>
      <c r="AM91" s="104" t="s">
        <v>1532</v>
      </c>
      <c r="AN91" s="118" t="s">
        <v>1533</v>
      </c>
      <c r="AO91" s="107" t="s">
        <v>1534</v>
      </c>
      <c r="AP91" s="107" t="s">
        <v>1535</v>
      </c>
      <c r="AQ91" s="107" t="s">
        <v>1536</v>
      </c>
      <c r="AR91" s="104" t="s">
        <v>1537</v>
      </c>
      <c r="AS91" s="104" t="s">
        <v>1538</v>
      </c>
      <c r="AT91" s="104" t="s">
        <v>1539</v>
      </c>
      <c r="AU91" s="104"/>
      <c r="AV91" s="104"/>
      <c r="AW91" s="104"/>
      <c r="AX91" s="104"/>
      <c r="AY91" s="104"/>
      <c r="AZ91" s="104"/>
      <c r="BA91" s="104"/>
      <c r="BB91" s="66"/>
      <c r="BC91" s="113" t="n">
        <v>-1</v>
      </c>
      <c r="BD91" s="103" t="n">
        <v>1</v>
      </c>
      <c r="BE91" s="103" t="n">
        <v>2</v>
      </c>
      <c r="BF91" s="103" t="n">
        <v>3</v>
      </c>
      <c r="BG91" s="103" t="n">
        <v>4</v>
      </c>
      <c r="BH91" s="103" t="n">
        <v>5</v>
      </c>
      <c r="BI91" s="103" t="n">
        <v>6</v>
      </c>
      <c r="BJ91" s="103" t="n">
        <v>7</v>
      </c>
      <c r="BK91" s="103" t="n">
        <v>8</v>
      </c>
      <c r="BL91" s="103"/>
      <c r="BM91" s="103"/>
      <c r="BN91" s="103"/>
      <c r="BO91" s="103"/>
      <c r="BP91" s="103"/>
      <c r="BQ91" s="103"/>
      <c r="BR91" s="103"/>
      <c r="BS91" s="114" t="n">
        <v>-1</v>
      </c>
      <c r="BT91" s="104" t="n">
        <v>1</v>
      </c>
      <c r="BU91" s="104" t="n">
        <v>2</v>
      </c>
      <c r="BV91" s="104" t="n">
        <v>3</v>
      </c>
      <c r="BW91" s="104" t="n">
        <v>4</v>
      </c>
      <c r="BX91" s="104" t="n">
        <v>5</v>
      </c>
      <c r="BY91" s="104" t="n">
        <v>6</v>
      </c>
      <c r="BZ91" s="104" t="n">
        <v>7</v>
      </c>
      <c r="CA91" s="104" t="n">
        <v>8</v>
      </c>
      <c r="CB91" s="104"/>
      <c r="CC91" s="104"/>
      <c r="CD91" s="104"/>
      <c r="CE91" s="104"/>
      <c r="CF91" s="104"/>
      <c r="CG91" s="104"/>
      <c r="CH91" s="104"/>
      <c r="CJ91" s="95"/>
      <c r="CK91" s="95"/>
      <c r="CL91" s="95"/>
      <c r="CM91" s="95"/>
      <c r="CN91" s="95"/>
      <c r="CO91" s="95"/>
      <c r="CP91" s="95"/>
      <c r="CQ91" s="95"/>
      <c r="CR91" s="95"/>
      <c r="CS91" s="95"/>
      <c r="CT91" s="95"/>
      <c r="CU91" s="95"/>
      <c r="CV91" s="95"/>
      <c r="CW91" s="95"/>
      <c r="CX91" s="95"/>
      <c r="CY91" s="95"/>
      <c r="CZ91" s="95"/>
      <c r="DA91" s="95"/>
      <c r="DB91" s="95"/>
      <c r="DC91" s="95"/>
      <c r="DD91" s="95"/>
      <c r="DE91" s="95"/>
      <c r="DF91" s="95"/>
      <c r="DG91" s="95"/>
      <c r="DL91" s="108"/>
      <c r="DM91" s="108"/>
      <c r="DN91" s="109" t="str">
        <f aca="false">"D6.scenario.defInput["""&amp;B91&amp;"""] = {  "&amp;E$2&amp;":"""&amp;E91&amp;""",  "&amp;C$2&amp;":"""&amp;CLEAN(SUBSTITUTE(C91,"""",""""))&amp;""",  "&amp;F$2&amp;":"""&amp;F91&amp;""",  "&amp;H$2&amp;":"""&amp;CLEAN(SUBSTITUTE(H91,"""",""""))&amp;""", "&amp;J$2&amp;":"""&amp;J91&amp;""", "&amp;L$2&amp;":"""&amp;L91&amp;""", "&amp;M$2&amp;":"""&amp;M91&amp;""", "&amp;N$2&amp;":"""&amp;N91&amp;""", "&amp;O$2&amp;":"""&amp;O91&amp;""", "&amp;P$2&amp;":"""&amp;P91&amp;""", "&amp;Q$2&amp;":"""&amp;Q91&amp;""", "&amp;R$2&amp;":"""&amp;R91&amp;""", d11t:"""&amp;CJ91&amp;""",d11p:"""&amp;CK91&amp;""",d12t:"""&amp;CL91&amp;""",d12p:"""&amp;CM91&amp;""",d13t:"""&amp;CN91&amp;""",d13p:"""&amp;CO91&amp;""",d1w:"""&amp;CP91&amp;""",d1d:"""&amp;CQ91&amp;""", d21t:"""&amp;CR91&amp;""",d21p:"""&amp;CS91&amp;""",d22t:"""&amp;CT91&amp;""",d22p:"""&amp;CU91&amp;""",d23t:"""&amp;CV91&amp;""",d23p:"""&amp;CW91&amp;""",d2w:"""&amp;CX91&amp;""",d2d:"""&amp;CY91&amp;""", d31t:"""&amp;CZ91&amp;""",d31p:"""&amp;DA91&amp;""",d32t:"""&amp;DB91&amp;""",d32p:"""&amp;DC91&amp;""",d33t:"""&amp;DD91&amp;""",d33p:"""&amp;DE91&amp;""",d3w:"""&amp;DF91&amp;""",d3d:"""&amp;DG91&amp;"""}; "</f>
        <v>D6.scenario.defInput["i246"] = {  cons:"consHTsum",  title:"朝方の寒さが始まる時期",  unit:"",  text:"朝方の寒さはいつから感じますか", inputType:"sel246", right:"", postfix:"", nodata:"", varType:"Number", min:"", max:"", defaultValue:"-1", d11t:"",d11p:"",d12t:"",d12p:"",d13t:"",d13p:"",d1w:"",d1d:"", d21t:"",d21p:"",d22t:"",d22p:"",d23t:"",d23p:"",d2w:"",d2d:"", d31t:"",d31p:"",d32t:"",d32p:"",d33t:"",d33p:"",d3w:"",d3d:""}; </v>
      </c>
      <c r="DO91" s="110"/>
      <c r="DP91" s="110"/>
      <c r="DQ91" s="111" t="str">
        <f aca="false">"D6.scenario.defSelectValue["""&amp;U91&amp;"""]= [ """&amp;CLEAN(V91)&amp;""", """&amp;CLEAN(W91)&amp;IF(X91="","",""", """&amp;CLEAN(X91))&amp;IF(Y91="","",""", """&amp;CLEAN(Y91))&amp;IF(Z91="","",""", """&amp;CLEAN(Z91))&amp;IF(AA91="","",""", """&amp;CLEAN(AA91))&amp;IF(AB91="","",""", """&amp;CLEAN(AB91))&amp;IF(AC91="","",""", """&amp;CLEAN(AC91))&amp;IF(AD91="","",""", """&amp;CLEAN(AD91))&amp;IF(AE91="","",""", """&amp;CLEAN(AE91))&amp;IF(AF91="","",""", """&amp;CLEAN(AF91))&amp;IF(AG91="","",""", """&amp;CLEAN(AG91))&amp;IF(AH91="","",""", """&amp;CLEAN(AH91))&amp;IF(AI91="","",""", """&amp;CLEAN(AI91))&amp;IF(AJ91="","",""", """&amp;CLEAN(AJ91))&amp;IF(AK91="","",""", """&amp;CLEAN(AK91))&amp;""" ];"</f>
        <v>D6.scenario.defSelectValue["sel246"]= [ "選んで下さい", "10月上旬", "10月下旬", "11月上旬", "11月下旬", "12月上旬", "12月下旬", "1月上旬", "1月下旬" ];</v>
      </c>
      <c r="DR91" s="112"/>
      <c r="DS91" s="112"/>
      <c r="DT91" s="112" t="str">
        <f aca="false">"D6.scenario.defSelectData['"&amp;U91&amp;"']= [ '"&amp;BC91&amp;"', '"&amp;BD91&amp;"', '"&amp;BE91&amp;IF(BF91="","","', '"&amp;BF91)&amp;IF(BG91="","","', '"&amp;BG91)&amp;IF(BH91="","","', '"&amp;BH91)&amp;IF(BI91="","","', '"&amp;BI91)&amp;IF(BJ91="","","', '"&amp;BJ91)&amp;IF(BK91="","","', '"&amp;BK91)&amp;IF(BL91="","","', '"&amp;BL91)&amp;IF(BM91="","","', '"&amp;BM91)&amp;IF(BN91="","","', '"&amp;BN91)&amp;IF(BO91="","","', '"&amp;BO91)&amp;IF(BP91="","","', '"&amp;BP91)&amp;IF(BQ91="","","', '"&amp;BQ91)&amp;IF(BR91="","","', '"&amp;BR91)&amp;"' ];"</f>
        <v>D6.scenario.defSelectData['sel246']= [ '-1', '1', '2', '3', '4', '5', '6', '7', '8' ];</v>
      </c>
    </row>
    <row r="92" s="88" customFormat="true" ht="43.5" hidden="false" customHeight="true" outlineLevel="0" collapsed="false">
      <c r="A92" s="66"/>
      <c r="B92" s="95" t="s">
        <v>1540</v>
      </c>
      <c r="C92" s="103" t="s">
        <v>1541</v>
      </c>
      <c r="D92" s="104" t="s">
        <v>1541</v>
      </c>
      <c r="E92" s="95" t="s">
        <v>240</v>
      </c>
      <c r="F92" s="103"/>
      <c r="G92" s="104"/>
      <c r="H92" s="103" t="s">
        <v>1542</v>
      </c>
      <c r="I92" s="104" t="s">
        <v>1542</v>
      </c>
      <c r="J92" s="103" t="str">
        <f aca="false">IF(K92="","",K92)</f>
        <v>sel247</v>
      </c>
      <c r="K92" s="104" t="str">
        <f aca="false">"sel"&amp;MID($B92,2,5)</f>
        <v>sel247</v>
      </c>
      <c r="L92" s="105"/>
      <c r="M92" s="105"/>
      <c r="N92" s="105"/>
      <c r="O92" s="95" t="s">
        <v>931</v>
      </c>
      <c r="P92" s="105"/>
      <c r="Q92" s="105"/>
      <c r="R92" s="95" t="n">
        <v>-1</v>
      </c>
      <c r="S92" s="66"/>
      <c r="T92" s="66"/>
      <c r="U92" s="106" t="str">
        <f aca="false">J92</f>
        <v>sel247</v>
      </c>
      <c r="V92" s="103" t="s">
        <v>979</v>
      </c>
      <c r="W92" s="103" t="s">
        <v>1543</v>
      </c>
      <c r="X92" s="116" t="s">
        <v>1544</v>
      </c>
      <c r="Y92" s="103" t="s">
        <v>1545</v>
      </c>
      <c r="Z92" s="103" t="s">
        <v>1546</v>
      </c>
      <c r="AA92" s="103" t="s">
        <v>1547</v>
      </c>
      <c r="AB92" s="103" t="s">
        <v>1548</v>
      </c>
      <c r="AC92" s="103" t="s">
        <v>1549</v>
      </c>
      <c r="AD92" s="103" t="s">
        <v>1550</v>
      </c>
      <c r="AE92" s="103"/>
      <c r="AF92" s="103"/>
      <c r="AG92" s="103"/>
      <c r="AH92" s="103"/>
      <c r="AI92" s="103"/>
      <c r="AJ92" s="103"/>
      <c r="AK92" s="103"/>
      <c r="AL92" s="104" t="s">
        <v>979</v>
      </c>
      <c r="AM92" s="104" t="s">
        <v>1543</v>
      </c>
      <c r="AN92" s="118" t="s">
        <v>1544</v>
      </c>
      <c r="AO92" s="107" t="s">
        <v>1545</v>
      </c>
      <c r="AP92" s="107" t="s">
        <v>1546</v>
      </c>
      <c r="AQ92" s="107" t="s">
        <v>1547</v>
      </c>
      <c r="AR92" s="104" t="s">
        <v>1548</v>
      </c>
      <c r="AS92" s="104" t="s">
        <v>1549</v>
      </c>
      <c r="AT92" s="104" t="s">
        <v>1550</v>
      </c>
      <c r="AU92" s="104"/>
      <c r="AV92" s="104"/>
      <c r="AW92" s="104"/>
      <c r="AX92" s="104"/>
      <c r="AY92" s="104"/>
      <c r="AZ92" s="104"/>
      <c r="BA92" s="104"/>
      <c r="BB92" s="66"/>
      <c r="BC92" s="113" t="n">
        <v>-1</v>
      </c>
      <c r="BD92" s="103" t="n">
        <v>1</v>
      </c>
      <c r="BE92" s="103" t="n">
        <v>2</v>
      </c>
      <c r="BF92" s="103" t="n">
        <v>3</v>
      </c>
      <c r="BG92" s="103" t="n">
        <v>4</v>
      </c>
      <c r="BH92" s="103" t="n">
        <v>5</v>
      </c>
      <c r="BI92" s="103" t="n">
        <v>6</v>
      </c>
      <c r="BJ92" s="103" t="n">
        <v>7</v>
      </c>
      <c r="BK92" s="103" t="n">
        <v>8</v>
      </c>
      <c r="BL92" s="103"/>
      <c r="BM92" s="103"/>
      <c r="BN92" s="103"/>
      <c r="BO92" s="103"/>
      <c r="BP92" s="103"/>
      <c r="BQ92" s="103"/>
      <c r="BR92" s="103"/>
      <c r="BS92" s="114" t="n">
        <v>-1</v>
      </c>
      <c r="BT92" s="104" t="n">
        <v>1</v>
      </c>
      <c r="BU92" s="104" t="n">
        <v>2</v>
      </c>
      <c r="BV92" s="104" t="n">
        <v>3</v>
      </c>
      <c r="BW92" s="104" t="n">
        <v>4</v>
      </c>
      <c r="BX92" s="104" t="n">
        <v>5</v>
      </c>
      <c r="BY92" s="104" t="n">
        <v>6</v>
      </c>
      <c r="BZ92" s="104" t="n">
        <v>7</v>
      </c>
      <c r="CA92" s="104" t="n">
        <v>8</v>
      </c>
      <c r="CB92" s="104"/>
      <c r="CC92" s="104"/>
      <c r="CD92" s="104"/>
      <c r="CE92" s="104"/>
      <c r="CF92" s="104"/>
      <c r="CG92" s="104"/>
      <c r="CH92" s="104"/>
      <c r="CJ92" s="95"/>
      <c r="CK92" s="95"/>
      <c r="CL92" s="95"/>
      <c r="CM92" s="95"/>
      <c r="CN92" s="95"/>
      <c r="CO92" s="95"/>
      <c r="CP92" s="95"/>
      <c r="CQ92" s="95"/>
      <c r="CR92" s="95"/>
      <c r="CS92" s="95"/>
      <c r="CT92" s="95"/>
      <c r="CU92" s="95"/>
      <c r="CV92" s="95"/>
      <c r="CW92" s="95"/>
      <c r="CX92" s="95"/>
      <c r="CY92" s="95"/>
      <c r="CZ92" s="95"/>
      <c r="DA92" s="95"/>
      <c r="DB92" s="95"/>
      <c r="DC92" s="95"/>
      <c r="DD92" s="95"/>
      <c r="DE92" s="95"/>
      <c r="DF92" s="95"/>
      <c r="DG92" s="95"/>
      <c r="DL92" s="108"/>
      <c r="DM92" s="108"/>
      <c r="DN92" s="109" t="str">
        <f aca="false">"D6.scenario.defInput["""&amp;B92&amp;"""] = {  "&amp;E$2&amp;":"""&amp;E92&amp;""",  "&amp;C$2&amp;":"""&amp;CLEAN(SUBSTITUTE(C92,"""",""""))&amp;""",  "&amp;F$2&amp;":"""&amp;F92&amp;""",  "&amp;H$2&amp;":"""&amp;CLEAN(SUBSTITUTE(H92,"""",""""))&amp;""", "&amp;J$2&amp;":"""&amp;J92&amp;""", "&amp;L$2&amp;":"""&amp;L92&amp;""", "&amp;M$2&amp;":"""&amp;M92&amp;""", "&amp;N$2&amp;":"""&amp;N92&amp;""", "&amp;O$2&amp;":"""&amp;O92&amp;""", "&amp;P$2&amp;":"""&amp;P92&amp;""", "&amp;Q$2&amp;":"""&amp;Q92&amp;""", "&amp;R$2&amp;":"""&amp;R92&amp;""", d11t:"""&amp;CJ92&amp;""",d11p:"""&amp;CK92&amp;""",d12t:"""&amp;CL92&amp;""",d12p:"""&amp;CM92&amp;""",d13t:"""&amp;CN92&amp;""",d13p:"""&amp;CO92&amp;""",d1w:"""&amp;CP92&amp;""",d1d:"""&amp;CQ92&amp;""", d21t:"""&amp;CR92&amp;""",d21p:"""&amp;CS92&amp;""",d22t:"""&amp;CT92&amp;""",d22p:"""&amp;CU92&amp;""",d23t:"""&amp;CV92&amp;""",d23p:"""&amp;CW92&amp;""",d2w:"""&amp;CX92&amp;""",d2d:"""&amp;CY92&amp;""", d31t:"""&amp;CZ92&amp;""",d31p:"""&amp;DA92&amp;""",d32t:"""&amp;DB92&amp;""",d32p:"""&amp;DC92&amp;""",d33t:"""&amp;DD92&amp;""",d33p:"""&amp;DE92&amp;""",d3w:"""&amp;DF92&amp;""",d3d:"""&amp;DG92&amp;"""}; "</f>
        <v>D6.scenario.defInput["i247"] = {  cons:"consHTsum",  title:"朝方の寒さが終わる時期",  unit:"",  text:"朝方の寒さはいつまでですか", inputType:"sel247", right:"", postfix:"", nodata:"", varType:"Number", min:"", max:"", defaultValue:"-1", d11t:"",d11p:"",d12t:"",d12p:"",d13t:"",d13p:"",d1w:"",d1d:"", d21t:"",d21p:"",d22t:"",d22p:"",d23t:"",d23p:"",d2w:"",d2d:"", d31t:"",d31p:"",d32t:"",d32p:"",d33t:"",d33p:"",d3w:"",d3d:""}; </v>
      </c>
      <c r="DO92" s="110"/>
      <c r="DP92" s="110"/>
      <c r="DQ92" s="111" t="str">
        <f aca="false">"D6.scenario.defSelectValue["""&amp;U92&amp;"""]= [ """&amp;CLEAN(V92)&amp;""", """&amp;CLEAN(W92)&amp;IF(X92="","",""", """&amp;CLEAN(X92))&amp;IF(Y92="","",""", """&amp;CLEAN(Y92))&amp;IF(Z92="","",""", """&amp;CLEAN(Z92))&amp;IF(AA92="","",""", """&amp;CLEAN(AA92))&amp;IF(AB92="","",""", """&amp;CLEAN(AB92))&amp;IF(AC92="","",""", """&amp;CLEAN(AC92))&amp;IF(AD92="","",""", """&amp;CLEAN(AD92))&amp;IF(AE92="","",""", """&amp;CLEAN(AE92))&amp;IF(AF92="","",""", """&amp;CLEAN(AF92))&amp;IF(AG92="","",""", """&amp;CLEAN(AG92))&amp;IF(AH92="","",""", """&amp;CLEAN(AH92))&amp;IF(AI92="","",""", """&amp;CLEAN(AI92))&amp;IF(AJ92="","",""", """&amp;CLEAN(AJ92))&amp;IF(AK92="","",""", """&amp;CLEAN(AK92))&amp;""" ];"</f>
        <v>D6.scenario.defSelectValue["sel247"]= [ "選んで下さい", "2月上旬", "2月下旬", "3月上旬", "3月下旬", "4月上旬", "4月下旬", "5月上旬", "5月下旬" ];</v>
      </c>
      <c r="DR92" s="112"/>
      <c r="DS92" s="112"/>
      <c r="DT92" s="112" t="str">
        <f aca="false">"D6.scenario.defSelectData['"&amp;U92&amp;"']= [ '"&amp;BC92&amp;"', '"&amp;BD92&amp;"', '"&amp;BE92&amp;IF(BF92="","","', '"&amp;BF92)&amp;IF(BG92="","","', '"&amp;BG92)&amp;IF(BH92="","","', '"&amp;BH92)&amp;IF(BI92="","","', '"&amp;BI92)&amp;IF(BJ92="","","', '"&amp;BJ92)&amp;IF(BK92="","","', '"&amp;BK92)&amp;IF(BL92="","","', '"&amp;BL92)&amp;IF(BM92="","","', '"&amp;BM92)&amp;IF(BN92="","","', '"&amp;BN92)&amp;IF(BO92="","","', '"&amp;BO92)&amp;IF(BP92="","","', '"&amp;BP92)&amp;IF(BQ92="","","', '"&amp;BQ92)&amp;IF(BR92="","","', '"&amp;BR92)&amp;"' ];"</f>
        <v>D6.scenario.defSelectData['sel247']= [ '-1', '1', '2', '3', '4', '5', '6', '7', '8' ];</v>
      </c>
    </row>
    <row r="93" s="88" customFormat="true" ht="43.5" hidden="false" customHeight="true" outlineLevel="0" collapsed="false">
      <c r="B93" s="105" t="s">
        <v>1551</v>
      </c>
      <c r="C93" s="103" t="s">
        <v>1552</v>
      </c>
      <c r="D93" s="104" t="s">
        <v>1552</v>
      </c>
      <c r="E93" s="95" t="s">
        <v>240</v>
      </c>
      <c r="F93" s="103"/>
      <c r="G93" s="104"/>
      <c r="H93" s="103" t="s">
        <v>1553</v>
      </c>
      <c r="I93" s="104" t="s">
        <v>1553</v>
      </c>
      <c r="J93" s="103" t="str">
        <f aca="false">IF(K93="","",K93)</f>
        <v>sel248</v>
      </c>
      <c r="K93" s="104" t="str">
        <f aca="false">"sel"&amp;MID($B93,2,5)</f>
        <v>sel248</v>
      </c>
      <c r="L93" s="105"/>
      <c r="M93" s="105"/>
      <c r="N93" s="105"/>
      <c r="O93" s="95" t="s">
        <v>931</v>
      </c>
      <c r="P93" s="105"/>
      <c r="Q93" s="105"/>
      <c r="R93" s="95" t="n">
        <v>-1</v>
      </c>
      <c r="T93" s="66"/>
      <c r="U93" s="106" t="str">
        <f aca="false">J93</f>
        <v>sel248</v>
      </c>
      <c r="V93" s="103" t="s">
        <v>979</v>
      </c>
      <c r="W93" s="103" t="s">
        <v>1333</v>
      </c>
      <c r="X93" s="103" t="s">
        <v>1334</v>
      </c>
      <c r="Y93" s="103" t="s">
        <v>1335</v>
      </c>
      <c r="Z93" s="103" t="s">
        <v>1098</v>
      </c>
      <c r="AA93" s="103"/>
      <c r="AB93" s="103"/>
      <c r="AC93" s="103"/>
      <c r="AD93" s="103"/>
      <c r="AE93" s="103"/>
      <c r="AF93" s="103"/>
      <c r="AG93" s="103"/>
      <c r="AH93" s="103"/>
      <c r="AI93" s="103"/>
      <c r="AJ93" s="103"/>
      <c r="AK93" s="103"/>
      <c r="AL93" s="104" t="s">
        <v>979</v>
      </c>
      <c r="AM93" s="107" t="s">
        <v>1333</v>
      </c>
      <c r="AN93" s="107" t="s">
        <v>1334</v>
      </c>
      <c r="AO93" s="107" t="s">
        <v>1335</v>
      </c>
      <c r="AP93" s="107" t="s">
        <v>1098</v>
      </c>
      <c r="AQ93" s="104"/>
      <c r="AR93" s="104"/>
      <c r="AS93" s="104"/>
      <c r="AT93" s="104"/>
      <c r="AU93" s="104"/>
      <c r="AV93" s="104"/>
      <c r="AW93" s="104"/>
      <c r="AX93" s="104"/>
      <c r="AY93" s="104"/>
      <c r="AZ93" s="104"/>
      <c r="BA93" s="104"/>
      <c r="BB93" s="66"/>
      <c r="BC93" s="103" t="n">
        <v>-1</v>
      </c>
      <c r="BD93" s="103" t="n">
        <v>1</v>
      </c>
      <c r="BE93" s="103" t="n">
        <v>2</v>
      </c>
      <c r="BF93" s="103" t="n">
        <v>3</v>
      </c>
      <c r="BG93" s="103" t="n">
        <v>4</v>
      </c>
      <c r="BH93" s="103"/>
      <c r="BI93" s="103"/>
      <c r="BJ93" s="103"/>
      <c r="BK93" s="103"/>
      <c r="BL93" s="103"/>
      <c r="BM93" s="103"/>
      <c r="BN93" s="103"/>
      <c r="BO93" s="103"/>
      <c r="BP93" s="103"/>
      <c r="BQ93" s="103"/>
      <c r="BR93" s="103"/>
      <c r="BS93" s="104" t="n">
        <v>-1</v>
      </c>
      <c r="BT93" s="104" t="n">
        <v>1</v>
      </c>
      <c r="BU93" s="104" t="n">
        <v>2</v>
      </c>
      <c r="BV93" s="104" t="n">
        <v>3</v>
      </c>
      <c r="BW93" s="104" t="n">
        <v>4</v>
      </c>
      <c r="BX93" s="104"/>
      <c r="BY93" s="104"/>
      <c r="BZ93" s="104"/>
      <c r="CA93" s="104"/>
      <c r="CB93" s="104"/>
      <c r="CC93" s="104"/>
      <c r="CD93" s="104"/>
      <c r="CE93" s="104"/>
      <c r="CF93" s="104"/>
      <c r="CG93" s="104"/>
      <c r="CH93" s="104"/>
      <c r="CJ93" s="95" t="n">
        <v>3</v>
      </c>
      <c r="CK93" s="95" t="n">
        <v>0</v>
      </c>
      <c r="CL93" s="95" t="n">
        <v>2</v>
      </c>
      <c r="CM93" s="95" t="n">
        <v>1</v>
      </c>
      <c r="CN93" s="95" t="n">
        <v>1</v>
      </c>
      <c r="CO93" s="95" t="n">
        <v>2</v>
      </c>
      <c r="CP93" s="95" t="n">
        <v>1</v>
      </c>
      <c r="CQ93" s="95" t="n">
        <v>1</v>
      </c>
      <c r="CR93" s="95"/>
      <c r="CS93" s="95"/>
      <c r="CT93" s="95"/>
      <c r="CU93" s="95"/>
      <c r="CV93" s="95"/>
      <c r="CW93" s="95"/>
      <c r="CX93" s="95"/>
      <c r="CY93" s="95"/>
      <c r="CZ93" s="95" t="n">
        <v>3</v>
      </c>
      <c r="DA93" s="95" t="n">
        <v>0</v>
      </c>
      <c r="DB93" s="95" t="n">
        <v>2</v>
      </c>
      <c r="DC93" s="95" t="n">
        <v>1</v>
      </c>
      <c r="DD93" s="95" t="n">
        <v>1</v>
      </c>
      <c r="DE93" s="95" t="n">
        <v>2</v>
      </c>
      <c r="DF93" s="95" t="n">
        <v>1</v>
      </c>
      <c r="DG93" s="95" t="n">
        <v>1</v>
      </c>
      <c r="DL93" s="108"/>
      <c r="DM93" s="108"/>
      <c r="DN93" s="109" t="str">
        <f aca="false">"D6.scenario.defInput["""&amp;B93&amp;"""] = {  "&amp;E$2&amp;":"""&amp;E93&amp;""",  "&amp;C$2&amp;":"""&amp;CLEAN(SUBSTITUTE(C93,"""",""""))&amp;""",  "&amp;F$2&amp;":"""&amp;F93&amp;""",  "&amp;H$2&amp;":"""&amp;CLEAN(SUBSTITUTE(H93,"""",""""))&amp;""", "&amp;J$2&amp;":"""&amp;J93&amp;""", "&amp;L$2&amp;":"""&amp;L93&amp;""", "&amp;M$2&amp;":"""&amp;M93&amp;""", "&amp;N$2&amp;":"""&amp;N93&amp;""", "&amp;O$2&amp;":"""&amp;O93&amp;""", "&amp;P$2&amp;":"""&amp;P93&amp;""", "&amp;Q$2&amp;":"""&amp;Q93&amp;""", "&amp;R$2&amp;":"""&amp;R93&amp;""", d11t:"""&amp;CJ93&amp;""",d11p:"""&amp;CK93&amp;""",d12t:"""&amp;CL93&amp;""",d12p:"""&amp;CM93&amp;""",d13t:"""&amp;CN93&amp;""",d13p:"""&amp;CO93&amp;""",d1w:"""&amp;CP93&amp;""",d1d:"""&amp;CQ93&amp;""", d21t:"""&amp;CR93&amp;""",d21p:"""&amp;CS93&amp;""",d22t:"""&amp;CT93&amp;""",d22p:"""&amp;CU93&amp;""",d23t:"""&amp;CV93&amp;""",d23p:"""&amp;CW93&amp;""",d2w:"""&amp;CX93&amp;""",d2d:"""&amp;CY93&amp;""", d31t:"""&amp;CZ93&amp;""",d31p:"""&amp;DA93&amp;""",d32t:"""&amp;DB93&amp;""",d32p:"""&amp;DC93&amp;""",d33t:"""&amp;DD93&amp;""",d33p:"""&amp;DE93&amp;""",d3w:"""&amp;DF93&amp;""",d3d:"""&amp;DG93&amp;"""}; "</f>
        <v>D6.scenario.defInput["i248"] = {  cons:"consHTsum",  title:"厚着の工夫",  unit:"",  text:"暖房をつけるまえにまず厚着をするよう心がけていますか", inputType:"sel248", right:"", postfix:"", nodata:"", varType:"Number", min:"", max:"", defaultValue:"-1", d11t:"3",d11p:"0",d12t:"2",d12p:"1",d13t:"1",d13p:"2",d1w:"1",d1d:"1", d21t:"",d21p:"",d22t:"",d22p:"",d23t:"",d23p:"",d2w:"",d2d:"", d31t:"3",d31p:"0",d32t:"2",d32p:"1",d33t:"1",d33p:"2",d3w:"1",d3d:"1"}; </v>
      </c>
      <c r="DO93" s="110"/>
      <c r="DP93" s="110"/>
      <c r="DQ93" s="111" t="str">
        <f aca="false">"D6.scenario.defSelectValue["""&amp;U93&amp;"""]= [ """&amp;CLEAN(V93)&amp;""", """&amp;CLEAN(W93)&amp;IF(X93="","",""", """&amp;CLEAN(X93))&amp;IF(Y93="","",""", """&amp;CLEAN(Y93))&amp;IF(Z93="","",""", """&amp;CLEAN(Z93))&amp;IF(AA93="","",""", """&amp;CLEAN(AA93))&amp;IF(AB93="","",""", """&amp;CLEAN(AB93))&amp;IF(AC93="","",""", """&amp;CLEAN(AC93))&amp;IF(AD93="","",""", """&amp;CLEAN(AD93))&amp;IF(AE93="","",""", """&amp;CLEAN(AE93))&amp;IF(AF93="","",""", """&amp;CLEAN(AF93))&amp;IF(AG93="","",""", """&amp;CLEAN(AG93))&amp;IF(AH93="","",""", """&amp;CLEAN(AH93))&amp;IF(AI93="","",""", """&amp;CLEAN(AI93))&amp;IF(AJ93="","",""", """&amp;CLEAN(AJ93))&amp;IF(AK93="","",""", """&amp;CLEAN(AK93))&amp;""" ];"</f>
        <v>D6.scenario.defSelectValue["sel248"]= [ "選んで下さい", "常にしている", "だいたいしている", "時々している", "していない" ];</v>
      </c>
      <c r="DR93" s="112"/>
      <c r="DS93" s="112"/>
      <c r="DT93" s="112" t="str">
        <f aca="false">"D6.scenario.defSelectData['"&amp;U93&amp;"']= [ '"&amp;BC93&amp;"', '"&amp;BD93&amp;"', '"&amp;BE93&amp;IF(BF93="","","', '"&amp;BF93)&amp;IF(BG93="","","', '"&amp;BG93)&amp;IF(BH93="","","', '"&amp;BH93)&amp;IF(BI93="","","', '"&amp;BI93)&amp;IF(BJ93="","","', '"&amp;BJ93)&amp;IF(BK93="","","', '"&amp;BK93)&amp;IF(BL93="","","', '"&amp;BL93)&amp;IF(BM93="","","', '"&amp;BM93)&amp;IF(BN93="","","', '"&amp;BN93)&amp;IF(BO93="","","', '"&amp;BO93)&amp;IF(BP93="","","', '"&amp;BP93)&amp;IF(BQ93="","","', '"&amp;BQ93)&amp;IF(BR93="","","', '"&amp;BR93)&amp;"' ];"</f>
        <v>D6.scenario.defSelectData['sel248']= [ '-1', '1', '2', '3', '4' ];</v>
      </c>
    </row>
    <row r="94" s="88" customFormat="true" ht="43.5" hidden="false" customHeight="true" outlineLevel="0" collapsed="false">
      <c r="B94" s="95" t="s">
        <v>1554</v>
      </c>
      <c r="C94" s="103" t="s">
        <v>1555</v>
      </c>
      <c r="D94" s="104" t="s">
        <v>1555</v>
      </c>
      <c r="E94" s="95" t="s">
        <v>240</v>
      </c>
      <c r="F94" s="103"/>
      <c r="G94" s="104"/>
      <c r="H94" s="103" t="s">
        <v>1556</v>
      </c>
      <c r="I94" s="104" t="s">
        <v>1556</v>
      </c>
      <c r="J94" s="103" t="str">
        <f aca="false">IF(K94="","",K94)</f>
        <v>sel249</v>
      </c>
      <c r="K94" s="104" t="str">
        <f aca="false">"sel"&amp;MID($B94,2,5)</f>
        <v>sel249</v>
      </c>
      <c r="L94" s="105"/>
      <c r="M94" s="105"/>
      <c r="N94" s="105"/>
      <c r="O94" s="95" t="s">
        <v>931</v>
      </c>
      <c r="P94" s="105"/>
      <c r="Q94" s="105"/>
      <c r="R94" s="95" t="n">
        <v>-1</v>
      </c>
      <c r="T94" s="66"/>
      <c r="U94" s="106" t="str">
        <f aca="false">J94</f>
        <v>sel249</v>
      </c>
      <c r="V94" s="103" t="s">
        <v>979</v>
      </c>
      <c r="W94" s="103" t="s">
        <v>1333</v>
      </c>
      <c r="X94" s="103" t="s">
        <v>1334</v>
      </c>
      <c r="Y94" s="103" t="s">
        <v>1335</v>
      </c>
      <c r="Z94" s="103" t="s">
        <v>1098</v>
      </c>
      <c r="AA94" s="103"/>
      <c r="AB94" s="103"/>
      <c r="AC94" s="103"/>
      <c r="AD94" s="103"/>
      <c r="AE94" s="103"/>
      <c r="AF94" s="103"/>
      <c r="AG94" s="103"/>
      <c r="AH94" s="103"/>
      <c r="AI94" s="103"/>
      <c r="AJ94" s="103"/>
      <c r="AK94" s="103"/>
      <c r="AL94" s="104" t="s">
        <v>979</v>
      </c>
      <c r="AM94" s="107" t="s">
        <v>1333</v>
      </c>
      <c r="AN94" s="107" t="s">
        <v>1334</v>
      </c>
      <c r="AO94" s="107" t="s">
        <v>1335</v>
      </c>
      <c r="AP94" s="107" t="s">
        <v>1098</v>
      </c>
      <c r="AQ94" s="104"/>
      <c r="AR94" s="104"/>
      <c r="AS94" s="104"/>
      <c r="AT94" s="104"/>
      <c r="AU94" s="104"/>
      <c r="AV94" s="104"/>
      <c r="AW94" s="104"/>
      <c r="AX94" s="104"/>
      <c r="AY94" s="104"/>
      <c r="AZ94" s="104"/>
      <c r="BA94" s="104"/>
      <c r="BB94" s="66"/>
      <c r="BC94" s="103" t="n">
        <v>-1</v>
      </c>
      <c r="BD94" s="103" t="n">
        <v>1</v>
      </c>
      <c r="BE94" s="103" t="n">
        <v>2</v>
      </c>
      <c r="BF94" s="103" t="n">
        <v>3</v>
      </c>
      <c r="BG94" s="103" t="n">
        <v>4</v>
      </c>
      <c r="BH94" s="103"/>
      <c r="BI94" s="103"/>
      <c r="BJ94" s="103"/>
      <c r="BK94" s="103"/>
      <c r="BL94" s="103"/>
      <c r="BM94" s="103"/>
      <c r="BN94" s="103"/>
      <c r="BO94" s="103"/>
      <c r="BP94" s="103"/>
      <c r="BQ94" s="103"/>
      <c r="BR94" s="103"/>
      <c r="BS94" s="104" t="n">
        <v>-1</v>
      </c>
      <c r="BT94" s="104" t="n">
        <v>1</v>
      </c>
      <c r="BU94" s="104" t="n">
        <v>2</v>
      </c>
      <c r="BV94" s="104" t="n">
        <v>3</v>
      </c>
      <c r="BW94" s="104" t="n">
        <v>4</v>
      </c>
      <c r="BX94" s="104"/>
      <c r="BY94" s="104"/>
      <c r="BZ94" s="104"/>
      <c r="CA94" s="104"/>
      <c r="CB94" s="104"/>
      <c r="CC94" s="104"/>
      <c r="CD94" s="104"/>
      <c r="CE94" s="104"/>
      <c r="CF94" s="104"/>
      <c r="CG94" s="104"/>
      <c r="CH94" s="104"/>
      <c r="CJ94" s="95" t="n">
        <v>4</v>
      </c>
      <c r="CK94" s="95" t="n">
        <v>2</v>
      </c>
      <c r="CL94" s="95" t="n">
        <v>3</v>
      </c>
      <c r="CM94" s="95" t="n">
        <v>1</v>
      </c>
      <c r="CN94" s="95"/>
      <c r="CO94" s="95"/>
      <c r="CP94" s="95" t="n">
        <v>1</v>
      </c>
      <c r="CQ94" s="95" t="n">
        <v>1</v>
      </c>
      <c r="CR94" s="95"/>
      <c r="CS94" s="95"/>
      <c r="CT94" s="95"/>
      <c r="CU94" s="95"/>
      <c r="CV94" s="95"/>
      <c r="CW94" s="95"/>
      <c r="CX94" s="95"/>
      <c r="CY94" s="95"/>
      <c r="CZ94" s="95" t="n">
        <v>4</v>
      </c>
      <c r="DA94" s="95" t="n">
        <v>2</v>
      </c>
      <c r="DB94" s="95" t="n">
        <v>3</v>
      </c>
      <c r="DC94" s="95" t="n">
        <v>1</v>
      </c>
      <c r="DD94" s="95"/>
      <c r="DE94" s="95"/>
      <c r="DF94" s="95" t="n">
        <v>2</v>
      </c>
      <c r="DG94" s="95" t="n">
        <v>1</v>
      </c>
      <c r="DL94" s="108"/>
      <c r="DM94" s="108"/>
      <c r="DN94" s="109" t="str">
        <f aca="false">"D6.scenario.defInput["""&amp;B94&amp;"""] = {  "&amp;E$2&amp;":"""&amp;E94&amp;""",  "&amp;C$2&amp;":"""&amp;CLEAN(SUBSTITUTE(C94,"""",""""))&amp;""",  "&amp;F$2&amp;":"""&amp;F94&amp;""",  "&amp;H$2&amp;":"""&amp;CLEAN(SUBSTITUTE(H94,"""",""""))&amp;""", "&amp;J$2&amp;":"""&amp;J94&amp;""", "&amp;L$2&amp;":"""&amp;L94&amp;""", "&amp;M$2&amp;":"""&amp;M94&amp;""", "&amp;N$2&amp;":"""&amp;N94&amp;""", "&amp;O$2&amp;":"""&amp;O94&amp;""", "&amp;P$2&amp;":"""&amp;P94&amp;""", "&amp;Q$2&amp;":"""&amp;Q94&amp;""", "&amp;R$2&amp;":"""&amp;R94&amp;""", d11t:"""&amp;CJ94&amp;""",d11p:"""&amp;CK94&amp;""",d12t:"""&amp;CL94&amp;""",d12p:"""&amp;CM94&amp;""",d13t:"""&amp;CN94&amp;""",d13p:"""&amp;CO94&amp;""",d1w:"""&amp;CP94&amp;""",d1d:"""&amp;CQ94&amp;""", d21t:"""&amp;CR94&amp;""",d21p:"""&amp;CS94&amp;""",d22t:"""&amp;CT94&amp;""",d22p:"""&amp;CU94&amp;""",d23t:"""&amp;CV94&amp;""",d23p:"""&amp;CW94&amp;""",d2w:"""&amp;CX94&amp;""",d2d:"""&amp;CY94&amp;""", d31t:"""&amp;CZ94&amp;""",d31p:"""&amp;DA94&amp;""",d32t:"""&amp;DB94&amp;""",d32p:"""&amp;DC94&amp;""",d33t:"""&amp;DD94&amp;""",d33p:"""&amp;DE94&amp;""",d3w:"""&amp;DF94&amp;""",d3d:"""&amp;DG94&amp;"""}; "</f>
        <v>D6.scenario.defInput["i249"] = {  cons:"consHTsum",  title:"不在部屋の暖房",  unit:"",  text:"人がいない部屋を暖房しないようにしていますか", inputType:"sel249", right:"", postfix:"", nodata:"", varType:"Number", min:"", max:"", defaultValue:"-1", d11t:"4",d11p:"2",d12t:"3",d12p:"1",d13t:"",d13p:"",d1w:"1",d1d:"1", d21t:"",d21p:"",d22t:"",d22p:"",d23t:"",d23p:"",d2w:"",d2d:"", d31t:"4",d31p:"2",d32t:"3",d32p:"1",d33t:"",d33p:"",d3w:"2",d3d:"1"}; </v>
      </c>
      <c r="DO94" s="110"/>
      <c r="DP94" s="110"/>
      <c r="DQ94" s="111" t="str">
        <f aca="false">"D6.scenario.defSelectValue["""&amp;U94&amp;"""]= [ """&amp;CLEAN(V94)&amp;""", """&amp;CLEAN(W94)&amp;IF(X94="","",""", """&amp;CLEAN(X94))&amp;IF(Y94="","",""", """&amp;CLEAN(Y94))&amp;IF(Z94="","",""", """&amp;CLEAN(Z94))&amp;IF(AA94="","",""", """&amp;CLEAN(AA94))&amp;IF(AB94="","",""", """&amp;CLEAN(AB94))&amp;IF(AC94="","",""", """&amp;CLEAN(AC94))&amp;IF(AD94="","",""", """&amp;CLEAN(AD94))&amp;IF(AE94="","",""", """&amp;CLEAN(AE94))&amp;IF(AF94="","",""", """&amp;CLEAN(AF94))&amp;IF(AG94="","",""", """&amp;CLEAN(AG94))&amp;IF(AH94="","",""", """&amp;CLEAN(AH94))&amp;IF(AI94="","",""", """&amp;CLEAN(AI94))&amp;IF(AJ94="","",""", """&amp;CLEAN(AJ94))&amp;IF(AK94="","",""", """&amp;CLEAN(AK94))&amp;""" ];"</f>
        <v>D6.scenario.defSelectValue["sel249"]= [ "選んで下さい", "常にしている", "だいたいしている", "時々している", "していない" ];</v>
      </c>
      <c r="DR94" s="112"/>
      <c r="DS94" s="112"/>
      <c r="DT94" s="112" t="str">
        <f aca="false">"D6.scenario.defSelectData['"&amp;U94&amp;"']= [ '"&amp;BC94&amp;"', '"&amp;BD94&amp;"', '"&amp;BE94&amp;IF(BF94="","","', '"&amp;BF94)&amp;IF(BG94="","","', '"&amp;BG94)&amp;IF(BH94="","","', '"&amp;BH94)&amp;IF(BI94="","","', '"&amp;BI94)&amp;IF(BJ94="","","', '"&amp;BJ94)&amp;IF(BK94="","","', '"&amp;BK94)&amp;IF(BL94="","","', '"&amp;BL94)&amp;IF(BM94="","","', '"&amp;BM94)&amp;IF(BN94="","","', '"&amp;BN94)&amp;IF(BO94="","","', '"&amp;BO94)&amp;IF(BP94="","","', '"&amp;BP94)&amp;IF(BQ94="","","', '"&amp;BQ94)&amp;IF(BR94="","","', '"&amp;BR94)&amp;"' ];"</f>
        <v>D6.scenario.defSelectData['sel249']= [ '-1', '1', '2', '3', '4' ];</v>
      </c>
    </row>
    <row r="95" s="88" customFormat="true" ht="43.5" hidden="false" customHeight="true" outlineLevel="0" collapsed="false">
      <c r="A95" s="66"/>
      <c r="B95" s="105" t="s">
        <v>1557</v>
      </c>
      <c r="C95" s="103" t="s">
        <v>1558</v>
      </c>
      <c r="D95" s="104" t="s">
        <v>1558</v>
      </c>
      <c r="E95" s="95" t="s">
        <v>244</v>
      </c>
      <c r="F95" s="103" t="s">
        <v>1295</v>
      </c>
      <c r="G95" s="104" t="s">
        <v>1295</v>
      </c>
      <c r="H95" s="103" t="s">
        <v>1559</v>
      </c>
      <c r="I95" s="104" t="s">
        <v>1559</v>
      </c>
      <c r="J95" s="103" t="str">
        <f aca="false">IF(K95="","",K95)</f>
        <v>sel261</v>
      </c>
      <c r="K95" s="104" t="str">
        <f aca="false">"sel"&amp;MID($B95,2,5)</f>
        <v>sel261</v>
      </c>
      <c r="L95" s="105"/>
      <c r="M95" s="105"/>
      <c r="N95" s="105"/>
      <c r="O95" s="95" t="s">
        <v>931</v>
      </c>
      <c r="P95" s="105"/>
      <c r="Q95" s="105"/>
      <c r="R95" s="95" t="n">
        <v>-1</v>
      </c>
      <c r="S95" s="66"/>
      <c r="T95" s="66"/>
      <c r="U95" s="106" t="str">
        <f aca="false">J95</f>
        <v>sel261</v>
      </c>
      <c r="V95" s="103" t="s">
        <v>979</v>
      </c>
      <c r="W95" s="103" t="s">
        <v>1170</v>
      </c>
      <c r="X95" s="103" t="s">
        <v>1400</v>
      </c>
      <c r="Y95" s="103" t="s">
        <v>1401</v>
      </c>
      <c r="Z95" s="103" t="s">
        <v>1297</v>
      </c>
      <c r="AA95" s="103" t="s">
        <v>1402</v>
      </c>
      <c r="AB95" s="103" t="s">
        <v>1298</v>
      </c>
      <c r="AC95" s="103" t="s">
        <v>1403</v>
      </c>
      <c r="AD95" s="103" t="s">
        <v>1404</v>
      </c>
      <c r="AE95" s="103" t="s">
        <v>1300</v>
      </c>
      <c r="AF95" s="103" t="s">
        <v>1301</v>
      </c>
      <c r="AG95" s="103"/>
      <c r="AH95" s="103"/>
      <c r="AI95" s="103"/>
      <c r="AJ95" s="103"/>
      <c r="AK95" s="103"/>
      <c r="AL95" s="104" t="s">
        <v>979</v>
      </c>
      <c r="AM95" s="107" t="s">
        <v>1170</v>
      </c>
      <c r="AN95" s="104" t="s">
        <v>1400</v>
      </c>
      <c r="AO95" s="104" t="s">
        <v>1401</v>
      </c>
      <c r="AP95" s="107" t="s">
        <v>1297</v>
      </c>
      <c r="AQ95" s="107" t="s">
        <v>1402</v>
      </c>
      <c r="AR95" s="107" t="s">
        <v>1298</v>
      </c>
      <c r="AS95" s="107" t="s">
        <v>1403</v>
      </c>
      <c r="AT95" s="104" t="s">
        <v>1404</v>
      </c>
      <c r="AU95" s="104" t="s">
        <v>1300</v>
      </c>
      <c r="AV95" s="104" t="s">
        <v>1301</v>
      </c>
      <c r="AW95" s="104"/>
      <c r="AX95" s="104"/>
      <c r="AY95" s="104"/>
      <c r="AZ95" s="104"/>
      <c r="BA95" s="104"/>
      <c r="BB95" s="66"/>
      <c r="BC95" s="103" t="n">
        <v>-1</v>
      </c>
      <c r="BD95" s="103" t="n">
        <v>0</v>
      </c>
      <c r="BE95" s="103" t="n">
        <v>1</v>
      </c>
      <c r="BF95" s="103" t="n">
        <v>2</v>
      </c>
      <c r="BG95" s="103" t="n">
        <v>3</v>
      </c>
      <c r="BH95" s="103" t="n">
        <v>4</v>
      </c>
      <c r="BI95" s="103" t="n">
        <v>6</v>
      </c>
      <c r="BJ95" s="103" t="n">
        <v>8</v>
      </c>
      <c r="BK95" s="103" t="n">
        <v>12</v>
      </c>
      <c r="BL95" s="103" t="n">
        <v>16</v>
      </c>
      <c r="BM95" s="103" t="n">
        <v>24</v>
      </c>
      <c r="BN95" s="103"/>
      <c r="BO95" s="103"/>
      <c r="BP95" s="103"/>
      <c r="BQ95" s="103"/>
      <c r="BR95" s="103"/>
      <c r="BS95" s="104" t="n">
        <v>-1</v>
      </c>
      <c r="BT95" s="104" t="n">
        <v>0</v>
      </c>
      <c r="BU95" s="104" t="n">
        <v>1</v>
      </c>
      <c r="BV95" s="104" t="n">
        <v>2</v>
      </c>
      <c r="BW95" s="104" t="n">
        <v>3</v>
      </c>
      <c r="BX95" s="104" t="n">
        <v>4</v>
      </c>
      <c r="BY95" s="104" t="n">
        <v>6</v>
      </c>
      <c r="BZ95" s="104" t="n">
        <v>8</v>
      </c>
      <c r="CA95" s="104" t="n">
        <v>12</v>
      </c>
      <c r="CB95" s="104" t="n">
        <v>16</v>
      </c>
      <c r="CC95" s="104" t="n">
        <v>24</v>
      </c>
      <c r="CD95" s="104"/>
      <c r="CE95" s="104"/>
      <c r="CF95" s="104"/>
      <c r="CG95" s="104"/>
      <c r="CH95" s="104"/>
      <c r="CJ95" s="95"/>
      <c r="CK95" s="95"/>
      <c r="CL95" s="95"/>
      <c r="CM95" s="95"/>
      <c r="CN95" s="95"/>
      <c r="CO95" s="95"/>
      <c r="CP95" s="95"/>
      <c r="CQ95" s="95"/>
      <c r="CR95" s="95"/>
      <c r="CS95" s="95"/>
      <c r="CT95" s="95"/>
      <c r="CU95" s="95"/>
      <c r="CV95" s="95"/>
      <c r="CW95" s="95"/>
      <c r="CX95" s="95"/>
      <c r="CY95" s="95"/>
      <c r="CZ95" s="95" t="n">
        <v>24</v>
      </c>
      <c r="DA95" s="95" t="n">
        <v>0</v>
      </c>
      <c r="DB95" s="95" t="n">
        <v>8</v>
      </c>
      <c r="DC95" s="95" t="n">
        <v>1</v>
      </c>
      <c r="DD95" s="95"/>
      <c r="DE95" s="95"/>
      <c r="DF95" s="95" t="n">
        <v>1</v>
      </c>
      <c r="DG95" s="95" t="n">
        <v>1</v>
      </c>
      <c r="DL95" s="108"/>
      <c r="DM95" s="108"/>
      <c r="DN95" s="109" t="str">
        <f aca="false">"D6.scenario.defInput["""&amp;B95&amp;"""] = {  "&amp;E$2&amp;":"""&amp;E95&amp;""",  "&amp;C$2&amp;":"""&amp;CLEAN(SUBSTITUTE(C95,"""",""""))&amp;""",  "&amp;F$2&amp;":"""&amp;F95&amp;""",  "&amp;H$2&amp;":"""&amp;CLEAN(SUBSTITUTE(H95,"""",""""))&amp;""", "&amp;J$2&amp;":"""&amp;J95&amp;""", "&amp;L$2&amp;":"""&amp;L95&amp;""", "&amp;M$2&amp;":"""&amp;M95&amp;""", "&amp;N$2&amp;":"""&amp;N95&amp;""", "&amp;O$2&amp;":"""&amp;O95&amp;""", "&amp;P$2&amp;":"""&amp;P95&amp;""", "&amp;Q$2&amp;":"""&amp;Q95&amp;""", "&amp;R$2&amp;":"""&amp;R95&amp;""", d11t:"""&amp;CJ95&amp;""",d11p:"""&amp;CK95&amp;""",d12t:"""&amp;CL95&amp;""",d12p:"""&amp;CM95&amp;""",d13t:"""&amp;CN95&amp;""",d13p:"""&amp;CO95&amp;""",d1w:"""&amp;CP95&amp;""",d1d:"""&amp;CQ95&amp;""", d21t:"""&amp;CR95&amp;""",d21p:"""&amp;CS95&amp;""",d22t:"""&amp;CT95&amp;""",d22p:"""&amp;CU95&amp;""",d23t:"""&amp;CV95&amp;""",d23p:"""&amp;CW95&amp;""",d2w:"""&amp;CX95&amp;""",d2d:"""&amp;CY95&amp;""", d31t:"""&amp;CZ95&amp;""",d31p:"""&amp;DA95&amp;""",d32t:"""&amp;DB95&amp;""",d32p:"""&amp;DC95&amp;""",d33t:"""&amp;DD95&amp;""",d33p:"""&amp;DE95&amp;""",d3w:"""&amp;DF95&amp;""",d3d:"""&amp;DG95&amp;"""}; "</f>
        <v>D6.scenario.defInput["i261"] = {  cons:"consCOsum",  title:"冷房時間",  unit:"時間",  text:"夏に冷房は1日に何時間くらい使いますか。", inputType:"sel261", right:"", postfix:"", nodata:"", varType:"Number", min:"", max:"", defaultValue:"-1", d11t:"",d11p:"",d12t:"",d12p:"",d13t:"",d13p:"",d1w:"",d1d:"", d21t:"",d21p:"",d22t:"",d22p:"",d23t:"",d23p:"",d2w:"",d2d:"", d31t:"24",d31p:"0",d32t:"8",d32p:"1",d33t:"",d33p:"",d3w:"1",d3d:"1"}; </v>
      </c>
      <c r="DO95" s="110"/>
      <c r="DP95" s="110"/>
      <c r="DQ95" s="111" t="str">
        <f aca="false">"D6.scenario.defSelectValue["""&amp;U95&amp;"""]= [ """&amp;CLEAN(V95)&amp;""", """&amp;CLEAN(W95)&amp;IF(X95="","",""", """&amp;CLEAN(X95))&amp;IF(Y95="","",""", """&amp;CLEAN(Y95))&amp;IF(Z95="","",""", """&amp;CLEAN(Z95))&amp;IF(AA95="","",""", """&amp;CLEAN(AA95))&amp;IF(AB95="","",""", """&amp;CLEAN(AB95))&amp;IF(AC95="","",""", """&amp;CLEAN(AC95))&amp;IF(AD95="","",""", """&amp;CLEAN(AD95))&amp;IF(AE95="","",""", """&amp;CLEAN(AE95))&amp;IF(AF95="","",""", """&amp;CLEAN(AF95))&amp;IF(AG95="","",""", """&amp;CLEAN(AG95))&amp;IF(AH95="","",""", """&amp;CLEAN(AH95))&amp;IF(AI95="","",""", """&amp;CLEAN(AI95))&amp;IF(AJ95="","",""", """&amp;CLEAN(AJ95))&amp;IF(AK95="","",""", """&amp;CLEAN(AK95))&amp;""" ];"</f>
        <v>D6.scenario.defSelectValue["sel261"]= [ "選んで下さい", "使わない", "1時間", "2時間", "3時間", "4時間", "6時間", "8時間", "12時間", "16時間", "24時間" ];</v>
      </c>
      <c r="DR95" s="112"/>
      <c r="DS95" s="112"/>
      <c r="DT95" s="112" t="str">
        <f aca="false">"D6.scenario.defSelectData['"&amp;U95&amp;"']= [ '"&amp;BC95&amp;"', '"&amp;BD95&amp;"', '"&amp;BE95&amp;IF(BF95="","","', '"&amp;BF95)&amp;IF(BG95="","","', '"&amp;BG95)&amp;IF(BH95="","","', '"&amp;BH95)&amp;IF(BI95="","","', '"&amp;BI95)&amp;IF(BJ95="","","', '"&amp;BJ95)&amp;IF(BK95="","","', '"&amp;BK95)&amp;IF(BL95="","","', '"&amp;BL95)&amp;IF(BM95="","","', '"&amp;BM95)&amp;IF(BN95="","","', '"&amp;BN95)&amp;IF(BO95="","","', '"&amp;BO95)&amp;IF(BP95="","","', '"&amp;BP95)&amp;IF(BQ95="","","', '"&amp;BQ95)&amp;IF(BR95="","","', '"&amp;BR95)&amp;"' ];"</f>
        <v>D6.scenario.defSelectData['sel261']= [ '-1', '0', '1', '2', '3', '4', '6', '8', '12', '16', '24' ];</v>
      </c>
    </row>
    <row r="96" s="88" customFormat="true" ht="43.5" hidden="false" customHeight="true" outlineLevel="0" collapsed="false">
      <c r="A96" s="66"/>
      <c r="B96" s="105" t="s">
        <v>1560</v>
      </c>
      <c r="C96" s="103" t="s">
        <v>1561</v>
      </c>
      <c r="D96" s="104" t="s">
        <v>1561</v>
      </c>
      <c r="E96" s="95" t="s">
        <v>244</v>
      </c>
      <c r="F96" s="103"/>
      <c r="G96" s="104"/>
      <c r="H96" s="103" t="s">
        <v>1562</v>
      </c>
      <c r="I96" s="104" t="s">
        <v>1562</v>
      </c>
      <c r="J96" s="103" t="str">
        <f aca="false">IF(K96="","",K96)</f>
        <v>sel262</v>
      </c>
      <c r="K96" s="104" t="str">
        <f aca="false">"sel"&amp;MID($B96,2,5)</f>
        <v>sel262</v>
      </c>
      <c r="L96" s="105"/>
      <c r="M96" s="105"/>
      <c r="N96" s="105"/>
      <c r="O96" s="95" t="s">
        <v>931</v>
      </c>
      <c r="P96" s="105"/>
      <c r="Q96" s="105"/>
      <c r="R96" s="95" t="n">
        <v>-1</v>
      </c>
      <c r="S96" s="66"/>
      <c r="T96" s="66"/>
      <c r="U96" s="106" t="str">
        <f aca="false">J96</f>
        <v>sel262</v>
      </c>
      <c r="V96" s="103" t="s">
        <v>979</v>
      </c>
      <c r="W96" s="103" t="s">
        <v>1170</v>
      </c>
      <c r="X96" s="103" t="s">
        <v>1563</v>
      </c>
      <c r="Y96" s="103" t="s">
        <v>1564</v>
      </c>
      <c r="Z96" s="103" t="s">
        <v>1565</v>
      </c>
      <c r="AA96" s="103" t="s">
        <v>1566</v>
      </c>
      <c r="AB96" s="103"/>
      <c r="AC96" s="103"/>
      <c r="AD96" s="103"/>
      <c r="AE96" s="103"/>
      <c r="AF96" s="103"/>
      <c r="AG96" s="103"/>
      <c r="AH96" s="103"/>
      <c r="AI96" s="103"/>
      <c r="AJ96" s="103"/>
      <c r="AK96" s="103"/>
      <c r="AL96" s="104" t="s">
        <v>979</v>
      </c>
      <c r="AM96" s="104" t="s">
        <v>1170</v>
      </c>
      <c r="AN96" s="104" t="s">
        <v>1563</v>
      </c>
      <c r="AO96" s="107" t="s">
        <v>1564</v>
      </c>
      <c r="AP96" s="107" t="s">
        <v>1565</v>
      </c>
      <c r="AQ96" s="107" t="s">
        <v>1566</v>
      </c>
      <c r="AR96" s="104"/>
      <c r="AS96" s="104"/>
      <c r="AT96" s="104"/>
      <c r="AU96" s="104"/>
      <c r="AV96" s="104"/>
      <c r="AW96" s="104"/>
      <c r="AX96" s="104"/>
      <c r="AY96" s="104"/>
      <c r="AZ96" s="104"/>
      <c r="BA96" s="104"/>
      <c r="BB96" s="66"/>
      <c r="BC96" s="103" t="n">
        <v>-1</v>
      </c>
      <c r="BD96" s="103" t="n">
        <v>0</v>
      </c>
      <c r="BE96" s="103" t="n">
        <v>1</v>
      </c>
      <c r="BF96" s="103" t="n">
        <v>2</v>
      </c>
      <c r="BG96" s="103" t="n">
        <v>3</v>
      </c>
      <c r="BH96" s="103" t="n">
        <v>4</v>
      </c>
      <c r="BI96" s="103"/>
      <c r="BJ96" s="103"/>
      <c r="BK96" s="103"/>
      <c r="BL96" s="103"/>
      <c r="BM96" s="103"/>
      <c r="BN96" s="103"/>
      <c r="BO96" s="103"/>
      <c r="BP96" s="103"/>
      <c r="BQ96" s="103"/>
      <c r="BR96" s="103"/>
      <c r="BS96" s="104" t="n">
        <v>-1</v>
      </c>
      <c r="BT96" s="104" t="n">
        <v>0</v>
      </c>
      <c r="BU96" s="104" t="n">
        <v>1</v>
      </c>
      <c r="BV96" s="104" t="n">
        <v>2</v>
      </c>
      <c r="BW96" s="104" t="n">
        <v>3</v>
      </c>
      <c r="BX96" s="104" t="n">
        <v>4</v>
      </c>
      <c r="BY96" s="104"/>
      <c r="BZ96" s="104"/>
      <c r="CA96" s="104"/>
      <c r="CB96" s="104"/>
      <c r="CC96" s="104"/>
      <c r="CD96" s="104"/>
      <c r="CE96" s="104"/>
      <c r="CF96" s="104"/>
      <c r="CG96" s="104"/>
      <c r="CH96" s="104"/>
      <c r="CJ96" s="95"/>
      <c r="CK96" s="95"/>
      <c r="CL96" s="95"/>
      <c r="CM96" s="95"/>
      <c r="CN96" s="95"/>
      <c r="CO96" s="95"/>
      <c r="CP96" s="95"/>
      <c r="CQ96" s="95"/>
      <c r="CR96" s="95"/>
      <c r="CS96" s="95"/>
      <c r="CT96" s="95"/>
      <c r="CU96" s="95"/>
      <c r="CV96" s="95"/>
      <c r="CW96" s="95"/>
      <c r="CX96" s="95"/>
      <c r="CY96" s="95"/>
      <c r="CZ96" s="95"/>
      <c r="DA96" s="95"/>
      <c r="DB96" s="95"/>
      <c r="DC96" s="95"/>
      <c r="DD96" s="95"/>
      <c r="DE96" s="95"/>
      <c r="DF96" s="95"/>
      <c r="DG96" s="95"/>
      <c r="DL96" s="108"/>
      <c r="DM96" s="108"/>
      <c r="DN96" s="109" t="str">
        <f aca="false">"D6.scenario.defInput["""&amp;B96&amp;"""] = {  "&amp;E$2&amp;":"""&amp;E96&amp;""",  "&amp;C$2&amp;":"""&amp;CLEAN(SUBSTITUTE(C96,"""",""""))&amp;""",  "&amp;F$2&amp;":"""&amp;F96&amp;""",  "&amp;H$2&amp;":"""&amp;CLEAN(SUBSTITUTE(H96,"""",""""))&amp;""", "&amp;J$2&amp;":"""&amp;J96&amp;""", "&amp;L$2&amp;":"""&amp;L96&amp;""", "&amp;M$2&amp;":"""&amp;M96&amp;""", "&amp;N$2&amp;":"""&amp;N96&amp;""", "&amp;O$2&amp;":"""&amp;O96&amp;""", "&amp;P$2&amp;":"""&amp;P96&amp;""", "&amp;Q$2&amp;":"""&amp;Q96&amp;""", "&amp;R$2&amp;":"""&amp;R96&amp;""", d11t:"""&amp;CJ96&amp;""",d11p:"""&amp;CK96&amp;""",d12t:"""&amp;CL96&amp;""",d12p:"""&amp;CM96&amp;""",d13t:"""&amp;CN96&amp;""",d13p:"""&amp;CO96&amp;""",d1w:"""&amp;CP96&amp;""",d1d:"""&amp;CQ96&amp;""", d21t:"""&amp;CR96&amp;""",d21p:"""&amp;CS96&amp;""",d22t:"""&amp;CT96&amp;""",d22p:"""&amp;CU96&amp;""",d23t:"""&amp;CV96&amp;""",d23p:"""&amp;CW96&amp;""",d2w:"""&amp;CX96&amp;""",d2d:"""&amp;CY96&amp;""", d31t:"""&amp;CZ96&amp;""",d31p:"""&amp;DA96&amp;""",d32t:"""&amp;DB96&amp;""",d32p:"""&amp;DC96&amp;""",d33t:"""&amp;DD96&amp;""",d33p:"""&amp;DE96&amp;""",d3w:"""&amp;DF96&amp;""",d3d:"""&amp;DG96&amp;"""}; "</f>
        <v>D6.scenario.defInput["i262"] = {  cons:"consCOsum",  title:"冷房時間帯",  unit:"",  text:"主にいつの時間帯に冷房を使いますか", inputType:"sel262", right:"", postfix:"", nodata:"", varType:"Number", min:"", max:"", defaultValue:"-1", d11t:"",d11p:"",d12t:"",d12p:"",d13t:"",d13p:"",d1w:"",d1d:"", d21t:"",d21p:"",d22t:"",d22p:"",d23t:"",d23p:"",d2w:"",d2d:"", d31t:"",d31p:"",d32t:"",d32p:"",d33t:"",d33p:"",d3w:"",d3d:""}; </v>
      </c>
      <c r="DO96" s="110"/>
      <c r="DP96" s="110"/>
      <c r="DQ96" s="111" t="str">
        <f aca="false">"D6.scenario.defSelectValue["""&amp;U96&amp;"""]= [ """&amp;CLEAN(V96)&amp;""", """&amp;CLEAN(W96)&amp;IF(X96="","",""", """&amp;CLEAN(X96))&amp;IF(Y96="","",""", """&amp;CLEAN(Y96))&amp;IF(Z96="","",""", """&amp;CLEAN(Z96))&amp;IF(AA96="","",""", """&amp;CLEAN(AA96))&amp;IF(AB96="","",""", """&amp;CLEAN(AB96))&amp;IF(AC96="","",""", """&amp;CLEAN(AC96))&amp;IF(AD96="","",""", """&amp;CLEAN(AD96))&amp;IF(AE96="","",""", """&amp;CLEAN(AE96))&amp;IF(AF96="","",""", """&amp;CLEAN(AF96))&amp;IF(AG96="","",""", """&amp;CLEAN(AG96))&amp;IF(AH96="","",""", """&amp;CLEAN(AH96))&amp;IF(AI96="","",""", """&amp;CLEAN(AI96))&amp;IF(AJ96="","",""", """&amp;CLEAN(AJ96))&amp;IF(AK96="","",""", """&amp;CLEAN(AK96))&amp;""" ];"</f>
        <v>D6.scenario.defSelectValue["sel262"]= [ "選んで下さい", "使わない", "朝", "昼", "夕方", "夜" ];</v>
      </c>
      <c r="DR96" s="112"/>
      <c r="DS96" s="112"/>
      <c r="DT96" s="112" t="str">
        <f aca="false">"D6.scenario.defSelectData['"&amp;U96&amp;"']= [ '"&amp;BC96&amp;"', '"&amp;BD96&amp;"', '"&amp;BE96&amp;IF(BF96="","","', '"&amp;BF96)&amp;IF(BG96="","","', '"&amp;BG96)&amp;IF(BH96="","","', '"&amp;BH96)&amp;IF(BI96="","","', '"&amp;BI96)&amp;IF(BJ96="","","', '"&amp;BJ96)&amp;IF(BK96="","","', '"&amp;BK96)&amp;IF(BL96="","","', '"&amp;BL96)&amp;IF(BM96="","","', '"&amp;BM96)&amp;IF(BN96="","","', '"&amp;BN96)&amp;IF(BO96="","","', '"&amp;BO96)&amp;IF(BP96="","","', '"&amp;BP96)&amp;IF(BQ96="","","', '"&amp;BQ96)&amp;IF(BR96="","","', '"&amp;BR96)&amp;"' ];"</f>
        <v>D6.scenario.defSelectData['sel262']= [ '-1', '0', '1', '2', '3', '4' ];</v>
      </c>
    </row>
    <row r="97" s="88" customFormat="true" ht="43.5" hidden="false" customHeight="true" outlineLevel="0" collapsed="false">
      <c r="A97" s="66"/>
      <c r="B97" s="105" t="s">
        <v>1567</v>
      </c>
      <c r="C97" s="103" t="s">
        <v>693</v>
      </c>
      <c r="D97" s="104" t="s">
        <v>693</v>
      </c>
      <c r="E97" s="95" t="s">
        <v>244</v>
      </c>
      <c r="F97" s="103" t="s">
        <v>1406</v>
      </c>
      <c r="G97" s="104" t="s">
        <v>1406</v>
      </c>
      <c r="H97" s="103" t="s">
        <v>1568</v>
      </c>
      <c r="I97" s="104" t="s">
        <v>1568</v>
      </c>
      <c r="J97" s="103" t="str">
        <f aca="false">IF(K97="","",K97)</f>
        <v>sel263</v>
      </c>
      <c r="K97" s="104" t="str">
        <f aca="false">"sel"&amp;MID($B97,2,5)</f>
        <v>sel263</v>
      </c>
      <c r="L97" s="105"/>
      <c r="M97" s="105"/>
      <c r="N97" s="105"/>
      <c r="O97" s="95" t="s">
        <v>931</v>
      </c>
      <c r="P97" s="105"/>
      <c r="Q97" s="105"/>
      <c r="R97" s="95" t="n">
        <v>-1</v>
      </c>
      <c r="S97" s="66"/>
      <c r="T97" s="66"/>
      <c r="U97" s="106" t="str">
        <f aca="false">J97</f>
        <v>sel263</v>
      </c>
      <c r="V97" s="103" t="s">
        <v>979</v>
      </c>
      <c r="W97" s="116" t="s">
        <v>1569</v>
      </c>
      <c r="X97" s="103" t="s">
        <v>1415</v>
      </c>
      <c r="Y97" s="116" t="s">
        <v>1570</v>
      </c>
      <c r="Z97" s="103" t="s">
        <v>1571</v>
      </c>
      <c r="AA97" s="116" t="s">
        <v>1572</v>
      </c>
      <c r="AB97" s="103" t="s">
        <v>1573</v>
      </c>
      <c r="AC97" s="116" t="s">
        <v>1574</v>
      </c>
      <c r="AD97" s="103" t="s">
        <v>1170</v>
      </c>
      <c r="AE97" s="103"/>
      <c r="AF97" s="103"/>
      <c r="AG97" s="103"/>
      <c r="AH97" s="103"/>
      <c r="AI97" s="103"/>
      <c r="AJ97" s="103"/>
      <c r="AK97" s="103"/>
      <c r="AL97" s="104" t="s">
        <v>979</v>
      </c>
      <c r="AM97" s="118" t="s">
        <v>1569</v>
      </c>
      <c r="AN97" s="104" t="s">
        <v>1415</v>
      </c>
      <c r="AO97" s="117" t="s">
        <v>1570</v>
      </c>
      <c r="AP97" s="107" t="s">
        <v>1571</v>
      </c>
      <c r="AQ97" s="117" t="s">
        <v>1572</v>
      </c>
      <c r="AR97" s="104" t="s">
        <v>1573</v>
      </c>
      <c r="AS97" s="118" t="s">
        <v>1574</v>
      </c>
      <c r="AT97" s="107" t="s">
        <v>1170</v>
      </c>
      <c r="AU97" s="104"/>
      <c r="AV97" s="104"/>
      <c r="AW97" s="104"/>
      <c r="AX97" s="104"/>
      <c r="AY97" s="104"/>
      <c r="AZ97" s="104"/>
      <c r="BA97" s="104"/>
      <c r="BB97" s="66"/>
      <c r="BC97" s="103" t="n">
        <v>-1</v>
      </c>
      <c r="BD97" s="103" t="n">
        <v>24</v>
      </c>
      <c r="BE97" s="103" t="n">
        <v>25</v>
      </c>
      <c r="BF97" s="103" t="n">
        <v>26</v>
      </c>
      <c r="BG97" s="103" t="n">
        <v>27</v>
      </c>
      <c r="BH97" s="103" t="n">
        <v>28</v>
      </c>
      <c r="BI97" s="103" t="n">
        <v>29</v>
      </c>
      <c r="BJ97" s="103" t="n">
        <v>30</v>
      </c>
      <c r="BK97" s="103" t="n">
        <v>0</v>
      </c>
      <c r="BL97" s="103"/>
      <c r="BM97" s="103"/>
      <c r="BN97" s="103"/>
      <c r="BO97" s="103"/>
      <c r="BP97" s="103"/>
      <c r="BQ97" s="103"/>
      <c r="BR97" s="103"/>
      <c r="BS97" s="104" t="n">
        <v>-1</v>
      </c>
      <c r="BT97" s="104" t="n">
        <v>24</v>
      </c>
      <c r="BU97" s="104" t="n">
        <v>25</v>
      </c>
      <c r="BV97" s="104" t="n">
        <v>26</v>
      </c>
      <c r="BW97" s="104" t="n">
        <v>27</v>
      </c>
      <c r="BX97" s="104" t="n">
        <v>28</v>
      </c>
      <c r="BY97" s="104" t="n">
        <v>29</v>
      </c>
      <c r="BZ97" s="104" t="n">
        <v>30</v>
      </c>
      <c r="CA97" s="104" t="n">
        <v>0</v>
      </c>
      <c r="CB97" s="104"/>
      <c r="CC97" s="104"/>
      <c r="CD97" s="104"/>
      <c r="CE97" s="104"/>
      <c r="CF97" s="104"/>
      <c r="CG97" s="104"/>
      <c r="CH97" s="104"/>
      <c r="CJ97" s="95" t="n">
        <v>28</v>
      </c>
      <c r="CK97" s="95" t="n">
        <v>2</v>
      </c>
      <c r="CL97" s="95" t="n">
        <v>25</v>
      </c>
      <c r="CM97" s="95" t="n">
        <v>1</v>
      </c>
      <c r="CN97" s="95"/>
      <c r="CO97" s="95"/>
      <c r="CP97" s="95" t="n">
        <v>1</v>
      </c>
      <c r="CQ97" s="95" t="n">
        <v>1</v>
      </c>
      <c r="CR97" s="95"/>
      <c r="CS97" s="95"/>
      <c r="CT97" s="95"/>
      <c r="CU97" s="95"/>
      <c r="CV97" s="95"/>
      <c r="CW97" s="95"/>
      <c r="CX97" s="95"/>
      <c r="CY97" s="95"/>
      <c r="CZ97" s="95" t="n">
        <v>28</v>
      </c>
      <c r="DA97" s="95" t="n">
        <v>2</v>
      </c>
      <c r="DB97" s="95" t="n">
        <v>25</v>
      </c>
      <c r="DC97" s="95" t="n">
        <v>1</v>
      </c>
      <c r="DD97" s="95"/>
      <c r="DE97" s="95"/>
      <c r="DF97" s="95" t="n">
        <v>1</v>
      </c>
      <c r="DG97" s="95" t="n">
        <v>1</v>
      </c>
      <c r="DL97" s="108"/>
      <c r="DM97" s="108"/>
      <c r="DN97" s="109" t="str">
        <f aca="false">"D6.scenario.defInput["""&amp;B97&amp;"""] = {  "&amp;E$2&amp;":"""&amp;E97&amp;""",  "&amp;C$2&amp;":"""&amp;CLEAN(SUBSTITUTE(C97,"""",""""))&amp;""",  "&amp;F$2&amp;":"""&amp;F97&amp;""",  "&amp;H$2&amp;":"""&amp;CLEAN(SUBSTITUTE(H97,"""",""""))&amp;""", "&amp;J$2&amp;":"""&amp;J97&amp;""", "&amp;L$2&amp;":"""&amp;L97&amp;""", "&amp;M$2&amp;":"""&amp;M97&amp;""", "&amp;N$2&amp;":"""&amp;N97&amp;""", "&amp;O$2&amp;":"""&amp;O97&amp;""", "&amp;P$2&amp;":"""&amp;P97&amp;""", "&amp;Q$2&amp;":"""&amp;Q97&amp;""", "&amp;R$2&amp;":"""&amp;R97&amp;""", d11t:"""&amp;CJ97&amp;""",d11p:"""&amp;CK97&amp;""",d12t:"""&amp;CL97&amp;""",d12p:"""&amp;CM97&amp;""",d13t:"""&amp;CN97&amp;""",d13p:"""&amp;CO97&amp;""",d1w:"""&amp;CP97&amp;""",d1d:"""&amp;CQ97&amp;""", d21t:"""&amp;CR97&amp;""",d21p:"""&amp;CS97&amp;""",d22t:"""&amp;CT97&amp;""",d22p:"""&amp;CU97&amp;""",d23t:"""&amp;CV97&amp;""",d23p:"""&amp;CW97&amp;""",d2w:"""&amp;CX97&amp;""",d2d:"""&amp;CY97&amp;""", d31t:"""&amp;CZ97&amp;""",d31p:"""&amp;DA97&amp;""",d32t:"""&amp;DB97&amp;""",d32p:"""&amp;DC97&amp;""",d33t:"""&amp;DD97&amp;""",d33p:"""&amp;DE97&amp;""",d3w:"""&amp;DF97&amp;""",d3d:"""&amp;DG97&amp;"""}; "</f>
        <v>D6.scenario.defInput["i263"] = {  cons:"consCOsum",  title:"冷房設定温度",  unit:"℃",  text:"冷房をするときには何℃に設定しますか。", inputType:"sel263", right:"", postfix:"", nodata:"", varType:"Number", min:"", max:"", defaultValue:"-1", d11t:"28",d11p:"2",d12t:"25",d12p:"1",d13t:"",d13p:"",d1w:"1",d1d:"1", d21t:"",d21p:"",d22t:"",d22p:"",d23t:"",d23p:"",d2w:"",d2d:"", d31t:"28",d31p:"2",d32t:"25",d32p:"1",d33t:"",d33p:"",d3w:"1",d3d:"1"}; </v>
      </c>
      <c r="DO97" s="110"/>
      <c r="DP97" s="110"/>
      <c r="DQ97" s="111" t="str">
        <f aca="false">"D6.scenario.defSelectValue["""&amp;U97&amp;"""]= [ """&amp;CLEAN(V97)&amp;""", """&amp;CLEAN(W97)&amp;IF(X97="","",""", """&amp;CLEAN(X97))&amp;IF(Y97="","",""", """&amp;CLEAN(Y97))&amp;IF(Z97="","",""", """&amp;CLEAN(Z97))&amp;IF(AA97="","",""", """&amp;CLEAN(AA97))&amp;IF(AB97="","",""", """&amp;CLEAN(AB97))&amp;IF(AC97="","",""", """&amp;CLEAN(AC97))&amp;IF(AD97="","",""", """&amp;CLEAN(AD97))&amp;IF(AE97="","",""", """&amp;CLEAN(AE97))&amp;IF(AF97="","",""", """&amp;CLEAN(AF97))&amp;IF(AG97="","",""", """&amp;CLEAN(AG97))&amp;IF(AH97="","",""", """&amp;CLEAN(AH97))&amp;IF(AI97="","",""", """&amp;CLEAN(AI97))&amp;IF(AJ97="","",""", """&amp;CLEAN(AJ97))&amp;IF(AK97="","",""", """&amp;CLEAN(AK97))&amp;""" ];"</f>
        <v>D6.scenario.defSelectValue["sel263"]= [ "選んで下さい", "24℃以下", "25℃", "26℃", "27℃", "28℃", "29℃", "30℃", "使わない" ];</v>
      </c>
      <c r="DR97" s="112"/>
      <c r="DS97" s="112"/>
      <c r="DT97" s="112" t="str">
        <f aca="false">"D6.scenario.defSelectData['"&amp;U97&amp;"']= [ '"&amp;BC97&amp;"', '"&amp;BD97&amp;"', '"&amp;BE97&amp;IF(BF97="","","', '"&amp;BF97)&amp;IF(BG97="","","', '"&amp;BG97)&amp;IF(BH97="","","', '"&amp;BH97)&amp;IF(BI97="","","', '"&amp;BI97)&amp;IF(BJ97="","","', '"&amp;BJ97)&amp;IF(BK97="","","', '"&amp;BK97)&amp;IF(BL97="","","', '"&amp;BL97)&amp;IF(BM97="","","', '"&amp;BM97)&amp;IF(BN97="","","', '"&amp;BN97)&amp;IF(BO97="","","', '"&amp;BO97)&amp;IF(BP97="","","', '"&amp;BP97)&amp;IF(BQ97="","","', '"&amp;BQ97)&amp;IF(BR97="","","', '"&amp;BR97)&amp;"' ];"</f>
        <v>D6.scenario.defSelectData['sel263']= [ '-1', '24', '25', '26', '27', '28', '29', '30', '0' ];</v>
      </c>
    </row>
    <row r="98" s="88" customFormat="true" ht="43.5" hidden="false" customHeight="true" outlineLevel="0" collapsed="false">
      <c r="A98" s="66"/>
      <c r="B98" s="105" t="s">
        <v>1575</v>
      </c>
      <c r="C98" s="103" t="s">
        <v>1576</v>
      </c>
      <c r="D98" s="104" t="s">
        <v>1576</v>
      </c>
      <c r="E98" s="95" t="s">
        <v>244</v>
      </c>
      <c r="F98" s="103" t="s">
        <v>1338</v>
      </c>
      <c r="G98" s="104" t="s">
        <v>1338</v>
      </c>
      <c r="H98" s="103" t="s">
        <v>1577</v>
      </c>
      <c r="I98" s="104" t="s">
        <v>1576</v>
      </c>
      <c r="J98" s="103" t="str">
        <f aca="false">IF(K98="","",K98)</f>
        <v>sel264</v>
      </c>
      <c r="K98" s="104" t="str">
        <f aca="false">"sel"&amp;MID($B98,2,5)</f>
        <v>sel264</v>
      </c>
      <c r="L98" s="105"/>
      <c r="M98" s="105"/>
      <c r="N98" s="105"/>
      <c r="O98" s="95" t="s">
        <v>931</v>
      </c>
      <c r="P98" s="105"/>
      <c r="Q98" s="105"/>
      <c r="R98" s="95" t="n">
        <v>-1</v>
      </c>
      <c r="S98" s="66"/>
      <c r="T98" s="66"/>
      <c r="U98" s="106" t="str">
        <f aca="false">J98</f>
        <v>sel264</v>
      </c>
      <c r="V98" s="103" t="s">
        <v>979</v>
      </c>
      <c r="W98" s="103" t="s">
        <v>1578</v>
      </c>
      <c r="X98" s="116" t="s">
        <v>1421</v>
      </c>
      <c r="Y98" s="103" t="s">
        <v>1341</v>
      </c>
      <c r="Z98" s="103" t="s">
        <v>1422</v>
      </c>
      <c r="AA98" s="103" t="s">
        <v>1342</v>
      </c>
      <c r="AB98" s="103" t="s">
        <v>1423</v>
      </c>
      <c r="AC98" s="103" t="s">
        <v>1343</v>
      </c>
      <c r="AD98" s="103"/>
      <c r="AE98" s="103"/>
      <c r="AF98" s="103"/>
      <c r="AG98" s="103"/>
      <c r="AH98" s="103"/>
      <c r="AI98" s="103"/>
      <c r="AJ98" s="103"/>
      <c r="AK98" s="103"/>
      <c r="AL98" s="104" t="s">
        <v>979</v>
      </c>
      <c r="AM98" s="107" t="s">
        <v>1578</v>
      </c>
      <c r="AN98" s="118" t="s">
        <v>1421</v>
      </c>
      <c r="AO98" s="107" t="s">
        <v>1341</v>
      </c>
      <c r="AP98" s="107" t="s">
        <v>1422</v>
      </c>
      <c r="AQ98" s="104" t="s">
        <v>1342</v>
      </c>
      <c r="AR98" s="104" t="s">
        <v>1423</v>
      </c>
      <c r="AS98" s="104" t="s">
        <v>1343</v>
      </c>
      <c r="AT98" s="104"/>
      <c r="AU98" s="104"/>
      <c r="AV98" s="104"/>
      <c r="AW98" s="104"/>
      <c r="AX98" s="104"/>
      <c r="AY98" s="104"/>
      <c r="AZ98" s="104"/>
      <c r="BA98" s="104"/>
      <c r="BB98" s="66"/>
      <c r="BC98" s="103" t="n">
        <v>-1</v>
      </c>
      <c r="BD98" s="103" t="n">
        <v>0</v>
      </c>
      <c r="BE98" s="103" t="n">
        <v>1</v>
      </c>
      <c r="BF98" s="103" t="n">
        <v>2</v>
      </c>
      <c r="BG98" s="103" t="n">
        <v>3</v>
      </c>
      <c r="BH98" s="103" t="n">
        <v>4</v>
      </c>
      <c r="BI98" s="103" t="n">
        <v>5</v>
      </c>
      <c r="BJ98" s="103" t="n">
        <v>6</v>
      </c>
      <c r="BK98" s="103"/>
      <c r="BL98" s="103"/>
      <c r="BM98" s="103"/>
      <c r="BN98" s="103"/>
      <c r="BO98" s="103"/>
      <c r="BP98" s="103"/>
      <c r="BQ98" s="103"/>
      <c r="BR98" s="103"/>
      <c r="BS98" s="104" t="n">
        <v>-1</v>
      </c>
      <c r="BT98" s="104" t="n">
        <v>0</v>
      </c>
      <c r="BU98" s="104" t="n">
        <v>1</v>
      </c>
      <c r="BV98" s="104" t="n">
        <v>2</v>
      </c>
      <c r="BW98" s="104" t="n">
        <v>3</v>
      </c>
      <c r="BX98" s="104" t="n">
        <v>4</v>
      </c>
      <c r="BY98" s="104" t="n">
        <v>5</v>
      </c>
      <c r="BZ98" s="104" t="n">
        <v>6</v>
      </c>
      <c r="CA98" s="104"/>
      <c r="CB98" s="104"/>
      <c r="CC98" s="104"/>
      <c r="CD98" s="104"/>
      <c r="CE98" s="104"/>
      <c r="CF98" s="104"/>
      <c r="CG98" s="104"/>
      <c r="CH98" s="104"/>
      <c r="CJ98" s="95"/>
      <c r="CK98" s="95"/>
      <c r="CL98" s="95"/>
      <c r="CM98" s="95"/>
      <c r="CN98" s="95"/>
      <c r="CO98" s="95"/>
      <c r="CP98" s="95"/>
      <c r="CQ98" s="95"/>
      <c r="CR98" s="95"/>
      <c r="CS98" s="95"/>
      <c r="CT98" s="95"/>
      <c r="CU98" s="95"/>
      <c r="CV98" s="95"/>
      <c r="CW98" s="95"/>
      <c r="CX98" s="95"/>
      <c r="CY98" s="95"/>
      <c r="CZ98" s="95"/>
      <c r="DA98" s="95"/>
      <c r="DB98" s="95"/>
      <c r="DC98" s="95"/>
      <c r="DD98" s="95"/>
      <c r="DE98" s="95"/>
      <c r="DF98" s="95"/>
      <c r="DG98" s="95"/>
      <c r="DL98" s="108"/>
      <c r="DM98" s="108"/>
      <c r="DN98" s="109" t="str">
        <f aca="false">"D6.scenario.defInput["""&amp;B98&amp;"""] = {  "&amp;E$2&amp;":"""&amp;E98&amp;""",  "&amp;C$2&amp;":"""&amp;CLEAN(SUBSTITUTE(C98,"""",""""))&amp;""",  "&amp;F$2&amp;":"""&amp;F98&amp;""",  "&amp;H$2&amp;":"""&amp;CLEAN(SUBSTITUTE(H98,"""",""""))&amp;""", "&amp;J$2&amp;":"""&amp;J98&amp;""", "&amp;L$2&amp;":"""&amp;L98&amp;""", "&amp;M$2&amp;":"""&amp;M98&amp;""", "&amp;N$2&amp;":"""&amp;N98&amp;""", "&amp;O$2&amp;":"""&amp;O98&amp;""", "&amp;P$2&amp;":"""&amp;P98&amp;""", "&amp;Q$2&amp;":"""&amp;Q98&amp;""", "&amp;R$2&amp;":"""&amp;R98&amp;""", d11t:"""&amp;CJ98&amp;""",d11p:"""&amp;CK98&amp;""",d12t:"""&amp;CL98&amp;""",d12p:"""&amp;CM98&amp;""",d13t:"""&amp;CN98&amp;""",d13p:"""&amp;CO98&amp;""",d1w:"""&amp;CP98&amp;""",d1d:"""&amp;CQ98&amp;""", d21t:"""&amp;CR98&amp;""",d21p:"""&amp;CS98&amp;""",d22t:"""&amp;CT98&amp;""",d22p:"""&amp;CU98&amp;""",d23t:"""&amp;CV98&amp;""",d23p:"""&amp;CW98&amp;""",d2w:"""&amp;CX98&amp;""",d2d:"""&amp;CY98&amp;""", d31t:"""&amp;CZ98&amp;""",d31p:"""&amp;DA98&amp;""",d32t:"""&amp;DB98&amp;""",d32p:"""&amp;DC98&amp;""",d33t:"""&amp;DD98&amp;""",d33p:"""&amp;DE98&amp;""",d3w:"""&amp;DF98&amp;""",d3d:"""&amp;DG98&amp;"""}; "</f>
        <v>D6.scenario.defInput["i264"] = {  cons:"consCOsum",  title:"冷房する期間（除湿含む）",  unit:"ヶ月",  text:"冷房する期間（除湿含む）は何ヶ月ですか", inputType:"sel264", right:"", postfix:"", nodata:"", varType:"Number", min:"", max:"", defaultValue:"-1", d11t:"",d11p:"",d12t:"",d12p:"",d13t:"",d13p:"",d1w:"",d1d:"", d21t:"",d21p:"",d22t:"",d22p:"",d23t:"",d23p:"",d2w:"",d2d:"", d31t:"",d31p:"",d32t:"",d32p:"",d33t:"",d33p:"",d3w:"",d3d:""}; </v>
      </c>
      <c r="DO98" s="110"/>
      <c r="DP98" s="110"/>
      <c r="DQ98" s="111" t="str">
        <f aca="false">"D6.scenario.defSelectValue["""&amp;U98&amp;"""]= [ """&amp;CLEAN(V98)&amp;""", """&amp;CLEAN(W98)&amp;IF(X98="","",""", """&amp;CLEAN(X98))&amp;IF(Y98="","",""", """&amp;CLEAN(Y98))&amp;IF(Z98="","",""", """&amp;CLEAN(Z98))&amp;IF(AA98="","",""", """&amp;CLEAN(AA98))&amp;IF(AB98="","",""", """&amp;CLEAN(AB98))&amp;IF(AC98="","",""", """&amp;CLEAN(AC98))&amp;IF(AD98="","",""", """&amp;CLEAN(AD98))&amp;IF(AE98="","",""", """&amp;CLEAN(AE98))&amp;IF(AF98="","",""", """&amp;CLEAN(AF98))&amp;IF(AG98="","",""", """&amp;CLEAN(AG98))&amp;IF(AH98="","",""", """&amp;CLEAN(AH98))&amp;IF(AI98="","",""", """&amp;CLEAN(AI98))&amp;IF(AJ98="","",""", """&amp;CLEAN(AJ98))&amp;IF(AK98="","",""", """&amp;CLEAN(AK98))&amp;""" ];"</f>
        <v>D6.scenario.defSelectValue["sel264"]= [ "選んで下さい", "冷房をしない", "1ヶ月", "2ヶ月", "3ヶ月", "4ヶ月", "5ヶ月", "6ヶ月" ];</v>
      </c>
      <c r="DR98" s="112"/>
      <c r="DS98" s="112"/>
      <c r="DT98" s="112" t="str">
        <f aca="false">"D6.scenario.defSelectData['"&amp;U98&amp;"']= [ '"&amp;BC98&amp;"', '"&amp;BD98&amp;"', '"&amp;BE98&amp;IF(BF98="","","', '"&amp;BF98)&amp;IF(BG98="","","', '"&amp;BG98)&amp;IF(BH98="","","', '"&amp;BH98)&amp;IF(BI98="","","', '"&amp;BI98)&amp;IF(BJ98="","","', '"&amp;BJ98)&amp;IF(BK98="","","', '"&amp;BK98)&amp;IF(BL98="","","', '"&amp;BL98)&amp;IF(BM98="","","', '"&amp;BM98)&amp;IF(BN98="","","', '"&amp;BN98)&amp;IF(BO98="","","', '"&amp;BO98)&amp;IF(BP98="","","', '"&amp;BP98)&amp;IF(BQ98="","","', '"&amp;BQ98)&amp;IF(BR98="","","', '"&amp;BR98)&amp;"' ];"</f>
        <v>D6.scenario.defSelectData['sel264']= [ '-1', '0', '1', '2', '3', '4', '5', '6' ];</v>
      </c>
    </row>
    <row r="99" s="88" customFormat="true" ht="43.5" hidden="false" customHeight="true" outlineLevel="0" collapsed="false">
      <c r="B99" s="105" t="s">
        <v>1579</v>
      </c>
      <c r="C99" s="103" t="s">
        <v>1580</v>
      </c>
      <c r="D99" s="104" t="s">
        <v>1580</v>
      </c>
      <c r="E99" s="95" t="s">
        <v>244</v>
      </c>
      <c r="F99" s="103"/>
      <c r="G99" s="104"/>
      <c r="H99" s="103" t="s">
        <v>1581</v>
      </c>
      <c r="I99" s="104" t="s">
        <v>1581</v>
      </c>
      <c r="J99" s="103" t="str">
        <f aca="false">IF(K99="","",K99)</f>
        <v>sel265</v>
      </c>
      <c r="K99" s="104" t="str">
        <f aca="false">"sel"&amp;MID($B99,2,5)</f>
        <v>sel265</v>
      </c>
      <c r="L99" s="105"/>
      <c r="M99" s="105"/>
      <c r="N99" s="105"/>
      <c r="O99" s="95" t="s">
        <v>931</v>
      </c>
      <c r="P99" s="105"/>
      <c r="Q99" s="105"/>
      <c r="R99" s="95" t="n">
        <v>-1</v>
      </c>
      <c r="T99" s="66"/>
      <c r="U99" s="106" t="str">
        <f aca="false">J99</f>
        <v>sel265</v>
      </c>
      <c r="V99" s="103" t="s">
        <v>979</v>
      </c>
      <c r="W99" s="103" t="s">
        <v>1582</v>
      </c>
      <c r="X99" s="103" t="s">
        <v>1583</v>
      </c>
      <c r="Y99" s="103" t="s">
        <v>1584</v>
      </c>
      <c r="Z99" s="103" t="s">
        <v>1585</v>
      </c>
      <c r="AA99" s="103" t="s">
        <v>1586</v>
      </c>
      <c r="AB99" s="103"/>
      <c r="AC99" s="103"/>
      <c r="AD99" s="103"/>
      <c r="AE99" s="103"/>
      <c r="AF99" s="103"/>
      <c r="AG99" s="103"/>
      <c r="AH99" s="103"/>
      <c r="AI99" s="103"/>
      <c r="AJ99" s="103"/>
      <c r="AK99" s="103"/>
      <c r="AL99" s="104" t="s">
        <v>979</v>
      </c>
      <c r="AM99" s="107" t="s">
        <v>1582</v>
      </c>
      <c r="AN99" s="107" t="s">
        <v>1583</v>
      </c>
      <c r="AO99" s="107" t="s">
        <v>1587</v>
      </c>
      <c r="AP99" s="107" t="s">
        <v>1585</v>
      </c>
      <c r="AQ99" s="107" t="s">
        <v>1586</v>
      </c>
      <c r="AR99" s="104"/>
      <c r="AS99" s="104"/>
      <c r="AT99" s="104"/>
      <c r="AU99" s="104"/>
      <c r="AV99" s="104"/>
      <c r="AW99" s="104"/>
      <c r="AX99" s="104"/>
      <c r="AY99" s="104"/>
      <c r="AZ99" s="104"/>
      <c r="BA99" s="104"/>
      <c r="BB99" s="66"/>
      <c r="BC99" s="103" t="n">
        <v>-1</v>
      </c>
      <c r="BD99" s="103" t="n">
        <v>1</v>
      </c>
      <c r="BE99" s="103" t="n">
        <v>2</v>
      </c>
      <c r="BF99" s="103" t="n">
        <v>3</v>
      </c>
      <c r="BG99" s="103" t="n">
        <v>4</v>
      </c>
      <c r="BH99" s="103" t="n">
        <v>5</v>
      </c>
      <c r="BI99" s="103"/>
      <c r="BJ99" s="103"/>
      <c r="BK99" s="103"/>
      <c r="BL99" s="103"/>
      <c r="BM99" s="103"/>
      <c r="BN99" s="103"/>
      <c r="BO99" s="103"/>
      <c r="BP99" s="103"/>
      <c r="BQ99" s="103"/>
      <c r="BR99" s="103"/>
      <c r="BS99" s="104" t="n">
        <v>-1</v>
      </c>
      <c r="BT99" s="104" t="n">
        <v>1</v>
      </c>
      <c r="BU99" s="104" t="n">
        <v>2</v>
      </c>
      <c r="BV99" s="104" t="n">
        <v>3</v>
      </c>
      <c r="BW99" s="104" t="n">
        <v>4</v>
      </c>
      <c r="BX99" s="104" t="n">
        <v>5</v>
      </c>
      <c r="BY99" s="104"/>
      <c r="BZ99" s="104"/>
      <c r="CA99" s="104"/>
      <c r="CB99" s="104"/>
      <c r="CC99" s="104"/>
      <c r="CD99" s="104"/>
      <c r="CE99" s="104"/>
      <c r="CF99" s="104"/>
      <c r="CG99" s="104"/>
      <c r="CH99" s="104"/>
      <c r="CJ99" s="95"/>
      <c r="CK99" s="95"/>
      <c r="CL99" s="95"/>
      <c r="CM99" s="95"/>
      <c r="CN99" s="95"/>
      <c r="CO99" s="95"/>
      <c r="CP99" s="95"/>
      <c r="CQ99" s="95"/>
      <c r="CR99" s="95"/>
      <c r="CS99" s="95"/>
      <c r="CT99" s="95"/>
      <c r="CU99" s="95"/>
      <c r="CV99" s="95"/>
      <c r="CW99" s="95"/>
      <c r="CX99" s="95"/>
      <c r="CY99" s="95"/>
      <c r="CZ99" s="95"/>
      <c r="DA99" s="95"/>
      <c r="DB99" s="95"/>
      <c r="DC99" s="95"/>
      <c r="DD99" s="95"/>
      <c r="DE99" s="95"/>
      <c r="DF99" s="95"/>
      <c r="DG99" s="95"/>
      <c r="DL99" s="108"/>
      <c r="DM99" s="108"/>
      <c r="DN99" s="109" t="str">
        <f aca="false">"D6.scenario.defInput["""&amp;B99&amp;"""] = {  "&amp;E$2&amp;":"""&amp;E99&amp;""",  "&amp;C$2&amp;":"""&amp;CLEAN(SUBSTITUTE(C99,"""",""""))&amp;""",  "&amp;F$2&amp;":"""&amp;F99&amp;""",  "&amp;H$2&amp;":"""&amp;CLEAN(SUBSTITUTE(H99,"""",""""))&amp;""", "&amp;J$2&amp;":"""&amp;J99&amp;""", "&amp;L$2&amp;":"""&amp;L99&amp;""", "&amp;M$2&amp;":"""&amp;M99&amp;""", "&amp;N$2&amp;":"""&amp;N99&amp;""", "&amp;O$2&amp;":"""&amp;O99&amp;""", "&amp;P$2&amp;":"""&amp;P99&amp;""", "&amp;Q$2&amp;":"""&amp;Q99&amp;""", "&amp;R$2&amp;":"""&amp;R99&amp;""", d11t:"""&amp;CJ99&amp;""",d11p:"""&amp;CK99&amp;""",d12t:"""&amp;CL99&amp;""",d12p:"""&amp;CM99&amp;""",d13t:"""&amp;CN99&amp;""",d13p:"""&amp;CO99&amp;""",d1w:"""&amp;CP99&amp;""",d1d:"""&amp;CQ99&amp;""", d21t:"""&amp;CR99&amp;""",d21p:"""&amp;CS99&amp;""",d22t:"""&amp;CT99&amp;""",d22p:"""&amp;CU99&amp;""",d23t:"""&amp;CV99&amp;""",d23p:"""&amp;CW99&amp;""",d2w:"""&amp;CX99&amp;""",d2d:"""&amp;CY99&amp;""", d31t:"""&amp;CZ99&amp;""",d31p:"""&amp;DA99&amp;""",d32t:"""&amp;DB99&amp;""",d32p:"""&amp;DC99&amp;""",d33t:"""&amp;DD99&amp;""",d33p:"""&amp;DE99&amp;""",d3w:"""&amp;DF99&amp;""",d3d:"""&amp;DG99&amp;"""}; "</f>
        <v>D6.scenario.defInput["i265"] = {  cons:"consCOsum",  title:"部屋の暑さ",  unit:"",  text:"その部屋は暑いですか", inputType:"sel265", right:"", postfix:"", nodata:"", varType:"Number", min:"", max:"", defaultValue:"-1", d11t:"",d11p:"",d12t:"",d12p:"",d13t:"",d13p:"",d1w:"",d1d:"", d21t:"",d21p:"",d22t:"",d22p:"",d23t:"",d23p:"",d2w:"",d2d:"", d31t:"",d31p:"",d32t:"",d32p:"",d33t:"",d33p:"",d3w:"",d3d:""}; </v>
      </c>
      <c r="DO99" s="110"/>
      <c r="DP99" s="110"/>
      <c r="DQ99" s="111" t="str">
        <f aca="false">"D6.scenario.defSelectValue["""&amp;U99&amp;"""]= [ """&amp;CLEAN(V99)&amp;""", """&amp;CLEAN(W99)&amp;IF(X99="","",""", """&amp;CLEAN(X99))&amp;IF(Y99="","",""", """&amp;CLEAN(Y99))&amp;IF(Z99="","",""", """&amp;CLEAN(Z99))&amp;IF(AA99="","",""", """&amp;CLEAN(AA99))&amp;IF(AB99="","",""", """&amp;CLEAN(AB99))&amp;IF(AC99="","",""", """&amp;CLEAN(AC99))&amp;IF(AD99="","",""", """&amp;CLEAN(AD99))&amp;IF(AE99="","",""", """&amp;CLEAN(AE99))&amp;IF(AF99="","",""", """&amp;CLEAN(AF99))&amp;IF(AG99="","",""", """&amp;CLEAN(AG99))&amp;IF(AH99="","",""", """&amp;CLEAN(AH99))&amp;IF(AI99="","",""", """&amp;CLEAN(AI99))&amp;IF(AJ99="","",""", """&amp;CLEAN(AJ99))&amp;IF(AK99="","",""", """&amp;CLEAN(AK99))&amp;""" ];"</f>
        <v>D6.scenario.defSelectValue["sel265"]= [ "選んで下さい", "冷房すると暑さは感じない", "やや暑い", "なかなか涼しくならない", "冷房しても暑い", "冷房はしない" ];</v>
      </c>
      <c r="DR99" s="112"/>
      <c r="DS99" s="112"/>
      <c r="DT99" s="112" t="str">
        <f aca="false">"D6.scenario.defSelectData['"&amp;U99&amp;"']= [ '"&amp;BC99&amp;"', '"&amp;BD99&amp;"', '"&amp;BE99&amp;IF(BF99="","","', '"&amp;BF99)&amp;IF(BG99="","","', '"&amp;BG99)&amp;IF(BH99="","","', '"&amp;BH99)&amp;IF(BI99="","","', '"&amp;BI99)&amp;IF(BJ99="","","', '"&amp;BJ99)&amp;IF(BK99="","","', '"&amp;BK99)&amp;IF(BL99="","","', '"&amp;BL99)&amp;IF(BM99="","","', '"&amp;BM99)&amp;IF(BN99="","","', '"&amp;BN99)&amp;IF(BO99="","","', '"&amp;BO99)&amp;IF(BP99="","","', '"&amp;BP99)&amp;IF(BQ99="","","', '"&amp;BQ99)&amp;IF(BR99="","","', '"&amp;BR99)&amp;"' ];"</f>
        <v>D6.scenario.defSelectData['sel265']= [ '-1', '1', '2', '3', '4', '5' ];</v>
      </c>
    </row>
    <row r="100" s="88" customFormat="true" ht="43.5" hidden="false" customHeight="true" outlineLevel="0" collapsed="false">
      <c r="B100" s="105" t="s">
        <v>1588</v>
      </c>
      <c r="C100" s="103" t="s">
        <v>1589</v>
      </c>
      <c r="D100" s="104" t="s">
        <v>1590</v>
      </c>
      <c r="E100" s="95" t="s">
        <v>244</v>
      </c>
      <c r="F100" s="103"/>
      <c r="G100" s="104"/>
      <c r="H100" s="103" t="s">
        <v>1591</v>
      </c>
      <c r="I100" s="104" t="s">
        <v>1591</v>
      </c>
      <c r="J100" s="103" t="str">
        <f aca="false">IF(K100="","",K100)</f>
        <v>sel266</v>
      </c>
      <c r="K100" s="104" t="str">
        <f aca="false">"sel"&amp;MID($B100,2,5)</f>
        <v>sel266</v>
      </c>
      <c r="L100" s="105"/>
      <c r="M100" s="105"/>
      <c r="N100" s="105"/>
      <c r="O100" s="95" t="s">
        <v>931</v>
      </c>
      <c r="P100" s="105"/>
      <c r="Q100" s="105"/>
      <c r="R100" s="95" t="n">
        <v>-1</v>
      </c>
      <c r="T100" s="66"/>
      <c r="U100" s="106" t="str">
        <f aca="false">J100</f>
        <v>sel266</v>
      </c>
      <c r="V100" s="103" t="s">
        <v>979</v>
      </c>
      <c r="W100" s="103" t="s">
        <v>1592</v>
      </c>
      <c r="X100" s="103" t="s">
        <v>1593</v>
      </c>
      <c r="Y100" s="103" t="s">
        <v>1594</v>
      </c>
      <c r="Z100" s="103" t="s">
        <v>1062</v>
      </c>
      <c r="AA100" s="103"/>
      <c r="AB100" s="103"/>
      <c r="AC100" s="103"/>
      <c r="AD100" s="103"/>
      <c r="AE100" s="103"/>
      <c r="AF100" s="103"/>
      <c r="AG100" s="103"/>
      <c r="AH100" s="103"/>
      <c r="AI100" s="103"/>
      <c r="AJ100" s="103"/>
      <c r="AK100" s="103"/>
      <c r="AL100" s="104" t="s">
        <v>979</v>
      </c>
      <c r="AM100" s="107" t="s">
        <v>1592</v>
      </c>
      <c r="AN100" s="107" t="s">
        <v>1593</v>
      </c>
      <c r="AO100" s="107" t="s">
        <v>1594</v>
      </c>
      <c r="AP100" s="104" t="s">
        <v>1062</v>
      </c>
      <c r="AQ100" s="104"/>
      <c r="AR100" s="104"/>
      <c r="AS100" s="104"/>
      <c r="AT100" s="104"/>
      <c r="AU100" s="104"/>
      <c r="AV100" s="104"/>
      <c r="AW100" s="104"/>
      <c r="AX100" s="104"/>
      <c r="AY100" s="104"/>
      <c r="AZ100" s="104"/>
      <c r="BA100" s="104"/>
      <c r="BB100" s="66"/>
      <c r="BC100" s="103" t="n">
        <v>-1</v>
      </c>
      <c r="BD100" s="103" t="n">
        <v>1</v>
      </c>
      <c r="BE100" s="103" t="n">
        <v>2</v>
      </c>
      <c r="BF100" s="103" t="n">
        <v>3</v>
      </c>
      <c r="BG100" s="103" t="n">
        <v>4</v>
      </c>
      <c r="BH100" s="103"/>
      <c r="BI100" s="103"/>
      <c r="BJ100" s="103"/>
      <c r="BK100" s="103"/>
      <c r="BL100" s="103"/>
      <c r="BM100" s="103"/>
      <c r="BN100" s="103"/>
      <c r="BO100" s="103"/>
      <c r="BP100" s="103"/>
      <c r="BQ100" s="103"/>
      <c r="BR100" s="103"/>
      <c r="BS100" s="104" t="n">
        <v>-1</v>
      </c>
      <c r="BT100" s="104" t="n">
        <v>1</v>
      </c>
      <c r="BU100" s="104" t="n">
        <v>2</v>
      </c>
      <c r="BV100" s="104" t="n">
        <v>3</v>
      </c>
      <c r="BW100" s="104" t="n">
        <v>4</v>
      </c>
      <c r="BX100" s="104"/>
      <c r="BY100" s="104"/>
      <c r="BZ100" s="104"/>
      <c r="CA100" s="104"/>
      <c r="CB100" s="104"/>
      <c r="CC100" s="104"/>
      <c r="CD100" s="104"/>
      <c r="CE100" s="104"/>
      <c r="CF100" s="104"/>
      <c r="CG100" s="104"/>
      <c r="CH100" s="104"/>
      <c r="CJ100" s="95"/>
      <c r="CK100" s="95"/>
      <c r="CL100" s="95"/>
      <c r="CM100" s="95"/>
      <c r="CN100" s="95"/>
      <c r="CO100" s="95"/>
      <c r="CP100" s="95"/>
      <c r="CQ100" s="95"/>
      <c r="CR100" s="95"/>
      <c r="CS100" s="95"/>
      <c r="CT100" s="95"/>
      <c r="CU100" s="95"/>
      <c r="CV100" s="95"/>
      <c r="CW100" s="95"/>
      <c r="CX100" s="95"/>
      <c r="CY100" s="95"/>
      <c r="CZ100" s="95"/>
      <c r="DA100" s="95"/>
      <c r="DB100" s="95"/>
      <c r="DC100" s="95"/>
      <c r="DD100" s="95"/>
      <c r="DE100" s="95"/>
      <c r="DF100" s="95"/>
      <c r="DG100" s="95"/>
      <c r="DL100" s="108"/>
      <c r="DM100" s="108"/>
      <c r="DN100" s="109" t="str">
        <f aca="false">"D6.scenario.defInput["""&amp;B100&amp;"""] = {  "&amp;E$2&amp;":"""&amp;E100&amp;""",  "&amp;C$2&amp;":"""&amp;CLEAN(SUBSTITUTE(C100,"""",""""))&amp;""",  "&amp;F$2&amp;":"""&amp;F100&amp;""",  "&amp;H$2&amp;":"""&amp;CLEAN(SUBSTITUTE(H100,"""",""""))&amp;""", "&amp;J$2&amp;":"""&amp;J100&amp;""", "&amp;L$2&amp;":"""&amp;L100&amp;""", "&amp;M$2&amp;":"""&amp;M100&amp;""", "&amp;N$2&amp;":"""&amp;N100&amp;""", "&amp;O$2&amp;":"""&amp;O100&amp;""", "&amp;P$2&amp;":"""&amp;P100&amp;""", "&amp;Q$2&amp;":"""&amp;Q100&amp;""", "&amp;R$2&amp;":"""&amp;R100&amp;""", d11t:"""&amp;CJ100&amp;""",d11p:"""&amp;CK100&amp;""",d12t:"""&amp;CL100&amp;""",d12p:"""&amp;CM100&amp;""",d13t:"""&amp;CN100&amp;""",d13p:"""&amp;CO100&amp;""",d1w:"""&amp;CP100&amp;""",d1d:"""&amp;CQ100&amp;""", d21t:"""&amp;CR100&amp;""",d21p:"""&amp;CS100&amp;""",d22t:"""&amp;CT100&amp;""",d22p:"""&amp;CU100&amp;""",d23t:"""&amp;CV100&amp;""",d23p:"""&amp;CW100&amp;""",d2w:"""&amp;CX100&amp;""",d2d:"""&amp;CY100&amp;""", d31t:"""&amp;CZ100&amp;""",d31p:"""&amp;DA100&amp;""",d32t:"""&amp;DB100&amp;""",d32p:"""&amp;DC100&amp;""",d33t:"""&amp;DD100&amp;""",d33p:"""&amp;DE100&amp;""",d3w:"""&amp;DF100&amp;""",d3d:"""&amp;DG100&amp;"""}; "</f>
        <v>D6.scenario.defInput["i266"] = {  cons:"consCOsum",  title:"日射の流入の有無",  unit:"",  text:"夏の朝や夕方に日光が部屋に入りますか", inputType:"sel266", right:"", postfix:"", nodata:"", varType:"Number", min:"", max:"", defaultValue:"-1", d11t:"",d11p:"",d12t:"",d12p:"",d13t:"",d13p:"",d1w:"",d1d:"", d21t:"",d21p:"",d22t:"",d22p:"",d23t:"",d23p:"",d2w:"",d2d:"", d31t:"",d31p:"",d32t:"",d32p:"",d33t:"",d33p:"",d3w:"",d3d:""}; </v>
      </c>
      <c r="DO100" s="110"/>
      <c r="DP100" s="110"/>
      <c r="DQ100" s="111" t="str">
        <f aca="false">"D6.scenario.defSelectValue["""&amp;U100&amp;"""]= [ """&amp;CLEAN(V100)&amp;""", """&amp;CLEAN(W100)&amp;IF(X100="","",""", """&amp;CLEAN(X100))&amp;IF(Y100="","",""", """&amp;CLEAN(Y100))&amp;IF(Z100="","",""", """&amp;CLEAN(Z100))&amp;IF(AA100="","",""", """&amp;CLEAN(AA100))&amp;IF(AB100="","",""", """&amp;CLEAN(AB100))&amp;IF(AC100="","",""", """&amp;CLEAN(AC100))&amp;IF(AD100="","",""", """&amp;CLEAN(AD100))&amp;IF(AE100="","",""", """&amp;CLEAN(AE100))&amp;IF(AF100="","",""", """&amp;CLEAN(AF100))&amp;IF(AG100="","",""", """&amp;CLEAN(AG100))&amp;IF(AH100="","",""", """&amp;CLEAN(AH100))&amp;IF(AI100="","",""", """&amp;CLEAN(AI100))&amp;IF(AJ100="","",""", """&amp;CLEAN(AJ100))&amp;IF(AK100="","",""", """&amp;CLEAN(AK100))&amp;""" ];"</f>
        <v>D6.scenario.defSelectValue["sel266"]= [ "選んで下さい", "よく入る", "少しはいる", "入らない", "わからない" ];</v>
      </c>
      <c r="DR100" s="112"/>
      <c r="DS100" s="112"/>
      <c r="DT100" s="112" t="str">
        <f aca="false">"D6.scenario.defSelectData['"&amp;U100&amp;"']= [ '"&amp;BC100&amp;"', '"&amp;BD100&amp;"', '"&amp;BE100&amp;IF(BF100="","","', '"&amp;BF100)&amp;IF(BG100="","","', '"&amp;BG100)&amp;IF(BH100="","","', '"&amp;BH100)&amp;IF(BI100="","","', '"&amp;BI100)&amp;IF(BJ100="","","', '"&amp;BJ100)&amp;IF(BK100="","","', '"&amp;BK100)&amp;IF(BL100="","","', '"&amp;BL100)&amp;IF(BM100="","","', '"&amp;BM100)&amp;IF(BN100="","","', '"&amp;BN100)&amp;IF(BO100="","","', '"&amp;BO100)&amp;IF(BP100="","","', '"&amp;BP100)&amp;IF(BQ100="","","', '"&amp;BQ100)&amp;IF(BR100="","","', '"&amp;BR100)&amp;"' ];"</f>
        <v>D6.scenario.defSelectData['sel266']= [ '-1', '1', '2', '3', '4' ];</v>
      </c>
    </row>
    <row r="101" s="88" customFormat="true" ht="43.5" hidden="false" customHeight="true" outlineLevel="0" collapsed="false">
      <c r="B101" s="105" t="s">
        <v>1595</v>
      </c>
      <c r="C101" s="103" t="s">
        <v>1596</v>
      </c>
      <c r="D101" s="104" t="s">
        <v>1596</v>
      </c>
      <c r="E101" s="95" t="s">
        <v>244</v>
      </c>
      <c r="F101" s="103"/>
      <c r="G101" s="104"/>
      <c r="H101" s="103" t="s">
        <v>1597</v>
      </c>
      <c r="I101" s="104" t="s">
        <v>1597</v>
      </c>
      <c r="J101" s="103" t="str">
        <f aca="false">IF(K101="","",K101)</f>
        <v>sel267</v>
      </c>
      <c r="K101" s="104" t="str">
        <f aca="false">"sel"&amp;MID($B101,2,5)</f>
        <v>sel267</v>
      </c>
      <c r="L101" s="105"/>
      <c r="M101" s="105"/>
      <c r="N101" s="105"/>
      <c r="O101" s="95" t="s">
        <v>931</v>
      </c>
      <c r="P101" s="105"/>
      <c r="Q101" s="105"/>
      <c r="R101" s="95" t="n">
        <v>-1</v>
      </c>
      <c r="T101" s="66"/>
      <c r="U101" s="106" t="str">
        <f aca="false">J101</f>
        <v>sel267</v>
      </c>
      <c r="V101" s="103" t="s">
        <v>979</v>
      </c>
      <c r="W101" s="103" t="s">
        <v>1333</v>
      </c>
      <c r="X101" s="103" t="s">
        <v>1334</v>
      </c>
      <c r="Y101" s="103" t="s">
        <v>1335</v>
      </c>
      <c r="Z101" s="103" t="s">
        <v>1098</v>
      </c>
      <c r="AA101" s="103"/>
      <c r="AB101" s="103"/>
      <c r="AC101" s="103"/>
      <c r="AD101" s="103"/>
      <c r="AE101" s="103"/>
      <c r="AF101" s="103"/>
      <c r="AG101" s="103"/>
      <c r="AH101" s="103"/>
      <c r="AI101" s="103"/>
      <c r="AJ101" s="103"/>
      <c r="AK101" s="103"/>
      <c r="AL101" s="104" t="s">
        <v>979</v>
      </c>
      <c r="AM101" s="107" t="s">
        <v>1333</v>
      </c>
      <c r="AN101" s="107" t="s">
        <v>1334</v>
      </c>
      <c r="AO101" s="107" t="s">
        <v>1335</v>
      </c>
      <c r="AP101" s="107" t="s">
        <v>1098</v>
      </c>
      <c r="AQ101" s="104"/>
      <c r="AR101" s="104"/>
      <c r="AS101" s="104"/>
      <c r="AT101" s="104"/>
      <c r="AU101" s="104"/>
      <c r="AV101" s="104"/>
      <c r="AW101" s="104"/>
      <c r="AX101" s="104"/>
      <c r="AY101" s="104"/>
      <c r="AZ101" s="104"/>
      <c r="BA101" s="104"/>
      <c r="BB101" s="66"/>
      <c r="BC101" s="103" t="n">
        <v>-1</v>
      </c>
      <c r="BD101" s="103" t="n">
        <v>1</v>
      </c>
      <c r="BE101" s="103" t="n">
        <v>2</v>
      </c>
      <c r="BF101" s="103" t="n">
        <v>3</v>
      </c>
      <c r="BG101" s="103" t="n">
        <v>4</v>
      </c>
      <c r="BH101" s="103"/>
      <c r="BI101" s="103"/>
      <c r="BJ101" s="103"/>
      <c r="BK101" s="103"/>
      <c r="BL101" s="103"/>
      <c r="BM101" s="103"/>
      <c r="BN101" s="103"/>
      <c r="BO101" s="103"/>
      <c r="BP101" s="103"/>
      <c r="BQ101" s="103"/>
      <c r="BR101" s="103"/>
      <c r="BS101" s="104" t="n">
        <v>-1</v>
      </c>
      <c r="BT101" s="104" t="n">
        <v>1</v>
      </c>
      <c r="BU101" s="104" t="n">
        <v>2</v>
      </c>
      <c r="BV101" s="104" t="n">
        <v>3</v>
      </c>
      <c r="BW101" s="104" t="n">
        <v>4</v>
      </c>
      <c r="BX101" s="104"/>
      <c r="BY101" s="104"/>
      <c r="BZ101" s="104"/>
      <c r="CA101" s="104"/>
      <c r="CB101" s="104"/>
      <c r="CC101" s="104"/>
      <c r="CD101" s="104"/>
      <c r="CE101" s="104"/>
      <c r="CF101" s="104"/>
      <c r="CG101" s="104"/>
      <c r="CH101" s="104"/>
      <c r="CJ101" s="95" t="n">
        <v>4</v>
      </c>
      <c r="CK101" s="95" t="n">
        <v>0</v>
      </c>
      <c r="CL101" s="95" t="n">
        <v>2</v>
      </c>
      <c r="CM101" s="95" t="n">
        <v>1</v>
      </c>
      <c r="CN101" s="95" t="n">
        <v>1</v>
      </c>
      <c r="CO101" s="95" t="n">
        <v>2</v>
      </c>
      <c r="CP101" s="95" t="n">
        <v>1</v>
      </c>
      <c r="CQ101" s="95" t="n">
        <v>1</v>
      </c>
      <c r="CR101" s="95"/>
      <c r="CS101" s="95"/>
      <c r="CT101" s="95"/>
      <c r="CU101" s="95"/>
      <c r="CV101" s="95"/>
      <c r="CW101" s="95"/>
      <c r="CX101" s="95"/>
      <c r="CY101" s="95"/>
      <c r="CZ101" s="95" t="n">
        <v>4</v>
      </c>
      <c r="DA101" s="95" t="n">
        <v>0</v>
      </c>
      <c r="DB101" s="95" t="n">
        <v>2</v>
      </c>
      <c r="DC101" s="95" t="n">
        <v>1</v>
      </c>
      <c r="DD101" s="95" t="n">
        <v>1</v>
      </c>
      <c r="DE101" s="95" t="n">
        <v>2</v>
      </c>
      <c r="DF101" s="95" t="n">
        <v>1</v>
      </c>
      <c r="DG101" s="95" t="n">
        <v>1</v>
      </c>
      <c r="DL101" s="108"/>
      <c r="DM101" s="108"/>
      <c r="DN101" s="109" t="str">
        <f aca="false">"D6.scenario.defInput["""&amp;B101&amp;"""] = {  "&amp;E$2&amp;":"""&amp;E101&amp;""",  "&amp;C$2&amp;":"""&amp;CLEAN(SUBSTITUTE(C101,"""",""""))&amp;""",  "&amp;F$2&amp;":"""&amp;F101&amp;""",  "&amp;H$2&amp;":"""&amp;CLEAN(SUBSTITUTE(H101,"""",""""))&amp;""", "&amp;J$2&amp;":"""&amp;J101&amp;""", "&amp;L$2&amp;":"""&amp;L101&amp;""", "&amp;M$2&amp;":"""&amp;M101&amp;""", "&amp;N$2&amp;":"""&amp;N101&amp;""", "&amp;O$2&amp;":"""&amp;O101&amp;""", "&amp;P$2&amp;":"""&amp;P101&amp;""", "&amp;Q$2&amp;":"""&amp;Q101&amp;""", "&amp;R$2&amp;":"""&amp;R101&amp;""", d11t:"""&amp;CJ101&amp;""",d11p:"""&amp;CK101&amp;""",d12t:"""&amp;CL101&amp;""",d12p:"""&amp;CM101&amp;""",d13t:"""&amp;CN101&amp;""",d13p:"""&amp;CO101&amp;""",d1w:"""&amp;CP101&amp;""",d1d:"""&amp;CQ101&amp;""", d21t:"""&amp;CR101&amp;""",d21p:"""&amp;CS101&amp;""",d22t:"""&amp;CT101&amp;""",d22p:"""&amp;CU101&amp;""",d23t:"""&amp;CV101&amp;""",d23p:"""&amp;CW101&amp;""",d2w:"""&amp;CX101&amp;""",d2d:"""&amp;CY101&amp;""", d31t:"""&amp;CZ101&amp;""",d31p:"""&amp;DA101&amp;""",d32t:"""&amp;DB101&amp;""",d32p:"""&amp;DC101&amp;""",d33t:"""&amp;DD101&amp;""",d33p:"""&amp;DE101&amp;""",d3w:"""&amp;DF101&amp;""",d3d:"""&amp;DG101&amp;"""}; "</f>
        <v>D6.scenario.defInput["i267"] = {  cons:"consCOsum",  title:"日射カット",  unit:"",  text:"西日や朝日が入ると部屋が暑くなります。日射が入らないように工夫していますか", inputType:"sel267", right:"", postfix:"", nodata:"", varType:"Number", min:"", max:"", defaultValue:"-1", d11t:"4",d11p:"0",d12t:"2",d12p:"1",d13t:"1",d13p:"2",d1w:"1",d1d:"1", d21t:"",d21p:"",d22t:"",d22p:"",d23t:"",d23p:"",d2w:"",d2d:"", d31t:"4",d31p:"0",d32t:"2",d32p:"1",d33t:"1",d33p:"2",d3w:"1",d3d:"1"}; </v>
      </c>
      <c r="DO101" s="110"/>
      <c r="DP101" s="110"/>
      <c r="DQ101" s="111" t="str">
        <f aca="false">"D6.scenario.defSelectValue["""&amp;U101&amp;"""]= [ """&amp;CLEAN(V101)&amp;""", """&amp;CLEAN(W101)&amp;IF(X101="","",""", """&amp;CLEAN(X101))&amp;IF(Y101="","",""", """&amp;CLEAN(Y101))&amp;IF(Z101="","",""", """&amp;CLEAN(Z101))&amp;IF(AA101="","",""", """&amp;CLEAN(AA101))&amp;IF(AB101="","",""", """&amp;CLEAN(AB101))&amp;IF(AC101="","",""", """&amp;CLEAN(AC101))&amp;IF(AD101="","",""", """&amp;CLEAN(AD101))&amp;IF(AE101="","",""", """&amp;CLEAN(AE101))&amp;IF(AF101="","",""", """&amp;CLEAN(AF101))&amp;IF(AG101="","",""", """&amp;CLEAN(AG101))&amp;IF(AH101="","",""", """&amp;CLEAN(AH101))&amp;IF(AI101="","",""", """&amp;CLEAN(AI101))&amp;IF(AJ101="","",""", """&amp;CLEAN(AJ101))&amp;IF(AK101="","",""", """&amp;CLEAN(AK101))&amp;""" ];"</f>
        <v>D6.scenario.defSelectValue["sel267"]= [ "選んで下さい", "常にしている", "だいたいしている", "時々している", "していない" ];</v>
      </c>
      <c r="DR101" s="112"/>
      <c r="DS101" s="112"/>
      <c r="DT101" s="112" t="str">
        <f aca="false">"D6.scenario.defSelectData['"&amp;U101&amp;"']= [ '"&amp;BC101&amp;"', '"&amp;BD101&amp;"', '"&amp;BE101&amp;IF(BF101="","","', '"&amp;BF101)&amp;IF(BG101="","","', '"&amp;BG101)&amp;IF(BH101="","","', '"&amp;BH101)&amp;IF(BI101="","","', '"&amp;BI101)&amp;IF(BJ101="","","', '"&amp;BJ101)&amp;IF(BK101="","","', '"&amp;BK101)&amp;IF(BL101="","","', '"&amp;BL101)&amp;IF(BM101="","","', '"&amp;BM101)&amp;IF(BN101="","","', '"&amp;BN101)&amp;IF(BO101="","","', '"&amp;BO101)&amp;IF(BP101="","","', '"&amp;BP101)&amp;IF(BQ101="","","', '"&amp;BQ101)&amp;IF(BR101="","","', '"&amp;BR101)&amp;"' ];"</f>
        <v>D6.scenario.defSelectData['sel267']= [ '-1', '1', '2', '3', '4' ];</v>
      </c>
    </row>
    <row r="102" s="88" customFormat="true" ht="43.5" hidden="false" customHeight="true" outlineLevel="0" collapsed="false">
      <c r="B102" s="105" t="s">
        <v>1598</v>
      </c>
      <c r="C102" s="103" t="s">
        <v>1599</v>
      </c>
      <c r="D102" s="104" t="s">
        <v>1599</v>
      </c>
      <c r="E102" s="95" t="s">
        <v>244</v>
      </c>
      <c r="F102" s="103"/>
      <c r="G102" s="104"/>
      <c r="H102" s="103" t="s">
        <v>1600</v>
      </c>
      <c r="I102" s="104" t="s">
        <v>1600</v>
      </c>
      <c r="J102" s="103" t="str">
        <f aca="false">IF(K102="","",K102)</f>
        <v>sel268</v>
      </c>
      <c r="K102" s="104" t="str">
        <f aca="false">"sel"&amp;MID($B102,2,5)</f>
        <v>sel268</v>
      </c>
      <c r="L102" s="105"/>
      <c r="M102" s="105"/>
      <c r="N102" s="105"/>
      <c r="O102" s="95" t="s">
        <v>931</v>
      </c>
      <c r="P102" s="105"/>
      <c r="Q102" s="105"/>
      <c r="R102" s="95" t="n">
        <v>-1</v>
      </c>
      <c r="T102" s="66"/>
      <c r="U102" s="106" t="str">
        <f aca="false">J102</f>
        <v>sel268</v>
      </c>
      <c r="V102" s="103" t="s">
        <v>979</v>
      </c>
      <c r="W102" s="103" t="s">
        <v>1333</v>
      </c>
      <c r="X102" s="103" t="s">
        <v>1334</v>
      </c>
      <c r="Y102" s="103" t="s">
        <v>1335</v>
      </c>
      <c r="Z102" s="103" t="s">
        <v>1098</v>
      </c>
      <c r="AA102" s="103"/>
      <c r="AB102" s="103"/>
      <c r="AC102" s="103"/>
      <c r="AD102" s="103"/>
      <c r="AE102" s="103"/>
      <c r="AF102" s="103"/>
      <c r="AG102" s="103"/>
      <c r="AH102" s="103"/>
      <c r="AI102" s="103"/>
      <c r="AJ102" s="103"/>
      <c r="AK102" s="103"/>
      <c r="AL102" s="104" t="s">
        <v>979</v>
      </c>
      <c r="AM102" s="107" t="s">
        <v>1333</v>
      </c>
      <c r="AN102" s="107" t="s">
        <v>1334</v>
      </c>
      <c r="AO102" s="107" t="s">
        <v>1335</v>
      </c>
      <c r="AP102" s="107" t="s">
        <v>1098</v>
      </c>
      <c r="AQ102" s="104"/>
      <c r="AR102" s="104"/>
      <c r="AS102" s="104"/>
      <c r="AT102" s="104"/>
      <c r="AU102" s="104"/>
      <c r="AV102" s="104"/>
      <c r="AW102" s="104"/>
      <c r="AX102" s="104"/>
      <c r="AY102" s="104"/>
      <c r="AZ102" s="104"/>
      <c r="BA102" s="104"/>
      <c r="BB102" s="66"/>
      <c r="BC102" s="103" t="n">
        <v>-1</v>
      </c>
      <c r="BD102" s="103" t="n">
        <v>1</v>
      </c>
      <c r="BE102" s="103" t="n">
        <v>2</v>
      </c>
      <c r="BF102" s="103" t="n">
        <v>3</v>
      </c>
      <c r="BG102" s="103" t="n">
        <v>4</v>
      </c>
      <c r="BH102" s="103"/>
      <c r="BI102" s="103"/>
      <c r="BJ102" s="103"/>
      <c r="BK102" s="103"/>
      <c r="BL102" s="103"/>
      <c r="BM102" s="103"/>
      <c r="BN102" s="103"/>
      <c r="BO102" s="103"/>
      <c r="BP102" s="103"/>
      <c r="BQ102" s="103"/>
      <c r="BR102" s="103"/>
      <c r="BS102" s="104" t="n">
        <v>-1</v>
      </c>
      <c r="BT102" s="104" t="n">
        <v>1</v>
      </c>
      <c r="BU102" s="104" t="n">
        <v>2</v>
      </c>
      <c r="BV102" s="104" t="n">
        <v>3</v>
      </c>
      <c r="BW102" s="104" t="n">
        <v>4</v>
      </c>
      <c r="BX102" s="104"/>
      <c r="BY102" s="104"/>
      <c r="BZ102" s="104"/>
      <c r="CA102" s="104"/>
      <c r="CB102" s="104"/>
      <c r="CC102" s="104"/>
      <c r="CD102" s="104"/>
      <c r="CE102" s="104"/>
      <c r="CF102" s="104"/>
      <c r="CG102" s="104"/>
      <c r="CH102" s="104"/>
      <c r="CJ102" s="95"/>
      <c r="CK102" s="95"/>
      <c r="CL102" s="95"/>
      <c r="CM102" s="95"/>
      <c r="CN102" s="95"/>
      <c r="CO102" s="95"/>
      <c r="CP102" s="95"/>
      <c r="CQ102" s="95"/>
      <c r="CR102" s="95"/>
      <c r="CS102" s="95"/>
      <c r="CT102" s="95"/>
      <c r="CU102" s="95"/>
      <c r="CV102" s="95"/>
      <c r="CW102" s="95"/>
      <c r="CX102" s="95"/>
      <c r="CY102" s="95"/>
      <c r="CZ102" s="95" t="n">
        <v>4</v>
      </c>
      <c r="DA102" s="95" t="n">
        <v>0</v>
      </c>
      <c r="DB102" s="95" t="n">
        <v>2</v>
      </c>
      <c r="DC102" s="95" t="n">
        <v>1</v>
      </c>
      <c r="DD102" s="95" t="n">
        <v>1</v>
      </c>
      <c r="DE102" s="95" t="n">
        <v>2</v>
      </c>
      <c r="DF102" s="95" t="n">
        <v>1</v>
      </c>
      <c r="DG102" s="95" t="n">
        <v>1</v>
      </c>
      <c r="DL102" s="108"/>
      <c r="DM102" s="108"/>
      <c r="DN102" s="109" t="str">
        <f aca="false">"D6.scenario.defInput["""&amp;B102&amp;"""] = {  "&amp;E$2&amp;":"""&amp;E102&amp;""",  "&amp;C$2&amp;":"""&amp;CLEAN(SUBSTITUTE(C102,"""",""""))&amp;""",  "&amp;F$2&amp;":"""&amp;F102&amp;""",  "&amp;H$2&amp;":"""&amp;CLEAN(SUBSTITUTE(H102,"""",""""))&amp;""", "&amp;J$2&amp;":"""&amp;J102&amp;""", "&amp;L$2&amp;":"""&amp;L102&amp;""", "&amp;M$2&amp;":"""&amp;M102&amp;""", "&amp;N$2&amp;":"""&amp;N102&amp;""", "&amp;O$2&amp;":"""&amp;O102&amp;""", "&amp;P$2&amp;":"""&amp;P102&amp;""", "&amp;Q$2&amp;":"""&amp;Q102&amp;""", "&amp;R$2&amp;":"""&amp;R102&amp;""", d11t:"""&amp;CJ102&amp;""",d11p:"""&amp;CK102&amp;""",d12t:"""&amp;CL102&amp;""",d12p:"""&amp;CM102&amp;""",d13t:"""&amp;CN102&amp;""",d13p:"""&amp;CO102&amp;""",d1w:"""&amp;CP102&amp;""",d1d:"""&amp;CQ102&amp;""", d21t:"""&amp;CR102&amp;""",d21p:"""&amp;CS102&amp;""",d22t:"""&amp;CT102&amp;""",d22p:"""&amp;CU102&amp;""",d23t:"""&amp;CV102&amp;""",d23p:"""&amp;CW102&amp;""",d2w:"""&amp;CX102&amp;""",d2d:"""&amp;CY102&amp;""", d31t:"""&amp;CZ102&amp;""",d31p:"""&amp;DA102&amp;""",d32t:"""&amp;DB102&amp;""",d32p:"""&amp;DC102&amp;""",d33t:"""&amp;DD102&amp;""",d33p:"""&amp;DE102&amp;""",d3w:"""&amp;DF102&amp;""",d3d:"""&amp;DG102&amp;"""}; "</f>
        <v>D6.scenario.defInput["i268"] = {  cons:"consCOsum",  title:"扇風機利用",  unit:"",  text:"扇風機を活用するなどしてエアコンをなるべく使わないようにしていますか", inputType:"sel268", right:"", postfix:"", nodata:"", varType:"Number", min:"", max:"", defaultValue:"-1", d11t:"",d11p:"",d12t:"",d12p:"",d13t:"",d13p:"",d1w:"",d1d:"", d21t:"",d21p:"",d22t:"",d22p:"",d23t:"",d23p:"",d2w:"",d2d:"", d31t:"4",d31p:"0",d32t:"2",d32p:"1",d33t:"1",d33p:"2",d3w:"1",d3d:"1"}; </v>
      </c>
      <c r="DO102" s="110"/>
      <c r="DP102" s="110"/>
      <c r="DQ102" s="111" t="str">
        <f aca="false">"D6.scenario.defSelectValue["""&amp;U102&amp;"""]= [ """&amp;CLEAN(V102)&amp;""", """&amp;CLEAN(W102)&amp;IF(X102="","",""", """&amp;CLEAN(X102))&amp;IF(Y102="","",""", """&amp;CLEAN(Y102))&amp;IF(Z102="","",""", """&amp;CLEAN(Z102))&amp;IF(AA102="","",""", """&amp;CLEAN(AA102))&amp;IF(AB102="","",""", """&amp;CLEAN(AB102))&amp;IF(AC102="","",""", """&amp;CLEAN(AC102))&amp;IF(AD102="","",""", """&amp;CLEAN(AD102))&amp;IF(AE102="","",""", """&amp;CLEAN(AE102))&amp;IF(AF102="","",""", """&amp;CLEAN(AF102))&amp;IF(AG102="","",""", """&amp;CLEAN(AG102))&amp;IF(AH102="","",""", """&amp;CLEAN(AH102))&amp;IF(AI102="","",""", """&amp;CLEAN(AI102))&amp;IF(AJ102="","",""", """&amp;CLEAN(AJ102))&amp;IF(AK102="","",""", """&amp;CLEAN(AK102))&amp;""" ];"</f>
        <v>D6.scenario.defSelectValue["sel268"]= [ "選んで下さい", "常にしている", "だいたいしている", "時々している", "していない" ];</v>
      </c>
      <c r="DR102" s="112"/>
      <c r="DS102" s="112"/>
      <c r="DT102" s="112" t="str">
        <f aca="false">"D6.scenario.defSelectData['"&amp;U102&amp;"']= [ '"&amp;BC102&amp;"', '"&amp;BD102&amp;"', '"&amp;BE102&amp;IF(BF102="","","', '"&amp;BF102)&amp;IF(BG102="","","', '"&amp;BG102)&amp;IF(BH102="","","', '"&amp;BH102)&amp;IF(BI102="","","', '"&amp;BI102)&amp;IF(BJ102="","","', '"&amp;BJ102)&amp;IF(BK102="","","', '"&amp;BK102)&amp;IF(BL102="","","', '"&amp;BL102)&amp;IF(BM102="","","', '"&amp;BM102)&amp;IF(BN102="","","', '"&amp;BN102)&amp;IF(BO102="","","', '"&amp;BO102)&amp;IF(BP102="","","', '"&amp;BP102)&amp;IF(BQ102="","","', '"&amp;BQ102)&amp;IF(BR102="","","', '"&amp;BR102)&amp;"' ];"</f>
        <v>D6.scenario.defSelectData['sel268']= [ '-1', '1', '2', '3', '4' ];</v>
      </c>
    </row>
    <row r="103" s="88" customFormat="true" ht="43.5" hidden="false" customHeight="true" outlineLevel="0" collapsed="false">
      <c r="A103" s="66"/>
      <c r="B103" s="105" t="s">
        <v>1601</v>
      </c>
      <c r="C103" s="103" t="s">
        <v>1558</v>
      </c>
      <c r="D103" s="104" t="s">
        <v>1558</v>
      </c>
      <c r="E103" s="95" t="s">
        <v>251</v>
      </c>
      <c r="F103" s="103" t="s">
        <v>1295</v>
      </c>
      <c r="G103" s="104" t="s">
        <v>1295</v>
      </c>
      <c r="H103" s="103" t="s">
        <v>1559</v>
      </c>
      <c r="I103" s="104" t="s">
        <v>1559</v>
      </c>
      <c r="J103" s="103" t="str">
        <f aca="false">IF(K103="","",K103)</f>
        <v>sel271</v>
      </c>
      <c r="K103" s="104" t="str">
        <f aca="false">"sel"&amp;MID($B103,2,5)</f>
        <v>sel271</v>
      </c>
      <c r="L103" s="105"/>
      <c r="M103" s="105"/>
      <c r="N103" s="105"/>
      <c r="O103" s="95" t="s">
        <v>931</v>
      </c>
      <c r="P103" s="105"/>
      <c r="Q103" s="105"/>
      <c r="R103" s="95" t="n">
        <v>-1</v>
      </c>
      <c r="S103" s="66"/>
      <c r="T103" s="66"/>
      <c r="U103" s="106" t="str">
        <f aca="false">J103</f>
        <v>sel271</v>
      </c>
      <c r="V103" s="103" t="s">
        <v>979</v>
      </c>
      <c r="W103" s="103" t="s">
        <v>1170</v>
      </c>
      <c r="X103" s="103" t="s">
        <v>1400</v>
      </c>
      <c r="Y103" s="103" t="s">
        <v>1401</v>
      </c>
      <c r="Z103" s="103" t="s">
        <v>1297</v>
      </c>
      <c r="AA103" s="103" t="s">
        <v>1402</v>
      </c>
      <c r="AB103" s="103" t="s">
        <v>1298</v>
      </c>
      <c r="AC103" s="103" t="s">
        <v>1403</v>
      </c>
      <c r="AD103" s="103" t="s">
        <v>1404</v>
      </c>
      <c r="AE103" s="103" t="s">
        <v>1300</v>
      </c>
      <c r="AF103" s="103" t="s">
        <v>1301</v>
      </c>
      <c r="AG103" s="103"/>
      <c r="AH103" s="103"/>
      <c r="AI103" s="103"/>
      <c r="AJ103" s="103"/>
      <c r="AK103" s="103"/>
      <c r="AL103" s="104" t="s">
        <v>979</v>
      </c>
      <c r="AM103" s="104" t="s">
        <v>1170</v>
      </c>
      <c r="AN103" s="104" t="s">
        <v>1400</v>
      </c>
      <c r="AO103" s="107" t="s">
        <v>1401</v>
      </c>
      <c r="AP103" s="107" t="s">
        <v>1297</v>
      </c>
      <c r="AQ103" s="107" t="s">
        <v>1402</v>
      </c>
      <c r="AR103" s="107" t="s">
        <v>1298</v>
      </c>
      <c r="AS103" s="104" t="s">
        <v>1403</v>
      </c>
      <c r="AT103" s="104" t="s">
        <v>1404</v>
      </c>
      <c r="AU103" s="104" t="s">
        <v>1300</v>
      </c>
      <c r="AV103" s="104" t="s">
        <v>1301</v>
      </c>
      <c r="AW103" s="104"/>
      <c r="AX103" s="104"/>
      <c r="AY103" s="104"/>
      <c r="AZ103" s="104"/>
      <c r="BA103" s="104"/>
      <c r="BB103" s="66"/>
      <c r="BC103" s="103" t="n">
        <v>-1</v>
      </c>
      <c r="BD103" s="103" t="n">
        <v>0</v>
      </c>
      <c r="BE103" s="103" t="n">
        <v>1</v>
      </c>
      <c r="BF103" s="103" t="n">
        <v>2</v>
      </c>
      <c r="BG103" s="103" t="n">
        <v>3</v>
      </c>
      <c r="BH103" s="103" t="n">
        <v>4</v>
      </c>
      <c r="BI103" s="103" t="n">
        <v>6</v>
      </c>
      <c r="BJ103" s="103" t="n">
        <v>8</v>
      </c>
      <c r="BK103" s="103" t="n">
        <v>12</v>
      </c>
      <c r="BL103" s="103" t="n">
        <v>16</v>
      </c>
      <c r="BM103" s="103" t="n">
        <v>24</v>
      </c>
      <c r="BN103" s="103"/>
      <c r="BO103" s="103"/>
      <c r="BP103" s="103"/>
      <c r="BQ103" s="103"/>
      <c r="BR103" s="103"/>
      <c r="BS103" s="104" t="n">
        <v>-1</v>
      </c>
      <c r="BT103" s="104" t="n">
        <v>0</v>
      </c>
      <c r="BU103" s="104" t="n">
        <v>1</v>
      </c>
      <c r="BV103" s="104" t="n">
        <v>2</v>
      </c>
      <c r="BW103" s="104" t="n">
        <v>3</v>
      </c>
      <c r="BX103" s="104" t="n">
        <v>4</v>
      </c>
      <c r="BY103" s="104" t="n">
        <v>6</v>
      </c>
      <c r="BZ103" s="104" t="n">
        <v>8</v>
      </c>
      <c r="CA103" s="104" t="n">
        <v>12</v>
      </c>
      <c r="CB103" s="104" t="n">
        <v>16</v>
      </c>
      <c r="CC103" s="104" t="n">
        <v>24</v>
      </c>
      <c r="CD103" s="104"/>
      <c r="CE103" s="104"/>
      <c r="CF103" s="104"/>
      <c r="CG103" s="104"/>
      <c r="CH103" s="104"/>
      <c r="CJ103" s="95"/>
      <c r="CK103" s="95"/>
      <c r="CL103" s="95"/>
      <c r="CM103" s="95"/>
      <c r="CN103" s="95"/>
      <c r="CO103" s="95"/>
      <c r="CP103" s="95"/>
      <c r="CQ103" s="95"/>
      <c r="CR103" s="95"/>
      <c r="CS103" s="95"/>
      <c r="CT103" s="95"/>
      <c r="CU103" s="95"/>
      <c r="CV103" s="95"/>
      <c r="CW103" s="95"/>
      <c r="CX103" s="95"/>
      <c r="CY103" s="95"/>
      <c r="CZ103" s="95" t="n">
        <v>10</v>
      </c>
      <c r="DA103" s="95" t="n">
        <v>0</v>
      </c>
      <c r="DB103" s="95" t="n">
        <v>4</v>
      </c>
      <c r="DC103" s="95" t="n">
        <v>1</v>
      </c>
      <c r="DD103" s="95" t="n">
        <v>0</v>
      </c>
      <c r="DE103" s="95" t="n">
        <v>2</v>
      </c>
      <c r="DF103" s="95" t="n">
        <v>1</v>
      </c>
      <c r="DG103" s="95" t="n">
        <v>1</v>
      </c>
      <c r="DL103" s="108"/>
      <c r="DM103" s="108"/>
      <c r="DN103" s="109" t="str">
        <f aca="false">"D6.scenario.defInput["""&amp;B103&amp;"""] = {  "&amp;E$2&amp;":"""&amp;E103&amp;""",  "&amp;C$2&amp;":"""&amp;CLEAN(SUBSTITUTE(C103,"""",""""))&amp;""",  "&amp;F$2&amp;":"""&amp;F103&amp;""",  "&amp;H$2&amp;":"""&amp;CLEAN(SUBSTITUTE(H103,"""",""""))&amp;""", "&amp;J$2&amp;":"""&amp;J103&amp;""", "&amp;L$2&amp;":"""&amp;L103&amp;""", "&amp;M$2&amp;":"""&amp;M103&amp;""", "&amp;N$2&amp;":"""&amp;N103&amp;""", "&amp;O$2&amp;":"""&amp;O103&amp;""", "&amp;P$2&amp;":"""&amp;P103&amp;""", "&amp;Q$2&amp;":"""&amp;Q103&amp;""", "&amp;R$2&amp;":"""&amp;R103&amp;""", d11t:"""&amp;CJ103&amp;""",d11p:"""&amp;CK103&amp;""",d12t:"""&amp;CL103&amp;""",d12p:"""&amp;CM103&amp;""",d13t:"""&amp;CN103&amp;""",d13p:"""&amp;CO103&amp;""",d1w:"""&amp;CP103&amp;""",d1d:"""&amp;CQ103&amp;""", d21t:"""&amp;CR103&amp;""",d21p:"""&amp;CS103&amp;""",d22t:"""&amp;CT103&amp;""",d22p:"""&amp;CU103&amp;""",d23t:"""&amp;CV103&amp;""",d23p:"""&amp;CW103&amp;""",d2w:"""&amp;CX103&amp;""",d2d:"""&amp;CY103&amp;""", d31t:"""&amp;CZ103&amp;""",d31p:"""&amp;DA103&amp;""",d32t:"""&amp;DB103&amp;""",d32p:"""&amp;DC103&amp;""",d33t:"""&amp;DD103&amp;""",d33p:"""&amp;DE103&amp;""",d3w:"""&amp;DF103&amp;""",d3d:"""&amp;DG103&amp;"""}; "</f>
        <v>D6.scenario.defInput["i271"] = {  cons:"consACcool",  title:"冷房時間",  unit:"時間",  text:"夏に冷房は1日に何時間くらい使いますか。", inputType:"sel271", right:"", postfix:"", nodata:"", varType:"Number", min:"", max:"", defaultValue:"-1", d11t:"",d11p:"",d12t:"",d12p:"",d13t:"",d13p:"",d1w:"",d1d:"", d21t:"",d21p:"",d22t:"",d22p:"",d23t:"",d23p:"",d2w:"",d2d:"", d31t:"10",d31p:"0",d32t:"4",d32p:"1",d33t:"0",d33p:"2",d3w:"1",d3d:"1"}; </v>
      </c>
      <c r="DO103" s="110"/>
      <c r="DP103" s="110"/>
      <c r="DQ103" s="111" t="str">
        <f aca="false">"D6.scenario.defSelectValue["""&amp;U103&amp;"""]= [ """&amp;CLEAN(V103)&amp;""", """&amp;CLEAN(W103)&amp;IF(X103="","",""", """&amp;CLEAN(X103))&amp;IF(Y103="","",""", """&amp;CLEAN(Y103))&amp;IF(Z103="","",""", """&amp;CLEAN(Z103))&amp;IF(AA103="","",""", """&amp;CLEAN(AA103))&amp;IF(AB103="","",""", """&amp;CLEAN(AB103))&amp;IF(AC103="","",""", """&amp;CLEAN(AC103))&amp;IF(AD103="","",""", """&amp;CLEAN(AD103))&amp;IF(AE103="","",""", """&amp;CLEAN(AE103))&amp;IF(AF103="","",""", """&amp;CLEAN(AF103))&amp;IF(AG103="","",""", """&amp;CLEAN(AG103))&amp;IF(AH103="","",""", """&amp;CLEAN(AH103))&amp;IF(AI103="","",""", """&amp;CLEAN(AI103))&amp;IF(AJ103="","",""", """&amp;CLEAN(AJ103))&amp;IF(AK103="","",""", """&amp;CLEAN(AK103))&amp;""" ];"</f>
        <v>D6.scenario.defSelectValue["sel271"]= [ "選んで下さい", "使わない", "1時間", "2時間", "3時間", "4時間", "6時間", "8時間", "12時間", "16時間", "24時間" ];</v>
      </c>
      <c r="DR103" s="112"/>
      <c r="DS103" s="112"/>
      <c r="DT103" s="112" t="str">
        <f aca="false">"D6.scenario.defSelectData['"&amp;U103&amp;"']= [ '"&amp;BC103&amp;"', '"&amp;BD103&amp;"', '"&amp;BE103&amp;IF(BF103="","","', '"&amp;BF103)&amp;IF(BG103="","","', '"&amp;BG103)&amp;IF(BH103="","","', '"&amp;BH103)&amp;IF(BI103="","","', '"&amp;BI103)&amp;IF(BJ103="","","', '"&amp;BJ103)&amp;IF(BK103="","","', '"&amp;BK103)&amp;IF(BL103="","","', '"&amp;BL103)&amp;IF(BM103="","","', '"&amp;BM103)&amp;IF(BN103="","","', '"&amp;BN103)&amp;IF(BO103="","","', '"&amp;BO103)&amp;IF(BP103="","","', '"&amp;BP103)&amp;IF(BQ103="","","', '"&amp;BQ103)&amp;IF(BR103="","","', '"&amp;BR103)&amp;"' ];"</f>
        <v>D6.scenario.defSelectData['sel271']= [ '-1', '0', '1', '2', '3', '4', '6', '8', '12', '16', '24' ];</v>
      </c>
    </row>
    <row r="104" s="88" customFormat="true" ht="43.5" hidden="false" customHeight="true" outlineLevel="0" collapsed="false">
      <c r="A104" s="66"/>
      <c r="B104" s="105" t="s">
        <v>1602</v>
      </c>
      <c r="C104" s="103" t="s">
        <v>1561</v>
      </c>
      <c r="D104" s="104" t="s">
        <v>1561</v>
      </c>
      <c r="E104" s="95" t="s">
        <v>251</v>
      </c>
      <c r="F104" s="103"/>
      <c r="G104" s="104"/>
      <c r="H104" s="103" t="s">
        <v>1562</v>
      </c>
      <c r="I104" s="104" t="s">
        <v>1562</v>
      </c>
      <c r="J104" s="103" t="str">
        <f aca="false">IF(K104="","",K104)</f>
        <v>sel272</v>
      </c>
      <c r="K104" s="104" t="str">
        <f aca="false">"sel"&amp;MID($B104,2,5)</f>
        <v>sel272</v>
      </c>
      <c r="L104" s="105"/>
      <c r="M104" s="105"/>
      <c r="N104" s="105"/>
      <c r="O104" s="95" t="s">
        <v>931</v>
      </c>
      <c r="P104" s="105"/>
      <c r="Q104" s="105"/>
      <c r="R104" s="95" t="n">
        <v>-1</v>
      </c>
      <c r="S104" s="66"/>
      <c r="T104" s="66"/>
      <c r="U104" s="106" t="str">
        <f aca="false">J104</f>
        <v>sel272</v>
      </c>
      <c r="V104" s="103" t="s">
        <v>979</v>
      </c>
      <c r="W104" s="103" t="s">
        <v>1170</v>
      </c>
      <c r="X104" s="103" t="s">
        <v>1563</v>
      </c>
      <c r="Y104" s="103" t="s">
        <v>1564</v>
      </c>
      <c r="Z104" s="103" t="s">
        <v>1565</v>
      </c>
      <c r="AA104" s="103" t="s">
        <v>1566</v>
      </c>
      <c r="AB104" s="103"/>
      <c r="AC104" s="103"/>
      <c r="AD104" s="103"/>
      <c r="AE104" s="103"/>
      <c r="AF104" s="103"/>
      <c r="AG104" s="103"/>
      <c r="AH104" s="103"/>
      <c r="AI104" s="103"/>
      <c r="AJ104" s="103"/>
      <c r="AK104" s="103"/>
      <c r="AL104" s="104" t="s">
        <v>979</v>
      </c>
      <c r="AM104" s="104" t="s">
        <v>1170</v>
      </c>
      <c r="AN104" s="104" t="s">
        <v>1563</v>
      </c>
      <c r="AO104" s="104" t="s">
        <v>1564</v>
      </c>
      <c r="AP104" s="107" t="s">
        <v>1565</v>
      </c>
      <c r="AQ104" s="107" t="s">
        <v>1566</v>
      </c>
      <c r="AR104" s="104"/>
      <c r="AS104" s="104"/>
      <c r="AT104" s="104"/>
      <c r="AU104" s="104"/>
      <c r="AV104" s="104"/>
      <c r="AW104" s="104"/>
      <c r="AX104" s="104"/>
      <c r="AY104" s="104"/>
      <c r="AZ104" s="104"/>
      <c r="BA104" s="104"/>
      <c r="BB104" s="66"/>
      <c r="BC104" s="103" t="n">
        <v>-1</v>
      </c>
      <c r="BD104" s="103" t="n">
        <v>0</v>
      </c>
      <c r="BE104" s="103" t="n">
        <v>1</v>
      </c>
      <c r="BF104" s="103" t="n">
        <v>2</v>
      </c>
      <c r="BG104" s="103" t="n">
        <v>3</v>
      </c>
      <c r="BH104" s="103" t="n">
        <v>4</v>
      </c>
      <c r="BI104" s="103"/>
      <c r="BJ104" s="103"/>
      <c r="BK104" s="103"/>
      <c r="BL104" s="103"/>
      <c r="BM104" s="103"/>
      <c r="BN104" s="103"/>
      <c r="BO104" s="103"/>
      <c r="BP104" s="103"/>
      <c r="BQ104" s="103"/>
      <c r="BR104" s="103"/>
      <c r="BS104" s="104" t="n">
        <v>-1</v>
      </c>
      <c r="BT104" s="104" t="n">
        <v>0</v>
      </c>
      <c r="BU104" s="104" t="n">
        <v>1</v>
      </c>
      <c r="BV104" s="104" t="n">
        <v>2</v>
      </c>
      <c r="BW104" s="104" t="n">
        <v>3</v>
      </c>
      <c r="BX104" s="104" t="n">
        <v>4</v>
      </c>
      <c r="BY104" s="104"/>
      <c r="BZ104" s="104"/>
      <c r="CA104" s="104"/>
      <c r="CB104" s="104"/>
      <c r="CC104" s="104"/>
      <c r="CD104" s="104"/>
      <c r="CE104" s="104"/>
      <c r="CF104" s="104"/>
      <c r="CG104" s="104"/>
      <c r="CH104" s="104"/>
      <c r="CJ104" s="95"/>
      <c r="CK104" s="95"/>
      <c r="CL104" s="95"/>
      <c r="CM104" s="95"/>
      <c r="CN104" s="95"/>
      <c r="CO104" s="95"/>
      <c r="CP104" s="95"/>
      <c r="CQ104" s="95"/>
      <c r="CR104" s="95"/>
      <c r="CS104" s="95"/>
      <c r="CT104" s="95"/>
      <c r="CU104" s="95"/>
      <c r="CV104" s="95"/>
      <c r="CW104" s="95"/>
      <c r="CX104" s="95"/>
      <c r="CY104" s="95"/>
      <c r="CZ104" s="95"/>
      <c r="DA104" s="95"/>
      <c r="DB104" s="95"/>
      <c r="DC104" s="95"/>
      <c r="DD104" s="95"/>
      <c r="DE104" s="95"/>
      <c r="DF104" s="95"/>
      <c r="DG104" s="95"/>
      <c r="DL104" s="108"/>
      <c r="DM104" s="108"/>
      <c r="DN104" s="109" t="str">
        <f aca="false">"D6.scenario.defInput["""&amp;B104&amp;"""] = {  "&amp;E$2&amp;":"""&amp;E104&amp;""",  "&amp;C$2&amp;":"""&amp;CLEAN(SUBSTITUTE(C104,"""",""""))&amp;""",  "&amp;F$2&amp;":"""&amp;F104&amp;""",  "&amp;H$2&amp;":"""&amp;CLEAN(SUBSTITUTE(H104,"""",""""))&amp;""", "&amp;J$2&amp;":"""&amp;J104&amp;""", "&amp;L$2&amp;":"""&amp;L104&amp;""", "&amp;M$2&amp;":"""&amp;M104&amp;""", "&amp;N$2&amp;":"""&amp;N104&amp;""", "&amp;O$2&amp;":"""&amp;O104&amp;""", "&amp;P$2&amp;":"""&amp;P104&amp;""", "&amp;Q$2&amp;":"""&amp;Q104&amp;""", "&amp;R$2&amp;":"""&amp;R104&amp;""", d11t:"""&amp;CJ104&amp;""",d11p:"""&amp;CK104&amp;""",d12t:"""&amp;CL104&amp;""",d12p:"""&amp;CM104&amp;""",d13t:"""&amp;CN104&amp;""",d13p:"""&amp;CO104&amp;""",d1w:"""&amp;CP104&amp;""",d1d:"""&amp;CQ104&amp;""", d21t:"""&amp;CR104&amp;""",d21p:"""&amp;CS104&amp;""",d22t:"""&amp;CT104&amp;""",d22p:"""&amp;CU104&amp;""",d23t:"""&amp;CV104&amp;""",d23p:"""&amp;CW104&amp;""",d2w:"""&amp;CX104&amp;""",d2d:"""&amp;CY104&amp;""", d31t:"""&amp;CZ104&amp;""",d31p:"""&amp;DA104&amp;""",d32t:"""&amp;DB104&amp;""",d32p:"""&amp;DC104&amp;""",d33t:"""&amp;DD104&amp;""",d33p:"""&amp;DE104&amp;""",d3w:"""&amp;DF104&amp;""",d3d:"""&amp;DG104&amp;"""}; "</f>
        <v>D6.scenario.defInput["i272"] = {  cons:"consACcool",  title:"冷房時間帯",  unit:"",  text:"主にいつの時間帯に冷房を使いますか", inputType:"sel272", right:"", postfix:"", nodata:"", varType:"Number", min:"", max:"", defaultValue:"-1", d11t:"",d11p:"",d12t:"",d12p:"",d13t:"",d13p:"",d1w:"",d1d:"", d21t:"",d21p:"",d22t:"",d22p:"",d23t:"",d23p:"",d2w:"",d2d:"", d31t:"",d31p:"",d32t:"",d32p:"",d33t:"",d33p:"",d3w:"",d3d:""}; </v>
      </c>
      <c r="DO104" s="110"/>
      <c r="DP104" s="110"/>
      <c r="DQ104" s="111" t="str">
        <f aca="false">"D6.scenario.defSelectValue["""&amp;U104&amp;"""]= [ """&amp;CLEAN(V104)&amp;""", """&amp;CLEAN(W104)&amp;IF(X104="","",""", """&amp;CLEAN(X104))&amp;IF(Y104="","",""", """&amp;CLEAN(Y104))&amp;IF(Z104="","",""", """&amp;CLEAN(Z104))&amp;IF(AA104="","",""", """&amp;CLEAN(AA104))&amp;IF(AB104="","",""", """&amp;CLEAN(AB104))&amp;IF(AC104="","",""", """&amp;CLEAN(AC104))&amp;IF(AD104="","",""", """&amp;CLEAN(AD104))&amp;IF(AE104="","",""", """&amp;CLEAN(AE104))&amp;IF(AF104="","",""", """&amp;CLEAN(AF104))&amp;IF(AG104="","",""", """&amp;CLEAN(AG104))&amp;IF(AH104="","",""", """&amp;CLEAN(AH104))&amp;IF(AI104="","",""", """&amp;CLEAN(AI104))&amp;IF(AJ104="","",""", """&amp;CLEAN(AJ104))&amp;IF(AK104="","",""", """&amp;CLEAN(AK104))&amp;""" ];"</f>
        <v>D6.scenario.defSelectValue["sel272"]= [ "選んで下さい", "使わない", "朝", "昼", "夕方", "夜" ];</v>
      </c>
      <c r="DR104" s="112"/>
      <c r="DS104" s="112"/>
      <c r="DT104" s="112" t="str">
        <f aca="false">"D6.scenario.defSelectData['"&amp;U104&amp;"']= [ '"&amp;BC104&amp;"', '"&amp;BD104&amp;"', '"&amp;BE104&amp;IF(BF104="","","', '"&amp;BF104)&amp;IF(BG104="","","', '"&amp;BG104)&amp;IF(BH104="","","', '"&amp;BH104)&amp;IF(BI104="","","', '"&amp;BI104)&amp;IF(BJ104="","","', '"&amp;BJ104)&amp;IF(BK104="","","', '"&amp;BK104)&amp;IF(BL104="","","', '"&amp;BL104)&amp;IF(BM104="","","', '"&amp;BM104)&amp;IF(BN104="","","', '"&amp;BN104)&amp;IF(BO104="","","', '"&amp;BO104)&amp;IF(BP104="","","', '"&amp;BP104)&amp;IF(BQ104="","","', '"&amp;BQ104)&amp;IF(BR104="","","', '"&amp;BR104)&amp;"' ];"</f>
        <v>D6.scenario.defSelectData['sel272']= [ '-1', '0', '1', '2', '3', '4' ];</v>
      </c>
    </row>
    <row r="105" s="88" customFormat="true" ht="43.5" hidden="false" customHeight="true" outlineLevel="0" collapsed="false">
      <c r="A105" s="66"/>
      <c r="B105" s="105" t="s">
        <v>1603</v>
      </c>
      <c r="C105" s="103" t="s">
        <v>693</v>
      </c>
      <c r="D105" s="104" t="s">
        <v>693</v>
      </c>
      <c r="E105" s="95" t="s">
        <v>251</v>
      </c>
      <c r="F105" s="103" t="s">
        <v>1406</v>
      </c>
      <c r="G105" s="104" t="s">
        <v>1406</v>
      </c>
      <c r="H105" s="103" t="s">
        <v>1568</v>
      </c>
      <c r="I105" s="104" t="s">
        <v>1568</v>
      </c>
      <c r="J105" s="103" t="str">
        <f aca="false">IF(K105="","",K105)</f>
        <v>sel273</v>
      </c>
      <c r="K105" s="104" t="str">
        <f aca="false">"sel"&amp;MID($B105,2,5)</f>
        <v>sel273</v>
      </c>
      <c r="L105" s="105"/>
      <c r="M105" s="105"/>
      <c r="N105" s="105"/>
      <c r="O105" s="95" t="s">
        <v>931</v>
      </c>
      <c r="P105" s="105"/>
      <c r="Q105" s="105"/>
      <c r="R105" s="95" t="n">
        <v>-1</v>
      </c>
      <c r="S105" s="66"/>
      <c r="T105" s="66"/>
      <c r="U105" s="106" t="str">
        <f aca="false">J105</f>
        <v>sel273</v>
      </c>
      <c r="V105" s="103" t="s">
        <v>979</v>
      </c>
      <c r="W105" s="116" t="s">
        <v>1569</v>
      </c>
      <c r="X105" s="103" t="s">
        <v>1415</v>
      </c>
      <c r="Y105" s="116" t="s">
        <v>1570</v>
      </c>
      <c r="Z105" s="103" t="s">
        <v>1571</v>
      </c>
      <c r="AA105" s="116" t="s">
        <v>1572</v>
      </c>
      <c r="AB105" s="103" t="s">
        <v>1573</v>
      </c>
      <c r="AC105" s="116" t="s">
        <v>1574</v>
      </c>
      <c r="AD105" s="103" t="s">
        <v>1170</v>
      </c>
      <c r="AE105" s="103"/>
      <c r="AF105" s="103"/>
      <c r="AG105" s="103"/>
      <c r="AH105" s="103"/>
      <c r="AI105" s="103"/>
      <c r="AJ105" s="103"/>
      <c r="AK105" s="103"/>
      <c r="AL105" s="104" t="s">
        <v>979</v>
      </c>
      <c r="AM105" s="118" t="s">
        <v>1569</v>
      </c>
      <c r="AN105" s="104" t="s">
        <v>1415</v>
      </c>
      <c r="AO105" s="117" t="s">
        <v>1570</v>
      </c>
      <c r="AP105" s="107" t="s">
        <v>1571</v>
      </c>
      <c r="AQ105" s="117" t="s">
        <v>1572</v>
      </c>
      <c r="AR105" s="104" t="s">
        <v>1573</v>
      </c>
      <c r="AS105" s="118" t="s">
        <v>1574</v>
      </c>
      <c r="AT105" s="104" t="s">
        <v>1170</v>
      </c>
      <c r="AU105" s="104"/>
      <c r="AV105" s="104"/>
      <c r="AW105" s="104"/>
      <c r="AX105" s="104"/>
      <c r="AY105" s="104"/>
      <c r="AZ105" s="104"/>
      <c r="BA105" s="104"/>
      <c r="BB105" s="66"/>
      <c r="BC105" s="103" t="n">
        <v>-1</v>
      </c>
      <c r="BD105" s="103" t="n">
        <v>24</v>
      </c>
      <c r="BE105" s="103" t="n">
        <v>25</v>
      </c>
      <c r="BF105" s="103" t="n">
        <v>26</v>
      </c>
      <c r="BG105" s="103" t="n">
        <v>27</v>
      </c>
      <c r="BH105" s="103" t="n">
        <v>28</v>
      </c>
      <c r="BI105" s="103" t="n">
        <v>29</v>
      </c>
      <c r="BJ105" s="103" t="n">
        <v>30</v>
      </c>
      <c r="BK105" s="103" t="n">
        <v>0</v>
      </c>
      <c r="BL105" s="103"/>
      <c r="BM105" s="103"/>
      <c r="BN105" s="103"/>
      <c r="BO105" s="103"/>
      <c r="BP105" s="103"/>
      <c r="BQ105" s="103"/>
      <c r="BR105" s="103"/>
      <c r="BS105" s="104" t="n">
        <v>-1</v>
      </c>
      <c r="BT105" s="104" t="n">
        <v>24</v>
      </c>
      <c r="BU105" s="104" t="n">
        <v>25</v>
      </c>
      <c r="BV105" s="104" t="n">
        <v>26</v>
      </c>
      <c r="BW105" s="104" t="n">
        <v>27</v>
      </c>
      <c r="BX105" s="104" t="n">
        <v>28</v>
      </c>
      <c r="BY105" s="104" t="n">
        <v>29</v>
      </c>
      <c r="BZ105" s="104" t="n">
        <v>30</v>
      </c>
      <c r="CA105" s="104" t="n">
        <v>0</v>
      </c>
      <c r="CB105" s="104"/>
      <c r="CC105" s="104"/>
      <c r="CD105" s="104"/>
      <c r="CE105" s="104"/>
      <c r="CF105" s="104"/>
      <c r="CG105" s="104"/>
      <c r="CH105" s="104"/>
      <c r="CJ105" s="95"/>
      <c r="CK105" s="95"/>
      <c r="CL105" s="95"/>
      <c r="CM105" s="95"/>
      <c r="CN105" s="95"/>
      <c r="CO105" s="95"/>
      <c r="CP105" s="95"/>
      <c r="CQ105" s="95"/>
      <c r="CR105" s="95"/>
      <c r="CS105" s="95"/>
      <c r="CT105" s="95"/>
      <c r="CU105" s="95"/>
      <c r="CV105" s="95"/>
      <c r="CW105" s="95"/>
      <c r="CX105" s="95"/>
      <c r="CY105" s="95"/>
      <c r="CZ105" s="95"/>
      <c r="DA105" s="95"/>
      <c r="DB105" s="95"/>
      <c r="DC105" s="95"/>
      <c r="DD105" s="95"/>
      <c r="DE105" s="95"/>
      <c r="DF105" s="95"/>
      <c r="DG105" s="95"/>
      <c r="DL105" s="108"/>
      <c r="DM105" s="108"/>
      <c r="DN105" s="109" t="str">
        <f aca="false">"D6.scenario.defInput["""&amp;B105&amp;"""] = {  "&amp;E$2&amp;":"""&amp;E105&amp;""",  "&amp;C$2&amp;":"""&amp;CLEAN(SUBSTITUTE(C105,"""",""""))&amp;""",  "&amp;F$2&amp;":"""&amp;F105&amp;""",  "&amp;H$2&amp;":"""&amp;CLEAN(SUBSTITUTE(H105,"""",""""))&amp;""", "&amp;J$2&amp;":"""&amp;J105&amp;""", "&amp;L$2&amp;":"""&amp;L105&amp;""", "&amp;M$2&amp;":"""&amp;M105&amp;""", "&amp;N$2&amp;":"""&amp;N105&amp;""", "&amp;O$2&amp;":"""&amp;O105&amp;""", "&amp;P$2&amp;":"""&amp;P105&amp;""", "&amp;Q$2&amp;":"""&amp;Q105&amp;""", "&amp;R$2&amp;":"""&amp;R105&amp;""", d11t:"""&amp;CJ105&amp;""",d11p:"""&amp;CK105&amp;""",d12t:"""&amp;CL105&amp;""",d12p:"""&amp;CM105&amp;""",d13t:"""&amp;CN105&amp;""",d13p:"""&amp;CO105&amp;""",d1w:"""&amp;CP105&amp;""",d1d:"""&amp;CQ105&amp;""", d21t:"""&amp;CR105&amp;""",d21p:"""&amp;CS105&amp;""",d22t:"""&amp;CT105&amp;""",d22p:"""&amp;CU105&amp;""",d23t:"""&amp;CV105&amp;""",d23p:"""&amp;CW105&amp;""",d2w:"""&amp;CX105&amp;""",d2d:"""&amp;CY105&amp;""", d31t:"""&amp;CZ105&amp;""",d31p:"""&amp;DA105&amp;""",d32t:"""&amp;DB105&amp;""",d32p:"""&amp;DC105&amp;""",d33t:"""&amp;DD105&amp;""",d33p:"""&amp;DE105&amp;""",d3w:"""&amp;DF105&amp;""",d3d:"""&amp;DG105&amp;"""}; "</f>
        <v>D6.scenario.defInput["i273"] = {  cons:"consACcool",  title:"冷房設定温度",  unit:"℃",  text:"冷房をするときには何℃に設定しますか。", inputType:"sel273", right:"", postfix:"", nodata:"", varType:"Number", min:"", max:"", defaultValue:"-1", d11t:"",d11p:"",d12t:"",d12p:"",d13t:"",d13p:"",d1w:"",d1d:"", d21t:"",d21p:"",d22t:"",d22p:"",d23t:"",d23p:"",d2w:"",d2d:"", d31t:"",d31p:"",d32t:"",d32p:"",d33t:"",d33p:"",d3w:"",d3d:""}; </v>
      </c>
      <c r="DO105" s="110"/>
      <c r="DP105" s="110"/>
      <c r="DQ105" s="111" t="str">
        <f aca="false">"D6.scenario.defSelectValue["""&amp;U105&amp;"""]= [ """&amp;CLEAN(V105)&amp;""", """&amp;CLEAN(W105)&amp;IF(X105="","",""", """&amp;CLEAN(X105))&amp;IF(Y105="","",""", """&amp;CLEAN(Y105))&amp;IF(Z105="","",""", """&amp;CLEAN(Z105))&amp;IF(AA105="","",""", """&amp;CLEAN(AA105))&amp;IF(AB105="","",""", """&amp;CLEAN(AB105))&amp;IF(AC105="","",""", """&amp;CLEAN(AC105))&amp;IF(AD105="","",""", """&amp;CLEAN(AD105))&amp;IF(AE105="","",""", """&amp;CLEAN(AE105))&amp;IF(AF105="","",""", """&amp;CLEAN(AF105))&amp;IF(AG105="","",""", """&amp;CLEAN(AG105))&amp;IF(AH105="","",""", """&amp;CLEAN(AH105))&amp;IF(AI105="","",""", """&amp;CLEAN(AI105))&amp;IF(AJ105="","",""", """&amp;CLEAN(AJ105))&amp;IF(AK105="","",""", """&amp;CLEAN(AK105))&amp;""" ];"</f>
        <v>D6.scenario.defSelectValue["sel273"]= [ "選んで下さい", "24℃以下", "25℃", "26℃", "27℃", "28℃", "29℃", "30℃", "使わない" ];</v>
      </c>
      <c r="DR105" s="112"/>
      <c r="DS105" s="112"/>
      <c r="DT105" s="112" t="str">
        <f aca="false">"D6.scenario.defSelectData['"&amp;U105&amp;"']= [ '"&amp;BC105&amp;"', '"&amp;BD105&amp;"', '"&amp;BE105&amp;IF(BF105="","","', '"&amp;BF105)&amp;IF(BG105="","","', '"&amp;BG105)&amp;IF(BH105="","","', '"&amp;BH105)&amp;IF(BI105="","","', '"&amp;BI105)&amp;IF(BJ105="","","', '"&amp;BJ105)&amp;IF(BK105="","","', '"&amp;BK105)&amp;IF(BL105="","","', '"&amp;BL105)&amp;IF(BM105="","","', '"&amp;BM105)&amp;IF(BN105="","","', '"&amp;BN105)&amp;IF(BO105="","","', '"&amp;BO105)&amp;IF(BP105="","","', '"&amp;BP105)&amp;IF(BQ105="","","', '"&amp;BQ105)&amp;IF(BR105="","","', '"&amp;BR105)&amp;"' ];"</f>
        <v>D6.scenario.defSelectData['sel273']= [ '-1', '24', '25', '26', '27', '28', '29', '30', '0' ];</v>
      </c>
    </row>
    <row r="106" s="88" customFormat="true" ht="43.5" hidden="false" customHeight="true" outlineLevel="0" collapsed="false">
      <c r="A106" s="66"/>
      <c r="B106" s="105" t="s">
        <v>1604</v>
      </c>
      <c r="C106" s="103" t="s">
        <v>1576</v>
      </c>
      <c r="D106" s="104" t="s">
        <v>1576</v>
      </c>
      <c r="E106" s="95" t="s">
        <v>251</v>
      </c>
      <c r="F106" s="103" t="s">
        <v>1338</v>
      </c>
      <c r="G106" s="104" t="s">
        <v>1338</v>
      </c>
      <c r="H106" s="103" t="s">
        <v>1577</v>
      </c>
      <c r="I106" s="104" t="s">
        <v>1576</v>
      </c>
      <c r="J106" s="103" t="str">
        <f aca="false">IF(K106="","",K106)</f>
        <v>sel274</v>
      </c>
      <c r="K106" s="104" t="str">
        <f aca="false">"sel"&amp;MID($B106,2,5)</f>
        <v>sel274</v>
      </c>
      <c r="L106" s="105"/>
      <c r="M106" s="105"/>
      <c r="N106" s="105"/>
      <c r="O106" s="95" t="s">
        <v>931</v>
      </c>
      <c r="P106" s="105"/>
      <c r="Q106" s="105"/>
      <c r="R106" s="95" t="n">
        <v>-1</v>
      </c>
      <c r="S106" s="66"/>
      <c r="T106" s="66"/>
      <c r="U106" s="106" t="str">
        <f aca="false">J106</f>
        <v>sel274</v>
      </c>
      <c r="V106" s="103" t="s">
        <v>979</v>
      </c>
      <c r="W106" s="103" t="s">
        <v>1578</v>
      </c>
      <c r="X106" s="116" t="s">
        <v>1421</v>
      </c>
      <c r="Y106" s="103" t="s">
        <v>1341</v>
      </c>
      <c r="Z106" s="103" t="s">
        <v>1422</v>
      </c>
      <c r="AA106" s="103" t="s">
        <v>1342</v>
      </c>
      <c r="AB106" s="103" t="s">
        <v>1423</v>
      </c>
      <c r="AC106" s="103" t="s">
        <v>1343</v>
      </c>
      <c r="AD106" s="103"/>
      <c r="AE106" s="103"/>
      <c r="AF106" s="103"/>
      <c r="AG106" s="103"/>
      <c r="AH106" s="103"/>
      <c r="AI106" s="103"/>
      <c r="AJ106" s="103"/>
      <c r="AK106" s="103"/>
      <c r="AL106" s="104" t="s">
        <v>979</v>
      </c>
      <c r="AM106" s="104" t="s">
        <v>1578</v>
      </c>
      <c r="AN106" s="118" t="s">
        <v>1421</v>
      </c>
      <c r="AO106" s="107" t="s">
        <v>1341</v>
      </c>
      <c r="AP106" s="107" t="s">
        <v>1422</v>
      </c>
      <c r="AQ106" s="104" t="s">
        <v>1342</v>
      </c>
      <c r="AR106" s="104" t="s">
        <v>1423</v>
      </c>
      <c r="AS106" s="104" t="s">
        <v>1343</v>
      </c>
      <c r="AT106" s="104"/>
      <c r="AU106" s="104"/>
      <c r="AV106" s="104"/>
      <c r="AW106" s="104"/>
      <c r="AX106" s="104"/>
      <c r="AY106" s="104"/>
      <c r="AZ106" s="104"/>
      <c r="BA106" s="104"/>
      <c r="BB106" s="66"/>
      <c r="BC106" s="103" t="n">
        <v>-1</v>
      </c>
      <c r="BD106" s="103" t="n">
        <v>0</v>
      </c>
      <c r="BE106" s="103" t="n">
        <v>1</v>
      </c>
      <c r="BF106" s="103" t="n">
        <v>2</v>
      </c>
      <c r="BG106" s="103" t="n">
        <v>3</v>
      </c>
      <c r="BH106" s="103" t="n">
        <v>4</v>
      </c>
      <c r="BI106" s="103" t="n">
        <v>5</v>
      </c>
      <c r="BJ106" s="103" t="n">
        <v>6</v>
      </c>
      <c r="BK106" s="103"/>
      <c r="BL106" s="103"/>
      <c r="BM106" s="103"/>
      <c r="BN106" s="103"/>
      <c r="BO106" s="103"/>
      <c r="BP106" s="103"/>
      <c r="BQ106" s="103"/>
      <c r="BR106" s="103"/>
      <c r="BS106" s="104" t="n">
        <v>-1</v>
      </c>
      <c r="BT106" s="104" t="n">
        <v>0</v>
      </c>
      <c r="BU106" s="104" t="n">
        <v>1</v>
      </c>
      <c r="BV106" s="104" t="n">
        <v>2</v>
      </c>
      <c r="BW106" s="104" t="n">
        <v>3</v>
      </c>
      <c r="BX106" s="104" t="n">
        <v>4</v>
      </c>
      <c r="BY106" s="104" t="n">
        <v>5</v>
      </c>
      <c r="BZ106" s="104" t="n">
        <v>6</v>
      </c>
      <c r="CA106" s="104"/>
      <c r="CB106" s="104"/>
      <c r="CC106" s="104"/>
      <c r="CD106" s="104"/>
      <c r="CE106" s="104"/>
      <c r="CF106" s="104"/>
      <c r="CG106" s="104"/>
      <c r="CH106" s="104"/>
      <c r="CJ106" s="95"/>
      <c r="CK106" s="95"/>
      <c r="CL106" s="95"/>
      <c r="CM106" s="95"/>
      <c r="CN106" s="95"/>
      <c r="CO106" s="95"/>
      <c r="CP106" s="95"/>
      <c r="CQ106" s="95"/>
      <c r="CR106" s="95"/>
      <c r="CS106" s="95"/>
      <c r="CT106" s="95"/>
      <c r="CU106" s="95"/>
      <c r="CV106" s="95"/>
      <c r="CW106" s="95"/>
      <c r="CX106" s="95"/>
      <c r="CY106" s="95"/>
      <c r="CZ106" s="95"/>
      <c r="DA106" s="95"/>
      <c r="DB106" s="95"/>
      <c r="DC106" s="95"/>
      <c r="DD106" s="95"/>
      <c r="DE106" s="95"/>
      <c r="DF106" s="95"/>
      <c r="DG106" s="95"/>
      <c r="DL106" s="108"/>
      <c r="DM106" s="108"/>
      <c r="DN106" s="109" t="str">
        <f aca="false">"D6.scenario.defInput["""&amp;B106&amp;"""] = {  "&amp;E$2&amp;":"""&amp;E106&amp;""",  "&amp;C$2&amp;":"""&amp;CLEAN(SUBSTITUTE(C106,"""",""""))&amp;""",  "&amp;F$2&amp;":"""&amp;F106&amp;""",  "&amp;H$2&amp;":"""&amp;CLEAN(SUBSTITUTE(H106,"""",""""))&amp;""", "&amp;J$2&amp;":"""&amp;J106&amp;""", "&amp;L$2&amp;":"""&amp;L106&amp;""", "&amp;M$2&amp;":"""&amp;M106&amp;""", "&amp;N$2&amp;":"""&amp;N106&amp;""", "&amp;O$2&amp;":"""&amp;O106&amp;""", "&amp;P$2&amp;":"""&amp;P106&amp;""", "&amp;Q$2&amp;":"""&amp;Q106&amp;""", "&amp;R$2&amp;":"""&amp;R106&amp;""", d11t:"""&amp;CJ106&amp;""",d11p:"""&amp;CK106&amp;""",d12t:"""&amp;CL106&amp;""",d12p:"""&amp;CM106&amp;""",d13t:"""&amp;CN106&amp;""",d13p:"""&amp;CO106&amp;""",d1w:"""&amp;CP106&amp;""",d1d:"""&amp;CQ106&amp;""", d21t:"""&amp;CR106&amp;""",d21p:"""&amp;CS106&amp;""",d22t:"""&amp;CT106&amp;""",d22p:"""&amp;CU106&amp;""",d23t:"""&amp;CV106&amp;""",d23p:"""&amp;CW106&amp;""",d2w:"""&amp;CX106&amp;""",d2d:"""&amp;CY106&amp;""", d31t:"""&amp;CZ106&amp;""",d31p:"""&amp;DA106&amp;""",d32t:"""&amp;DB106&amp;""",d32p:"""&amp;DC106&amp;""",d33t:"""&amp;DD106&amp;""",d33p:"""&amp;DE106&amp;""",d3w:"""&amp;DF106&amp;""",d3d:"""&amp;DG106&amp;"""}; "</f>
        <v>D6.scenario.defInput["i274"] = {  cons:"consACcool",  title:"冷房する期間（除湿含む）",  unit:"ヶ月",  text:"冷房する期間（除湿含む）は何ヶ月ですか", inputType:"sel274", right:"", postfix:"", nodata:"", varType:"Number", min:"", max:"", defaultValue:"-1", d11t:"",d11p:"",d12t:"",d12p:"",d13t:"",d13p:"",d1w:"",d1d:"", d21t:"",d21p:"",d22t:"",d22p:"",d23t:"",d23p:"",d2w:"",d2d:"", d31t:"",d31p:"",d32t:"",d32p:"",d33t:"",d33p:"",d3w:"",d3d:""}; </v>
      </c>
      <c r="DO106" s="110"/>
      <c r="DP106" s="110"/>
      <c r="DQ106" s="111" t="str">
        <f aca="false">"D6.scenario.defSelectValue["""&amp;U106&amp;"""]= [ """&amp;CLEAN(V106)&amp;""", """&amp;CLEAN(W106)&amp;IF(X106="","",""", """&amp;CLEAN(X106))&amp;IF(Y106="","",""", """&amp;CLEAN(Y106))&amp;IF(Z106="","",""", """&amp;CLEAN(Z106))&amp;IF(AA106="","",""", """&amp;CLEAN(AA106))&amp;IF(AB106="","",""", """&amp;CLEAN(AB106))&amp;IF(AC106="","",""", """&amp;CLEAN(AC106))&amp;IF(AD106="","",""", """&amp;CLEAN(AD106))&amp;IF(AE106="","",""", """&amp;CLEAN(AE106))&amp;IF(AF106="","",""", """&amp;CLEAN(AF106))&amp;IF(AG106="","",""", """&amp;CLEAN(AG106))&amp;IF(AH106="","",""", """&amp;CLEAN(AH106))&amp;IF(AI106="","",""", """&amp;CLEAN(AI106))&amp;IF(AJ106="","",""", """&amp;CLEAN(AJ106))&amp;IF(AK106="","",""", """&amp;CLEAN(AK106))&amp;""" ];"</f>
        <v>D6.scenario.defSelectValue["sel274"]= [ "選んで下さい", "冷房をしない", "1ヶ月", "2ヶ月", "3ヶ月", "4ヶ月", "5ヶ月", "6ヶ月" ];</v>
      </c>
      <c r="DR106" s="112"/>
      <c r="DS106" s="112"/>
      <c r="DT106" s="112" t="str">
        <f aca="false">"D6.scenario.defSelectData['"&amp;U106&amp;"']= [ '"&amp;BC106&amp;"', '"&amp;BD106&amp;"', '"&amp;BE106&amp;IF(BF106="","","', '"&amp;BF106)&amp;IF(BG106="","","', '"&amp;BG106)&amp;IF(BH106="","","', '"&amp;BH106)&amp;IF(BI106="","","', '"&amp;BI106)&amp;IF(BJ106="","","', '"&amp;BJ106)&amp;IF(BK106="","","', '"&amp;BK106)&amp;IF(BL106="","","', '"&amp;BL106)&amp;IF(BM106="","","', '"&amp;BM106)&amp;IF(BN106="","","', '"&amp;BN106)&amp;IF(BO106="","","', '"&amp;BO106)&amp;IF(BP106="","","', '"&amp;BP106)&amp;IF(BQ106="","","', '"&amp;BQ106)&amp;IF(BR106="","","', '"&amp;BR106)&amp;"' ];"</f>
        <v>D6.scenario.defSelectData['sel274']= [ '-1', '0', '1', '2', '3', '4', '5', '6' ];</v>
      </c>
    </row>
    <row r="107" s="88" customFormat="true" ht="43.5" hidden="false" customHeight="true" outlineLevel="0" collapsed="false">
      <c r="B107" s="105" t="s">
        <v>1605</v>
      </c>
      <c r="C107" s="103" t="s">
        <v>1580</v>
      </c>
      <c r="D107" s="104" t="s">
        <v>1580</v>
      </c>
      <c r="E107" s="95" t="s">
        <v>251</v>
      </c>
      <c r="F107" s="103"/>
      <c r="G107" s="104"/>
      <c r="H107" s="103" t="s">
        <v>1581</v>
      </c>
      <c r="I107" s="104" t="s">
        <v>1581</v>
      </c>
      <c r="J107" s="103" t="str">
        <f aca="false">IF(K107="","",K107)</f>
        <v>sel275</v>
      </c>
      <c r="K107" s="104" t="str">
        <f aca="false">"sel"&amp;MID($B107,2,5)</f>
        <v>sel275</v>
      </c>
      <c r="L107" s="105"/>
      <c r="M107" s="105"/>
      <c r="N107" s="105"/>
      <c r="O107" s="95" t="s">
        <v>931</v>
      </c>
      <c r="P107" s="105"/>
      <c r="Q107" s="105"/>
      <c r="R107" s="95" t="n">
        <v>-1</v>
      </c>
      <c r="T107" s="66"/>
      <c r="U107" s="106" t="str">
        <f aca="false">J107</f>
        <v>sel275</v>
      </c>
      <c r="V107" s="103" t="s">
        <v>979</v>
      </c>
      <c r="W107" s="103" t="s">
        <v>1582</v>
      </c>
      <c r="X107" s="103" t="s">
        <v>1583</v>
      </c>
      <c r="Y107" s="103" t="s">
        <v>1587</v>
      </c>
      <c r="Z107" s="103" t="s">
        <v>1585</v>
      </c>
      <c r="AA107" s="103" t="s">
        <v>1586</v>
      </c>
      <c r="AB107" s="103"/>
      <c r="AC107" s="103"/>
      <c r="AD107" s="103"/>
      <c r="AE107" s="103"/>
      <c r="AF107" s="103"/>
      <c r="AG107" s="103"/>
      <c r="AH107" s="103"/>
      <c r="AI107" s="103"/>
      <c r="AJ107" s="103"/>
      <c r="AK107" s="103"/>
      <c r="AL107" s="104" t="s">
        <v>979</v>
      </c>
      <c r="AM107" s="107" t="s">
        <v>1582</v>
      </c>
      <c r="AN107" s="107" t="s">
        <v>1583</v>
      </c>
      <c r="AO107" s="107" t="s">
        <v>1587</v>
      </c>
      <c r="AP107" s="107" t="s">
        <v>1585</v>
      </c>
      <c r="AQ107" s="104" t="s">
        <v>1586</v>
      </c>
      <c r="AR107" s="104"/>
      <c r="AS107" s="104"/>
      <c r="AT107" s="104"/>
      <c r="AU107" s="104"/>
      <c r="AV107" s="104"/>
      <c r="AW107" s="104"/>
      <c r="AX107" s="104"/>
      <c r="AY107" s="104"/>
      <c r="AZ107" s="104"/>
      <c r="BA107" s="104"/>
      <c r="BB107" s="66"/>
      <c r="BC107" s="103" t="n">
        <v>-1</v>
      </c>
      <c r="BD107" s="103" t="n">
        <v>1</v>
      </c>
      <c r="BE107" s="103" t="n">
        <v>2</v>
      </c>
      <c r="BF107" s="103" t="n">
        <v>3</v>
      </c>
      <c r="BG107" s="103" t="n">
        <v>4</v>
      </c>
      <c r="BH107" s="103" t="n">
        <v>5</v>
      </c>
      <c r="BI107" s="103"/>
      <c r="BJ107" s="103"/>
      <c r="BK107" s="103"/>
      <c r="BL107" s="103"/>
      <c r="BM107" s="103"/>
      <c r="BN107" s="103"/>
      <c r="BO107" s="103"/>
      <c r="BP107" s="103"/>
      <c r="BQ107" s="103"/>
      <c r="BR107" s="103"/>
      <c r="BS107" s="104" t="n">
        <v>-1</v>
      </c>
      <c r="BT107" s="104" t="n">
        <v>1</v>
      </c>
      <c r="BU107" s="104" t="n">
        <v>2</v>
      </c>
      <c r="BV107" s="104" t="n">
        <v>3</v>
      </c>
      <c r="BW107" s="104" t="n">
        <v>4</v>
      </c>
      <c r="BX107" s="104" t="n">
        <v>5</v>
      </c>
      <c r="BY107" s="104"/>
      <c r="BZ107" s="104"/>
      <c r="CA107" s="104"/>
      <c r="CB107" s="104"/>
      <c r="CC107" s="104"/>
      <c r="CD107" s="104"/>
      <c r="CE107" s="104"/>
      <c r="CF107" s="104"/>
      <c r="CG107" s="104"/>
      <c r="CH107" s="104"/>
      <c r="CJ107" s="95"/>
      <c r="CK107" s="95"/>
      <c r="CL107" s="95"/>
      <c r="CM107" s="95"/>
      <c r="CN107" s="95"/>
      <c r="CO107" s="95"/>
      <c r="CP107" s="95"/>
      <c r="CQ107" s="95"/>
      <c r="CR107" s="95"/>
      <c r="CS107" s="95"/>
      <c r="CT107" s="95"/>
      <c r="CU107" s="95"/>
      <c r="CV107" s="95"/>
      <c r="CW107" s="95"/>
      <c r="CX107" s="95"/>
      <c r="CY107" s="95"/>
      <c r="CZ107" s="95"/>
      <c r="DA107" s="95"/>
      <c r="DB107" s="95"/>
      <c r="DC107" s="95"/>
      <c r="DD107" s="95"/>
      <c r="DE107" s="95"/>
      <c r="DF107" s="95"/>
      <c r="DG107" s="95"/>
      <c r="DL107" s="108"/>
      <c r="DM107" s="108"/>
      <c r="DN107" s="109" t="str">
        <f aca="false">"D6.scenario.defInput["""&amp;B107&amp;"""] = {  "&amp;E$2&amp;":"""&amp;E107&amp;""",  "&amp;C$2&amp;":"""&amp;CLEAN(SUBSTITUTE(C107,"""",""""))&amp;""",  "&amp;F$2&amp;":"""&amp;F107&amp;""",  "&amp;H$2&amp;":"""&amp;CLEAN(SUBSTITUTE(H107,"""",""""))&amp;""", "&amp;J$2&amp;":"""&amp;J107&amp;""", "&amp;L$2&amp;":"""&amp;L107&amp;""", "&amp;M$2&amp;":"""&amp;M107&amp;""", "&amp;N$2&amp;":"""&amp;N107&amp;""", "&amp;O$2&amp;":"""&amp;O107&amp;""", "&amp;P$2&amp;":"""&amp;P107&amp;""", "&amp;Q$2&amp;":"""&amp;Q107&amp;""", "&amp;R$2&amp;":"""&amp;R107&amp;""", d11t:"""&amp;CJ107&amp;""",d11p:"""&amp;CK107&amp;""",d12t:"""&amp;CL107&amp;""",d12p:"""&amp;CM107&amp;""",d13t:"""&amp;CN107&amp;""",d13p:"""&amp;CO107&amp;""",d1w:"""&amp;CP107&amp;""",d1d:"""&amp;CQ107&amp;""", d21t:"""&amp;CR107&amp;""",d21p:"""&amp;CS107&amp;""",d22t:"""&amp;CT107&amp;""",d22p:"""&amp;CU107&amp;""",d23t:"""&amp;CV107&amp;""",d23p:"""&amp;CW107&amp;""",d2w:"""&amp;CX107&amp;""",d2d:"""&amp;CY107&amp;""", d31t:"""&amp;CZ107&amp;""",d31p:"""&amp;DA107&amp;""",d32t:"""&amp;DB107&amp;""",d32p:"""&amp;DC107&amp;""",d33t:"""&amp;DD107&amp;""",d33p:"""&amp;DE107&amp;""",d3w:"""&amp;DF107&amp;""",d3d:"""&amp;DG107&amp;"""}; "</f>
        <v>D6.scenario.defInput["i275"] = {  cons:"consACcool",  title:"部屋の暑さ",  unit:"",  text:"その部屋は暑いですか", inputType:"sel275", right:"", postfix:"", nodata:"", varType:"Number", min:"", max:"", defaultValue:"-1", d11t:"",d11p:"",d12t:"",d12p:"",d13t:"",d13p:"",d1w:"",d1d:"", d21t:"",d21p:"",d22t:"",d22p:"",d23t:"",d23p:"",d2w:"",d2d:"", d31t:"",d31p:"",d32t:"",d32p:"",d33t:"",d33p:"",d3w:"",d3d:""}; </v>
      </c>
      <c r="DO107" s="110"/>
      <c r="DP107" s="110"/>
      <c r="DQ107" s="111" t="str">
        <f aca="false">"D6.scenario.defSelectValue["""&amp;U107&amp;"""]= [ """&amp;CLEAN(V107)&amp;""", """&amp;CLEAN(W107)&amp;IF(X107="","",""", """&amp;CLEAN(X107))&amp;IF(Y107="","",""", """&amp;CLEAN(Y107))&amp;IF(Z107="","",""", """&amp;CLEAN(Z107))&amp;IF(AA107="","",""", """&amp;CLEAN(AA107))&amp;IF(AB107="","",""", """&amp;CLEAN(AB107))&amp;IF(AC107="","",""", """&amp;CLEAN(AC107))&amp;IF(AD107="","",""", """&amp;CLEAN(AD107))&amp;IF(AE107="","",""", """&amp;CLEAN(AE107))&amp;IF(AF107="","",""", """&amp;CLEAN(AF107))&amp;IF(AG107="","",""", """&amp;CLEAN(AG107))&amp;IF(AH107="","",""", """&amp;CLEAN(AH107))&amp;IF(AI107="","",""", """&amp;CLEAN(AI107))&amp;IF(AJ107="","",""", """&amp;CLEAN(AJ107))&amp;IF(AK107="","",""", """&amp;CLEAN(AK107))&amp;""" ];"</f>
        <v>D6.scenario.defSelectValue["sel275"]= [ "選んで下さい", "冷房すると暑さは感じない", "やや暑い", "なかなか涼しくならなお", "冷房しても暑い", "冷房はしない" ];</v>
      </c>
      <c r="DR107" s="112"/>
      <c r="DS107" s="112"/>
      <c r="DT107" s="112" t="str">
        <f aca="false">"D6.scenario.defSelectData['"&amp;U107&amp;"']= [ '"&amp;BC107&amp;"', '"&amp;BD107&amp;"', '"&amp;BE107&amp;IF(BF107="","","', '"&amp;BF107)&amp;IF(BG107="","","', '"&amp;BG107)&amp;IF(BH107="","","', '"&amp;BH107)&amp;IF(BI107="","","', '"&amp;BI107)&amp;IF(BJ107="","","', '"&amp;BJ107)&amp;IF(BK107="","","', '"&amp;BK107)&amp;IF(BL107="","","', '"&amp;BL107)&amp;IF(BM107="","","', '"&amp;BM107)&amp;IF(BN107="","","', '"&amp;BN107)&amp;IF(BO107="","","', '"&amp;BO107)&amp;IF(BP107="","","', '"&amp;BP107)&amp;IF(BQ107="","","', '"&amp;BQ107)&amp;IF(BR107="","","', '"&amp;BR107)&amp;"' ];"</f>
        <v>D6.scenario.defSelectData['sel275']= [ '-1', '1', '2', '3', '4', '5' ];</v>
      </c>
    </row>
    <row r="108" s="88" customFormat="true" ht="43.5" hidden="false" customHeight="true" outlineLevel="0" collapsed="false">
      <c r="B108" s="105" t="s">
        <v>1606</v>
      </c>
      <c r="C108" s="103" t="s">
        <v>1590</v>
      </c>
      <c r="D108" s="104" t="s">
        <v>1590</v>
      </c>
      <c r="E108" s="95" t="s">
        <v>251</v>
      </c>
      <c r="F108" s="103"/>
      <c r="G108" s="104"/>
      <c r="H108" s="103" t="s">
        <v>1591</v>
      </c>
      <c r="I108" s="104" t="s">
        <v>1591</v>
      </c>
      <c r="J108" s="103" t="str">
        <f aca="false">IF(K108="","",K108)</f>
        <v>sel276</v>
      </c>
      <c r="K108" s="104" t="str">
        <f aca="false">"sel"&amp;MID($B108,2,5)</f>
        <v>sel276</v>
      </c>
      <c r="L108" s="105"/>
      <c r="M108" s="105"/>
      <c r="N108" s="105"/>
      <c r="O108" s="95" t="s">
        <v>931</v>
      </c>
      <c r="P108" s="105"/>
      <c r="Q108" s="105"/>
      <c r="R108" s="95" t="n">
        <v>-1</v>
      </c>
      <c r="T108" s="66"/>
      <c r="U108" s="106" t="str">
        <f aca="false">J108</f>
        <v>sel276</v>
      </c>
      <c r="V108" s="103" t="s">
        <v>979</v>
      </c>
      <c r="W108" s="103" t="s">
        <v>1592</v>
      </c>
      <c r="X108" s="103" t="s">
        <v>1593</v>
      </c>
      <c r="Y108" s="103" t="s">
        <v>1594</v>
      </c>
      <c r="Z108" s="103" t="s">
        <v>1062</v>
      </c>
      <c r="AA108" s="103"/>
      <c r="AB108" s="103"/>
      <c r="AC108" s="103"/>
      <c r="AD108" s="103"/>
      <c r="AE108" s="103"/>
      <c r="AF108" s="103"/>
      <c r="AG108" s="103"/>
      <c r="AH108" s="103"/>
      <c r="AI108" s="103"/>
      <c r="AJ108" s="103"/>
      <c r="AK108" s="103"/>
      <c r="AL108" s="104" t="s">
        <v>979</v>
      </c>
      <c r="AM108" s="107" t="s">
        <v>1592</v>
      </c>
      <c r="AN108" s="107" t="s">
        <v>1593</v>
      </c>
      <c r="AO108" s="107" t="s">
        <v>1594</v>
      </c>
      <c r="AP108" s="107" t="s">
        <v>1062</v>
      </c>
      <c r="AQ108" s="104"/>
      <c r="AR108" s="104"/>
      <c r="AS108" s="104"/>
      <c r="AT108" s="104"/>
      <c r="AU108" s="104"/>
      <c r="AV108" s="104"/>
      <c r="AW108" s="104"/>
      <c r="AX108" s="104"/>
      <c r="AY108" s="104"/>
      <c r="AZ108" s="104"/>
      <c r="BA108" s="104"/>
      <c r="BB108" s="66"/>
      <c r="BC108" s="103" t="n">
        <v>-1</v>
      </c>
      <c r="BD108" s="103" t="n">
        <v>1</v>
      </c>
      <c r="BE108" s="103" t="n">
        <v>2</v>
      </c>
      <c r="BF108" s="103" t="n">
        <v>3</v>
      </c>
      <c r="BG108" s="103" t="n">
        <v>4</v>
      </c>
      <c r="BH108" s="103"/>
      <c r="BI108" s="103"/>
      <c r="BJ108" s="103"/>
      <c r="BK108" s="103"/>
      <c r="BL108" s="103"/>
      <c r="BM108" s="103"/>
      <c r="BN108" s="103"/>
      <c r="BO108" s="103"/>
      <c r="BP108" s="103"/>
      <c r="BQ108" s="103"/>
      <c r="BR108" s="103"/>
      <c r="BS108" s="104" t="n">
        <v>-1</v>
      </c>
      <c r="BT108" s="104" t="n">
        <v>1</v>
      </c>
      <c r="BU108" s="104" t="n">
        <v>2</v>
      </c>
      <c r="BV108" s="104" t="n">
        <v>3</v>
      </c>
      <c r="BW108" s="104" t="n">
        <v>4</v>
      </c>
      <c r="BX108" s="104"/>
      <c r="BY108" s="104"/>
      <c r="BZ108" s="104"/>
      <c r="CA108" s="104"/>
      <c r="CB108" s="104"/>
      <c r="CC108" s="104"/>
      <c r="CD108" s="104"/>
      <c r="CE108" s="104"/>
      <c r="CF108" s="104"/>
      <c r="CG108" s="104"/>
      <c r="CH108" s="104"/>
      <c r="CJ108" s="95"/>
      <c r="CK108" s="95"/>
      <c r="CL108" s="95"/>
      <c r="CM108" s="95"/>
      <c r="CN108" s="95"/>
      <c r="CO108" s="95"/>
      <c r="CP108" s="95"/>
      <c r="CQ108" s="95"/>
      <c r="CR108" s="95"/>
      <c r="CS108" s="95"/>
      <c r="CT108" s="95"/>
      <c r="CU108" s="95"/>
      <c r="CV108" s="95"/>
      <c r="CW108" s="95"/>
      <c r="CX108" s="95"/>
      <c r="CY108" s="95"/>
      <c r="CZ108" s="95"/>
      <c r="DA108" s="95"/>
      <c r="DB108" s="95"/>
      <c r="DC108" s="95"/>
      <c r="DD108" s="95"/>
      <c r="DE108" s="95"/>
      <c r="DF108" s="95"/>
      <c r="DG108" s="95"/>
      <c r="DL108" s="108"/>
      <c r="DM108" s="108"/>
      <c r="DN108" s="109" t="str">
        <f aca="false">"D6.scenario.defInput["""&amp;B108&amp;"""] = {  "&amp;E$2&amp;":"""&amp;E108&amp;""",  "&amp;C$2&amp;":"""&amp;CLEAN(SUBSTITUTE(C108,"""",""""))&amp;""",  "&amp;F$2&amp;":"""&amp;F108&amp;""",  "&amp;H$2&amp;":"""&amp;CLEAN(SUBSTITUTE(H108,"""",""""))&amp;""", "&amp;J$2&amp;":"""&amp;J108&amp;""", "&amp;L$2&amp;":"""&amp;L108&amp;""", "&amp;M$2&amp;":"""&amp;M108&amp;""", "&amp;N$2&amp;":"""&amp;N108&amp;""", "&amp;O$2&amp;":"""&amp;O108&amp;""", "&amp;P$2&amp;":"""&amp;P108&amp;""", "&amp;Q$2&amp;":"""&amp;Q108&amp;""", "&amp;R$2&amp;":"""&amp;R108&amp;""", d11t:"""&amp;CJ108&amp;""",d11p:"""&amp;CK108&amp;""",d12t:"""&amp;CL108&amp;""",d12p:"""&amp;CM108&amp;""",d13t:"""&amp;CN108&amp;""",d13p:"""&amp;CO108&amp;""",d1w:"""&amp;CP108&amp;""",d1d:"""&amp;CQ108&amp;""", d21t:"""&amp;CR108&amp;""",d21p:"""&amp;CS108&amp;""",d22t:"""&amp;CT108&amp;""",d22p:"""&amp;CU108&amp;""",d23t:"""&amp;CV108&amp;""",d23p:"""&amp;CW108&amp;""",d2w:"""&amp;CX108&amp;""",d2d:"""&amp;CY108&amp;""", d31t:"""&amp;CZ108&amp;""",d31p:"""&amp;DA108&amp;""",d32t:"""&amp;DB108&amp;""",d32p:"""&amp;DC108&amp;""",d33t:"""&amp;DD108&amp;""",d33p:"""&amp;DE108&amp;""",d3w:"""&amp;DF108&amp;""",d3d:"""&amp;DG108&amp;"""}; "</f>
        <v>D6.scenario.defInput["i276"] = {  cons:"consACcool",  title:"日射流入の有無",  unit:"",  text:"夏の朝や夕方に日光が部屋に入りますか", inputType:"sel276", right:"", postfix:"", nodata:"", varType:"Number", min:"", max:"", defaultValue:"-1", d11t:"",d11p:"",d12t:"",d12p:"",d13t:"",d13p:"",d1w:"",d1d:"", d21t:"",d21p:"",d22t:"",d22p:"",d23t:"",d23p:"",d2w:"",d2d:"", d31t:"",d31p:"",d32t:"",d32p:"",d33t:"",d33p:"",d3w:"",d3d:""}; </v>
      </c>
      <c r="DO108" s="110"/>
      <c r="DP108" s="110"/>
      <c r="DQ108" s="111" t="str">
        <f aca="false">"D6.scenario.defSelectValue["""&amp;U108&amp;"""]= [ """&amp;CLEAN(V108)&amp;""", """&amp;CLEAN(W108)&amp;IF(X108="","",""", """&amp;CLEAN(X108))&amp;IF(Y108="","",""", """&amp;CLEAN(Y108))&amp;IF(Z108="","",""", """&amp;CLEAN(Z108))&amp;IF(AA108="","",""", """&amp;CLEAN(AA108))&amp;IF(AB108="","",""", """&amp;CLEAN(AB108))&amp;IF(AC108="","",""", """&amp;CLEAN(AC108))&amp;IF(AD108="","",""", """&amp;CLEAN(AD108))&amp;IF(AE108="","",""", """&amp;CLEAN(AE108))&amp;IF(AF108="","",""", """&amp;CLEAN(AF108))&amp;IF(AG108="","",""", """&amp;CLEAN(AG108))&amp;IF(AH108="","",""", """&amp;CLEAN(AH108))&amp;IF(AI108="","",""", """&amp;CLEAN(AI108))&amp;IF(AJ108="","",""", """&amp;CLEAN(AJ108))&amp;IF(AK108="","",""", """&amp;CLEAN(AK108))&amp;""" ];"</f>
        <v>D6.scenario.defSelectValue["sel276"]= [ "選んで下さい", "よく入る", "少しはいる", "入らない", "わからない" ];</v>
      </c>
      <c r="DR108" s="112"/>
      <c r="DS108" s="112"/>
      <c r="DT108" s="112" t="str">
        <f aca="false">"D6.scenario.defSelectData['"&amp;U108&amp;"']= [ '"&amp;BC108&amp;"', '"&amp;BD108&amp;"', '"&amp;BE108&amp;IF(BF108="","","', '"&amp;BF108)&amp;IF(BG108="","","', '"&amp;BG108)&amp;IF(BH108="","","', '"&amp;BH108)&amp;IF(BI108="","","', '"&amp;BI108)&amp;IF(BJ108="","","', '"&amp;BJ108)&amp;IF(BK108="","","', '"&amp;BK108)&amp;IF(BL108="","","', '"&amp;BL108)&amp;IF(BM108="","","', '"&amp;BM108)&amp;IF(BN108="","","', '"&amp;BN108)&amp;IF(BO108="","","', '"&amp;BO108)&amp;IF(BP108="","","', '"&amp;BP108)&amp;IF(BQ108="","","', '"&amp;BQ108)&amp;IF(BR108="","","', '"&amp;BR108)&amp;"' ];"</f>
        <v>D6.scenario.defSelectData['sel276']= [ '-1', '1', '2', '3', '4' ];</v>
      </c>
    </row>
    <row r="109" s="88" customFormat="true" ht="43.5" hidden="false" customHeight="true" outlineLevel="0" collapsed="false">
      <c r="B109" s="105" t="s">
        <v>1607</v>
      </c>
      <c r="C109" s="103" t="s">
        <v>1596</v>
      </c>
      <c r="D109" s="104" t="s">
        <v>1596</v>
      </c>
      <c r="E109" s="95" t="s">
        <v>251</v>
      </c>
      <c r="F109" s="103"/>
      <c r="G109" s="104"/>
      <c r="H109" s="103" t="s">
        <v>1597</v>
      </c>
      <c r="I109" s="104" t="s">
        <v>1597</v>
      </c>
      <c r="J109" s="103" t="str">
        <f aca="false">IF(K109="","",K109)</f>
        <v>sel277</v>
      </c>
      <c r="K109" s="104" t="str">
        <f aca="false">"sel"&amp;MID($B109,2,5)</f>
        <v>sel277</v>
      </c>
      <c r="L109" s="105"/>
      <c r="M109" s="105"/>
      <c r="N109" s="105"/>
      <c r="O109" s="95" t="s">
        <v>931</v>
      </c>
      <c r="P109" s="105"/>
      <c r="Q109" s="105"/>
      <c r="R109" s="95" t="n">
        <v>-1</v>
      </c>
      <c r="T109" s="66"/>
      <c r="U109" s="106" t="str">
        <f aca="false">J109</f>
        <v>sel277</v>
      </c>
      <c r="V109" s="103" t="s">
        <v>979</v>
      </c>
      <c r="W109" s="103" t="s">
        <v>1333</v>
      </c>
      <c r="X109" s="103" t="s">
        <v>1334</v>
      </c>
      <c r="Y109" s="103" t="s">
        <v>1335</v>
      </c>
      <c r="Z109" s="103" t="s">
        <v>1098</v>
      </c>
      <c r="AA109" s="103"/>
      <c r="AB109" s="103"/>
      <c r="AC109" s="103"/>
      <c r="AD109" s="103"/>
      <c r="AE109" s="103"/>
      <c r="AF109" s="103"/>
      <c r="AG109" s="103"/>
      <c r="AH109" s="103"/>
      <c r="AI109" s="103"/>
      <c r="AJ109" s="103"/>
      <c r="AK109" s="103"/>
      <c r="AL109" s="104" t="s">
        <v>979</v>
      </c>
      <c r="AM109" s="107" t="s">
        <v>1333</v>
      </c>
      <c r="AN109" s="107" t="s">
        <v>1334</v>
      </c>
      <c r="AO109" s="107" t="s">
        <v>1335</v>
      </c>
      <c r="AP109" s="107" t="s">
        <v>1098</v>
      </c>
      <c r="AQ109" s="104"/>
      <c r="AR109" s="104"/>
      <c r="AS109" s="104"/>
      <c r="AT109" s="104"/>
      <c r="AU109" s="104"/>
      <c r="AV109" s="104"/>
      <c r="AW109" s="104"/>
      <c r="AX109" s="104"/>
      <c r="AY109" s="104"/>
      <c r="AZ109" s="104"/>
      <c r="BA109" s="104"/>
      <c r="BB109" s="66"/>
      <c r="BC109" s="103" t="n">
        <v>-1</v>
      </c>
      <c r="BD109" s="103" t="n">
        <v>1</v>
      </c>
      <c r="BE109" s="103" t="n">
        <v>2</v>
      </c>
      <c r="BF109" s="103" t="n">
        <v>3</v>
      </c>
      <c r="BG109" s="103" t="n">
        <v>4</v>
      </c>
      <c r="BH109" s="103"/>
      <c r="BI109" s="103"/>
      <c r="BJ109" s="103"/>
      <c r="BK109" s="103"/>
      <c r="BL109" s="103"/>
      <c r="BM109" s="103"/>
      <c r="BN109" s="103"/>
      <c r="BO109" s="103"/>
      <c r="BP109" s="103"/>
      <c r="BQ109" s="103"/>
      <c r="BR109" s="103"/>
      <c r="BS109" s="104" t="n">
        <v>-1</v>
      </c>
      <c r="BT109" s="104" t="n">
        <v>1</v>
      </c>
      <c r="BU109" s="104" t="n">
        <v>2</v>
      </c>
      <c r="BV109" s="104" t="n">
        <v>3</v>
      </c>
      <c r="BW109" s="104" t="n">
        <v>4</v>
      </c>
      <c r="BX109" s="104"/>
      <c r="BY109" s="104"/>
      <c r="BZ109" s="104"/>
      <c r="CA109" s="104"/>
      <c r="CB109" s="104"/>
      <c r="CC109" s="104"/>
      <c r="CD109" s="104"/>
      <c r="CE109" s="104"/>
      <c r="CF109" s="104"/>
      <c r="CG109" s="104"/>
      <c r="CH109" s="104"/>
      <c r="CJ109" s="95"/>
      <c r="CK109" s="95"/>
      <c r="CL109" s="95"/>
      <c r="CM109" s="95"/>
      <c r="CN109" s="95"/>
      <c r="CO109" s="95"/>
      <c r="CP109" s="95"/>
      <c r="CQ109" s="95"/>
      <c r="CR109" s="95"/>
      <c r="CS109" s="95"/>
      <c r="CT109" s="95"/>
      <c r="CU109" s="95"/>
      <c r="CV109" s="95"/>
      <c r="CW109" s="95"/>
      <c r="CX109" s="95"/>
      <c r="CY109" s="95"/>
      <c r="CZ109" s="95"/>
      <c r="DA109" s="95"/>
      <c r="DB109" s="95"/>
      <c r="DC109" s="95"/>
      <c r="DD109" s="95"/>
      <c r="DE109" s="95"/>
      <c r="DF109" s="95"/>
      <c r="DG109" s="95"/>
      <c r="DL109" s="108"/>
      <c r="DM109" s="108"/>
      <c r="DN109" s="109" t="str">
        <f aca="false">"D6.scenario.defInput["""&amp;B109&amp;"""] = {  "&amp;E$2&amp;":"""&amp;E109&amp;""",  "&amp;C$2&amp;":"""&amp;CLEAN(SUBSTITUTE(C109,"""",""""))&amp;""",  "&amp;F$2&amp;":"""&amp;F109&amp;""",  "&amp;H$2&amp;":"""&amp;CLEAN(SUBSTITUTE(H109,"""",""""))&amp;""", "&amp;J$2&amp;":"""&amp;J109&amp;""", "&amp;L$2&amp;":"""&amp;L109&amp;""", "&amp;M$2&amp;":"""&amp;M109&amp;""", "&amp;N$2&amp;":"""&amp;N109&amp;""", "&amp;O$2&amp;":"""&amp;O109&amp;""", "&amp;P$2&amp;":"""&amp;P109&amp;""", "&amp;Q$2&amp;":"""&amp;Q109&amp;""", "&amp;R$2&amp;":"""&amp;R109&amp;""", d11t:"""&amp;CJ109&amp;""",d11p:"""&amp;CK109&amp;""",d12t:"""&amp;CL109&amp;""",d12p:"""&amp;CM109&amp;""",d13t:"""&amp;CN109&amp;""",d13p:"""&amp;CO109&amp;""",d1w:"""&amp;CP109&amp;""",d1d:"""&amp;CQ109&amp;""", d21t:"""&amp;CR109&amp;""",d21p:"""&amp;CS109&amp;""",d22t:"""&amp;CT109&amp;""",d22p:"""&amp;CU109&amp;""",d23t:"""&amp;CV109&amp;""",d23p:"""&amp;CW109&amp;""",d2w:"""&amp;CX109&amp;""",d2d:"""&amp;CY109&amp;""", d31t:"""&amp;CZ109&amp;""",d31p:"""&amp;DA109&amp;""",d32t:"""&amp;DB109&amp;""",d32p:"""&amp;DC109&amp;""",d33t:"""&amp;DD109&amp;""",d33p:"""&amp;DE109&amp;""",d3w:"""&amp;DF109&amp;""",d3d:"""&amp;DG109&amp;"""}; "</f>
        <v>D6.scenario.defInput["i277"] = {  cons:"consACcool",  title:"日射カット",  unit:"",  text:"西日や朝日が入ると部屋が暑くなります。日射が入らないように工夫していますか", inputType:"sel277", right:"", postfix:"", nodata:"", varType:"Number", min:"", max:"", defaultValue:"-1", d11t:"",d11p:"",d12t:"",d12p:"",d13t:"",d13p:"",d1w:"",d1d:"", d21t:"",d21p:"",d22t:"",d22p:"",d23t:"",d23p:"",d2w:"",d2d:"", d31t:"",d31p:"",d32t:"",d32p:"",d33t:"",d33p:"",d3w:"",d3d:""}; </v>
      </c>
      <c r="DO109" s="110"/>
      <c r="DP109" s="110"/>
      <c r="DQ109" s="111" t="str">
        <f aca="false">"D6.scenario.defSelectValue["""&amp;U109&amp;"""]= [ """&amp;CLEAN(V109)&amp;""", """&amp;CLEAN(W109)&amp;IF(X109="","",""", """&amp;CLEAN(X109))&amp;IF(Y109="","",""", """&amp;CLEAN(Y109))&amp;IF(Z109="","",""", """&amp;CLEAN(Z109))&amp;IF(AA109="","",""", """&amp;CLEAN(AA109))&amp;IF(AB109="","",""", """&amp;CLEAN(AB109))&amp;IF(AC109="","",""", """&amp;CLEAN(AC109))&amp;IF(AD109="","",""", """&amp;CLEAN(AD109))&amp;IF(AE109="","",""", """&amp;CLEAN(AE109))&amp;IF(AF109="","",""", """&amp;CLEAN(AF109))&amp;IF(AG109="","",""", """&amp;CLEAN(AG109))&amp;IF(AH109="","",""", """&amp;CLEAN(AH109))&amp;IF(AI109="","",""", """&amp;CLEAN(AI109))&amp;IF(AJ109="","",""", """&amp;CLEAN(AJ109))&amp;IF(AK109="","",""", """&amp;CLEAN(AK109))&amp;""" ];"</f>
        <v>D6.scenario.defSelectValue["sel277"]= [ "選んで下さい", "常にしている", "だいたいしている", "時々している", "していない" ];</v>
      </c>
      <c r="DR109" s="112"/>
      <c r="DS109" s="112"/>
      <c r="DT109" s="112" t="str">
        <f aca="false">"D6.scenario.defSelectData['"&amp;U109&amp;"']= [ '"&amp;BC109&amp;"', '"&amp;BD109&amp;"', '"&amp;BE109&amp;IF(BF109="","","', '"&amp;BF109)&amp;IF(BG109="","","', '"&amp;BG109)&amp;IF(BH109="","","', '"&amp;BH109)&amp;IF(BI109="","","', '"&amp;BI109)&amp;IF(BJ109="","","', '"&amp;BJ109)&amp;IF(BK109="","","', '"&amp;BK109)&amp;IF(BL109="","","', '"&amp;BL109)&amp;IF(BM109="","","', '"&amp;BM109)&amp;IF(BN109="","","', '"&amp;BN109)&amp;IF(BO109="","","', '"&amp;BO109)&amp;IF(BP109="","","', '"&amp;BP109)&amp;IF(BQ109="","","', '"&amp;BQ109)&amp;IF(BR109="","","', '"&amp;BR109)&amp;"' ];"</f>
        <v>D6.scenario.defSelectData['sel277']= [ '-1', '1', '2', '3', '4' ];</v>
      </c>
    </row>
    <row r="110" s="88" customFormat="true" ht="43.5" hidden="false" customHeight="true" outlineLevel="0" collapsed="false">
      <c r="B110" s="105" t="s">
        <v>1608</v>
      </c>
      <c r="C110" s="103" t="s">
        <v>1599</v>
      </c>
      <c r="D110" s="104" t="s">
        <v>1599</v>
      </c>
      <c r="E110" s="95" t="s">
        <v>251</v>
      </c>
      <c r="F110" s="103"/>
      <c r="G110" s="104"/>
      <c r="H110" s="103" t="s">
        <v>1600</v>
      </c>
      <c r="I110" s="104" t="s">
        <v>1600</v>
      </c>
      <c r="J110" s="103" t="str">
        <f aca="false">IF(K110="","",K110)</f>
        <v>sel278</v>
      </c>
      <c r="K110" s="104" t="str">
        <f aca="false">"sel"&amp;MID($B110,2,5)</f>
        <v>sel278</v>
      </c>
      <c r="L110" s="105"/>
      <c r="M110" s="105"/>
      <c r="N110" s="105"/>
      <c r="O110" s="95" t="s">
        <v>931</v>
      </c>
      <c r="P110" s="105"/>
      <c r="Q110" s="105"/>
      <c r="R110" s="95" t="n">
        <v>-1</v>
      </c>
      <c r="T110" s="66"/>
      <c r="U110" s="106" t="str">
        <f aca="false">J110</f>
        <v>sel278</v>
      </c>
      <c r="V110" s="103" t="s">
        <v>979</v>
      </c>
      <c r="W110" s="103" t="s">
        <v>1333</v>
      </c>
      <c r="X110" s="103" t="s">
        <v>1334</v>
      </c>
      <c r="Y110" s="103" t="s">
        <v>1335</v>
      </c>
      <c r="Z110" s="103" t="s">
        <v>1098</v>
      </c>
      <c r="AA110" s="103"/>
      <c r="AB110" s="103"/>
      <c r="AC110" s="103"/>
      <c r="AD110" s="103"/>
      <c r="AE110" s="103"/>
      <c r="AF110" s="103"/>
      <c r="AG110" s="103"/>
      <c r="AH110" s="103"/>
      <c r="AI110" s="103"/>
      <c r="AJ110" s="103"/>
      <c r="AK110" s="103"/>
      <c r="AL110" s="104" t="s">
        <v>979</v>
      </c>
      <c r="AM110" s="107" t="s">
        <v>1333</v>
      </c>
      <c r="AN110" s="107" t="s">
        <v>1334</v>
      </c>
      <c r="AO110" s="107" t="s">
        <v>1335</v>
      </c>
      <c r="AP110" s="107" t="s">
        <v>1098</v>
      </c>
      <c r="AQ110" s="104"/>
      <c r="AR110" s="104"/>
      <c r="AS110" s="104"/>
      <c r="AT110" s="104"/>
      <c r="AU110" s="104"/>
      <c r="AV110" s="104"/>
      <c r="AW110" s="104"/>
      <c r="AX110" s="104"/>
      <c r="AY110" s="104"/>
      <c r="AZ110" s="104"/>
      <c r="BA110" s="104"/>
      <c r="BB110" s="66"/>
      <c r="BC110" s="103" t="n">
        <v>-1</v>
      </c>
      <c r="BD110" s="103" t="n">
        <v>1</v>
      </c>
      <c r="BE110" s="103" t="n">
        <v>2</v>
      </c>
      <c r="BF110" s="103" t="n">
        <v>3</v>
      </c>
      <c r="BG110" s="103" t="n">
        <v>4</v>
      </c>
      <c r="BH110" s="103"/>
      <c r="BI110" s="103"/>
      <c r="BJ110" s="103"/>
      <c r="BK110" s="103"/>
      <c r="BL110" s="103"/>
      <c r="BM110" s="103"/>
      <c r="BN110" s="103"/>
      <c r="BO110" s="103"/>
      <c r="BP110" s="103"/>
      <c r="BQ110" s="103"/>
      <c r="BR110" s="103"/>
      <c r="BS110" s="104" t="n">
        <v>-1</v>
      </c>
      <c r="BT110" s="104" t="n">
        <v>1</v>
      </c>
      <c r="BU110" s="104" t="n">
        <v>2</v>
      </c>
      <c r="BV110" s="104" t="n">
        <v>3</v>
      </c>
      <c r="BW110" s="104" t="n">
        <v>4</v>
      </c>
      <c r="BX110" s="104"/>
      <c r="BY110" s="104"/>
      <c r="BZ110" s="104"/>
      <c r="CA110" s="104"/>
      <c r="CB110" s="104"/>
      <c r="CC110" s="104"/>
      <c r="CD110" s="104"/>
      <c r="CE110" s="104"/>
      <c r="CF110" s="104"/>
      <c r="CG110" s="104"/>
      <c r="CH110" s="104"/>
      <c r="CJ110" s="95"/>
      <c r="CK110" s="95"/>
      <c r="CL110" s="95"/>
      <c r="CM110" s="95"/>
      <c r="CN110" s="95"/>
      <c r="CO110" s="95"/>
      <c r="CP110" s="95"/>
      <c r="CQ110" s="95"/>
      <c r="CR110" s="95"/>
      <c r="CS110" s="95"/>
      <c r="CT110" s="95"/>
      <c r="CU110" s="95"/>
      <c r="CV110" s="95"/>
      <c r="CW110" s="95"/>
      <c r="CX110" s="95"/>
      <c r="CY110" s="95"/>
      <c r="CZ110" s="95"/>
      <c r="DA110" s="95"/>
      <c r="DB110" s="95"/>
      <c r="DC110" s="95"/>
      <c r="DD110" s="95"/>
      <c r="DE110" s="95"/>
      <c r="DF110" s="95"/>
      <c r="DG110" s="95"/>
      <c r="DL110" s="108"/>
      <c r="DM110" s="108"/>
      <c r="DN110" s="109" t="str">
        <f aca="false">"D6.scenario.defInput["""&amp;B110&amp;"""] = {  "&amp;E$2&amp;":"""&amp;E110&amp;""",  "&amp;C$2&amp;":"""&amp;CLEAN(SUBSTITUTE(C110,"""",""""))&amp;""",  "&amp;F$2&amp;":"""&amp;F110&amp;""",  "&amp;H$2&amp;":"""&amp;CLEAN(SUBSTITUTE(H110,"""",""""))&amp;""", "&amp;J$2&amp;":"""&amp;J110&amp;""", "&amp;L$2&amp;":"""&amp;L110&amp;""", "&amp;M$2&amp;":"""&amp;M110&amp;""", "&amp;N$2&amp;":"""&amp;N110&amp;""", "&amp;O$2&amp;":"""&amp;O110&amp;""", "&amp;P$2&amp;":"""&amp;P110&amp;""", "&amp;Q$2&amp;":"""&amp;Q110&amp;""", "&amp;R$2&amp;":"""&amp;R110&amp;""", d11t:"""&amp;CJ110&amp;""",d11p:"""&amp;CK110&amp;""",d12t:"""&amp;CL110&amp;""",d12p:"""&amp;CM110&amp;""",d13t:"""&amp;CN110&amp;""",d13p:"""&amp;CO110&amp;""",d1w:"""&amp;CP110&amp;""",d1d:"""&amp;CQ110&amp;""", d21t:"""&amp;CR110&amp;""",d21p:"""&amp;CS110&amp;""",d22t:"""&amp;CT110&amp;""",d22p:"""&amp;CU110&amp;""",d23t:"""&amp;CV110&amp;""",d23p:"""&amp;CW110&amp;""",d2w:"""&amp;CX110&amp;""",d2d:"""&amp;CY110&amp;""", d31t:"""&amp;CZ110&amp;""",d31p:"""&amp;DA110&amp;""",d32t:"""&amp;DB110&amp;""",d32p:"""&amp;DC110&amp;""",d33t:"""&amp;DD110&amp;""",d33p:"""&amp;DE110&amp;""",d3w:"""&amp;DF110&amp;""",d3d:"""&amp;DG110&amp;"""}; "</f>
        <v>D6.scenario.defInput["i278"] = {  cons:"consACcool",  title:"扇風機利用",  unit:"",  text:"扇風機を活用するなどしてエアコンをなるべく使わないようにしていますか", inputType:"sel278", right:"", postfix:"", nodata:"", varType:"Number", min:"", max:"", defaultValue:"-1", d11t:"",d11p:"",d12t:"",d12p:"",d13t:"",d13p:"",d1w:"",d1d:"", d21t:"",d21p:"",d22t:"",d22p:"",d23t:"",d23p:"",d2w:"",d2d:"", d31t:"",d31p:"",d32t:"",d32p:"",d33t:"",d33p:"",d3w:"",d3d:""}; </v>
      </c>
      <c r="DO110" s="110"/>
      <c r="DP110" s="110"/>
      <c r="DQ110" s="111" t="str">
        <f aca="false">"D6.scenario.defSelectValue["""&amp;U110&amp;"""]= [ """&amp;CLEAN(V110)&amp;""", """&amp;CLEAN(W110)&amp;IF(X110="","",""", """&amp;CLEAN(X110))&amp;IF(Y110="","",""", """&amp;CLEAN(Y110))&amp;IF(Z110="","",""", """&amp;CLEAN(Z110))&amp;IF(AA110="","",""", """&amp;CLEAN(AA110))&amp;IF(AB110="","",""", """&amp;CLEAN(AB110))&amp;IF(AC110="","",""", """&amp;CLEAN(AC110))&amp;IF(AD110="","",""", """&amp;CLEAN(AD110))&amp;IF(AE110="","",""", """&amp;CLEAN(AE110))&amp;IF(AF110="","",""", """&amp;CLEAN(AF110))&amp;IF(AG110="","",""", """&amp;CLEAN(AG110))&amp;IF(AH110="","",""", """&amp;CLEAN(AH110))&amp;IF(AI110="","",""", """&amp;CLEAN(AI110))&amp;IF(AJ110="","",""", """&amp;CLEAN(AJ110))&amp;IF(AK110="","",""", """&amp;CLEAN(AK110))&amp;""" ];"</f>
        <v>D6.scenario.defSelectValue["sel278"]= [ "選んで下さい", "常にしている", "だいたいしている", "時々している", "していない" ];</v>
      </c>
      <c r="DR110" s="112"/>
      <c r="DS110" s="112"/>
      <c r="DT110" s="112" t="str">
        <f aca="false">"D6.scenario.defSelectData['"&amp;U110&amp;"']= [ '"&amp;BC110&amp;"', '"&amp;BD110&amp;"', '"&amp;BE110&amp;IF(BF110="","","', '"&amp;BF110)&amp;IF(BG110="","","', '"&amp;BG110)&amp;IF(BH110="","","', '"&amp;BH110)&amp;IF(BI110="","","', '"&amp;BI110)&amp;IF(BJ110="","","', '"&amp;BJ110)&amp;IF(BK110="","","', '"&amp;BK110)&amp;IF(BL110="","","', '"&amp;BL110)&amp;IF(BM110="","","', '"&amp;BM110)&amp;IF(BN110="","","', '"&amp;BN110)&amp;IF(BO110="","","', '"&amp;BO110)&amp;IF(BP110="","","', '"&amp;BP110)&amp;IF(BQ110="","","', '"&amp;BQ110)&amp;IF(BR110="","","', '"&amp;BR110)&amp;"' ];"</f>
        <v>D6.scenario.defSelectData['sel278']= [ '-1', '1', '2', '3', '4' ];</v>
      </c>
    </row>
    <row r="111" s="88" customFormat="true" ht="43.5" hidden="false" customHeight="true" outlineLevel="0" collapsed="false">
      <c r="A111" s="66"/>
      <c r="B111" s="105" t="s">
        <v>1609</v>
      </c>
      <c r="C111" s="103" t="s">
        <v>1610</v>
      </c>
      <c r="D111" s="104" t="s">
        <v>1610</v>
      </c>
      <c r="E111" s="95" t="s">
        <v>1611</v>
      </c>
      <c r="F111" s="103"/>
      <c r="G111" s="104"/>
      <c r="H111" s="103" t="s">
        <v>1612</v>
      </c>
      <c r="I111" s="104" t="s">
        <v>1612</v>
      </c>
      <c r="J111" s="103" t="str">
        <f aca="false">IF(K111="","",K111)</f>
        <v>sel281</v>
      </c>
      <c r="K111" s="104" t="str">
        <f aca="false">"sel"&amp;MID($B111,2,5)</f>
        <v>sel281</v>
      </c>
      <c r="L111" s="105"/>
      <c r="M111" s="105"/>
      <c r="N111" s="105"/>
      <c r="O111" s="95" t="s">
        <v>931</v>
      </c>
      <c r="P111" s="105"/>
      <c r="Q111" s="105"/>
      <c r="R111" s="95" t="n">
        <v>-1</v>
      </c>
      <c r="S111" s="66"/>
      <c r="T111" s="66"/>
      <c r="U111" s="106" t="str">
        <f aca="false">J111</f>
        <v>sel281</v>
      </c>
      <c r="V111" s="103" t="s">
        <v>979</v>
      </c>
      <c r="W111" s="103" t="s">
        <v>1140</v>
      </c>
      <c r="X111" s="116" t="s">
        <v>1141</v>
      </c>
      <c r="Y111" s="103"/>
      <c r="Z111" s="103"/>
      <c r="AA111" s="103"/>
      <c r="AB111" s="103"/>
      <c r="AC111" s="103"/>
      <c r="AD111" s="103"/>
      <c r="AE111" s="103"/>
      <c r="AF111" s="103"/>
      <c r="AG111" s="103"/>
      <c r="AH111" s="103"/>
      <c r="AI111" s="103"/>
      <c r="AJ111" s="103"/>
      <c r="AK111" s="103"/>
      <c r="AL111" s="104" t="s">
        <v>979</v>
      </c>
      <c r="AM111" s="107" t="s">
        <v>1140</v>
      </c>
      <c r="AN111" s="117" t="s">
        <v>1141</v>
      </c>
      <c r="AO111" s="104"/>
      <c r="AP111" s="104"/>
      <c r="AQ111" s="104"/>
      <c r="AR111" s="104"/>
      <c r="AS111" s="104"/>
      <c r="AT111" s="104"/>
      <c r="AU111" s="104"/>
      <c r="AV111" s="104"/>
      <c r="AW111" s="104"/>
      <c r="AX111" s="104"/>
      <c r="AY111" s="104"/>
      <c r="AZ111" s="104"/>
      <c r="BA111" s="104"/>
      <c r="BB111" s="66"/>
      <c r="BC111" s="103" t="n">
        <v>-1</v>
      </c>
      <c r="BD111" s="103" t="n">
        <v>1</v>
      </c>
      <c r="BE111" s="103" t="n">
        <v>2</v>
      </c>
      <c r="BF111" s="103"/>
      <c r="BG111" s="103"/>
      <c r="BH111" s="103"/>
      <c r="BI111" s="103"/>
      <c r="BJ111" s="103"/>
      <c r="BK111" s="103"/>
      <c r="BL111" s="103"/>
      <c r="BM111" s="103"/>
      <c r="BN111" s="103"/>
      <c r="BO111" s="103"/>
      <c r="BP111" s="103"/>
      <c r="BQ111" s="103"/>
      <c r="BR111" s="103"/>
      <c r="BS111" s="104" t="n">
        <v>-1</v>
      </c>
      <c r="BT111" s="104" t="n">
        <v>1</v>
      </c>
      <c r="BU111" s="104" t="n">
        <v>2</v>
      </c>
      <c r="BV111" s="104"/>
      <c r="BW111" s="104"/>
      <c r="BX111" s="104"/>
      <c r="BY111" s="104"/>
      <c r="BZ111" s="104"/>
      <c r="CA111" s="104"/>
      <c r="CB111" s="104"/>
      <c r="CC111" s="104"/>
      <c r="CD111" s="104"/>
      <c r="CE111" s="104"/>
      <c r="CF111" s="104"/>
      <c r="CG111" s="104"/>
      <c r="CH111" s="104"/>
      <c r="CJ111" s="95"/>
      <c r="CK111" s="95"/>
      <c r="CL111" s="95"/>
      <c r="CM111" s="95"/>
      <c r="CN111" s="95"/>
      <c r="CO111" s="95"/>
      <c r="CP111" s="95"/>
      <c r="CQ111" s="95"/>
      <c r="CR111" s="95"/>
      <c r="CS111" s="95"/>
      <c r="CT111" s="95"/>
      <c r="CU111" s="95"/>
      <c r="CV111" s="95"/>
      <c r="CW111" s="95"/>
      <c r="CX111" s="95"/>
      <c r="CY111" s="95"/>
      <c r="CZ111" s="95"/>
      <c r="DA111" s="95"/>
      <c r="DB111" s="95"/>
      <c r="DC111" s="95"/>
      <c r="DD111" s="95"/>
      <c r="DE111" s="95"/>
      <c r="DF111" s="95"/>
      <c r="DG111" s="95"/>
      <c r="DL111" s="108"/>
      <c r="DM111" s="108"/>
      <c r="DN111" s="109" t="str">
        <f aca="false">"D6.scenario.defInput["""&amp;B111&amp;"""] = {  "&amp;E$2&amp;":"""&amp;E111&amp;""",  "&amp;C$2&amp;":"""&amp;CLEAN(SUBSTITUTE(C111,"""",""""))&amp;""",  "&amp;F$2&amp;":"""&amp;F111&amp;""",  "&amp;H$2&amp;":"""&amp;CLEAN(SUBSTITUTE(H111,"""",""""))&amp;""", "&amp;J$2&amp;":"""&amp;J111&amp;""", "&amp;L$2&amp;":"""&amp;L111&amp;""", "&amp;M$2&amp;":"""&amp;M111&amp;""", "&amp;N$2&amp;":"""&amp;N111&amp;""", "&amp;O$2&amp;":"""&amp;O111&amp;""", "&amp;P$2&amp;":"""&amp;P111&amp;""", "&amp;Q$2&amp;":"""&amp;Q111&amp;""", "&amp;R$2&amp;":"""&amp;R111&amp;""", d11t:"""&amp;CJ111&amp;""",d11p:"""&amp;CK111&amp;""",d12t:"""&amp;CL111&amp;""",d12p:"""&amp;CM111&amp;""",d13t:"""&amp;CN111&amp;""",d13p:"""&amp;CO111&amp;""",d1w:"""&amp;CP111&amp;""",d1d:"""&amp;CQ111&amp;""", d21t:"""&amp;CR111&amp;""",d21p:"""&amp;CS111&amp;""",d22t:"""&amp;CT111&amp;""",d22p:"""&amp;CU111&amp;""",d23t:"""&amp;CV111&amp;""",d23p:"""&amp;CW111&amp;""",d2w:"""&amp;CX111&amp;""",d2d:"""&amp;CY111&amp;""", d31t:"""&amp;CZ111&amp;""",d31p:"""&amp;DA111&amp;""",d32t:"""&amp;DB111&amp;""",d32p:"""&amp;DC111&amp;""",d33t:"""&amp;DD111&amp;""",d33p:"""&amp;DE111&amp;""",d3w:"""&amp;DF111&amp;""",d3d:"""&amp;DG111&amp;"""}; "</f>
        <v>D6.scenario.defInput["i281"] = {  cons:"consHTcold",  title:"セントラルヒーティング",  unit:"",  text:"セントラルヒーティングですか", inputType:"sel281", right:"", postfix:"", nodata:"", varType:"Number", min:"", max:"", defaultValue:"-1", d11t:"",d11p:"",d12t:"",d12p:"",d13t:"",d13p:"",d1w:"",d1d:"", d21t:"",d21p:"",d22t:"",d22p:"",d23t:"",d23p:"",d2w:"",d2d:"", d31t:"",d31p:"",d32t:"",d32p:"",d33t:"",d33p:"",d3w:"",d3d:""}; </v>
      </c>
      <c r="DO111" s="110"/>
      <c r="DP111" s="110"/>
      <c r="DQ111" s="111" t="str">
        <f aca="false">"D6.scenario.defSelectValue["""&amp;U111&amp;"""]= [ """&amp;CLEAN(V111)&amp;""", """&amp;CLEAN(W111)&amp;IF(X111="","",""", """&amp;CLEAN(X111))&amp;IF(Y111="","",""", """&amp;CLEAN(Y111))&amp;IF(Z111="","",""", """&amp;CLEAN(Z111))&amp;IF(AA111="","",""", """&amp;CLEAN(AA111))&amp;IF(AB111="","",""", """&amp;CLEAN(AB111))&amp;IF(AC111="","",""", """&amp;CLEAN(AC111))&amp;IF(AD111="","",""", """&amp;CLEAN(AD111))&amp;IF(AE111="","",""", """&amp;CLEAN(AE111))&amp;IF(AF111="","",""", """&amp;CLEAN(AF111))&amp;IF(AG111="","",""", """&amp;CLEAN(AG111))&amp;IF(AH111="","",""", """&amp;CLEAN(AH111))&amp;IF(AI111="","",""", """&amp;CLEAN(AI111))&amp;IF(AJ111="","",""", """&amp;CLEAN(AJ111))&amp;IF(AK111="","",""", """&amp;CLEAN(AK111))&amp;""" ];"</f>
        <v>D6.scenario.defSelectValue["sel281"]= [ "選んで下さい", "はい", "いいえ" ];</v>
      </c>
      <c r="DR111" s="112"/>
      <c r="DS111" s="112"/>
      <c r="DT111" s="112" t="str">
        <f aca="false">"D6.scenario.defSelectData['"&amp;U111&amp;"']= [ '"&amp;BC111&amp;"', '"&amp;BD111&amp;"', '"&amp;BE111&amp;IF(BF111="","","', '"&amp;BF111)&amp;IF(BG111="","","', '"&amp;BG111)&amp;IF(BH111="","","', '"&amp;BH111)&amp;IF(BI111="","","', '"&amp;BI111)&amp;IF(BJ111="","","', '"&amp;BJ111)&amp;IF(BK111="","","', '"&amp;BK111)&amp;IF(BL111="","","', '"&amp;BL111)&amp;IF(BM111="","","', '"&amp;BM111)&amp;IF(BN111="","","', '"&amp;BN111)&amp;IF(BO111="","","', '"&amp;BO111)&amp;IF(BP111="","","', '"&amp;BP111)&amp;IF(BQ111="","","', '"&amp;BQ111)&amp;IF(BR111="","","', '"&amp;BR111)&amp;"' ];"</f>
        <v>D6.scenario.defSelectData['sel281']= [ '-1', '1', '2' ];</v>
      </c>
    </row>
    <row r="112" s="88" customFormat="true" ht="43.5" hidden="false" customHeight="true" outlineLevel="0" collapsed="false">
      <c r="A112" s="66"/>
      <c r="B112" s="105" t="s">
        <v>1613</v>
      </c>
      <c r="C112" s="103" t="s">
        <v>1614</v>
      </c>
      <c r="D112" s="104" t="s">
        <v>1614</v>
      </c>
      <c r="E112" s="95" t="s">
        <v>1611</v>
      </c>
      <c r="F112" s="103"/>
      <c r="G112" s="104"/>
      <c r="H112" s="103" t="s">
        <v>1615</v>
      </c>
      <c r="I112" s="104" t="s">
        <v>1616</v>
      </c>
      <c r="J112" s="103" t="str">
        <f aca="false">IF(K112="","",K112)</f>
        <v>sel282</v>
      </c>
      <c r="K112" s="104" t="str">
        <f aca="false">"sel"&amp;MID($B112,2,5)</f>
        <v>sel282</v>
      </c>
      <c r="L112" s="105"/>
      <c r="M112" s="105"/>
      <c r="N112" s="105"/>
      <c r="O112" s="95" t="s">
        <v>931</v>
      </c>
      <c r="P112" s="105"/>
      <c r="Q112" s="105"/>
      <c r="R112" s="95" t="n">
        <v>-1</v>
      </c>
      <c r="S112" s="66"/>
      <c r="T112" s="66"/>
      <c r="U112" s="106" t="str">
        <f aca="false">J112</f>
        <v>sel282</v>
      </c>
      <c r="V112" s="103" t="s">
        <v>979</v>
      </c>
      <c r="W112" s="103" t="s">
        <v>1391</v>
      </c>
      <c r="X112" s="103" t="s">
        <v>1617</v>
      </c>
      <c r="Y112" s="103" t="s">
        <v>1618</v>
      </c>
      <c r="Z112" s="103" t="s">
        <v>1390</v>
      </c>
      <c r="AA112" s="103" t="s">
        <v>1619</v>
      </c>
      <c r="AB112" s="103" t="s">
        <v>1183</v>
      </c>
      <c r="AC112" s="103"/>
      <c r="AD112" s="103"/>
      <c r="AE112" s="103"/>
      <c r="AF112" s="103"/>
      <c r="AG112" s="103"/>
      <c r="AH112" s="103"/>
      <c r="AI112" s="103"/>
      <c r="AJ112" s="103"/>
      <c r="AK112" s="103"/>
      <c r="AL112" s="104" t="s">
        <v>979</v>
      </c>
      <c r="AM112" s="107" t="s">
        <v>1391</v>
      </c>
      <c r="AN112" s="104" t="s">
        <v>1617</v>
      </c>
      <c r="AO112" s="104" t="s">
        <v>1618</v>
      </c>
      <c r="AP112" s="104" t="s">
        <v>1390</v>
      </c>
      <c r="AQ112" s="104" t="s">
        <v>1619</v>
      </c>
      <c r="AR112" s="104" t="s">
        <v>1183</v>
      </c>
      <c r="AS112" s="104"/>
      <c r="AT112" s="104"/>
      <c r="AU112" s="104"/>
      <c r="AV112" s="104"/>
      <c r="AW112" s="104"/>
      <c r="AX112" s="104"/>
      <c r="AY112" s="104"/>
      <c r="AZ112" s="104"/>
      <c r="BA112" s="104"/>
      <c r="BB112" s="66"/>
      <c r="BC112" s="103" t="n">
        <v>-1</v>
      </c>
      <c r="BD112" s="103" t="n">
        <v>1</v>
      </c>
      <c r="BE112" s="103" t="n">
        <v>2</v>
      </c>
      <c r="BF112" s="103" t="n">
        <v>3</v>
      </c>
      <c r="BG112" s="103" t="n">
        <v>4</v>
      </c>
      <c r="BH112" s="103" t="n">
        <v>5</v>
      </c>
      <c r="BI112" s="103" t="n">
        <v>6</v>
      </c>
      <c r="BJ112" s="103"/>
      <c r="BK112" s="103"/>
      <c r="BL112" s="103"/>
      <c r="BM112" s="103"/>
      <c r="BN112" s="103"/>
      <c r="BO112" s="103"/>
      <c r="BP112" s="103"/>
      <c r="BQ112" s="103"/>
      <c r="BR112" s="103"/>
      <c r="BS112" s="104" t="n">
        <v>-1</v>
      </c>
      <c r="BT112" s="104" t="n">
        <v>1</v>
      </c>
      <c r="BU112" s="104" t="n">
        <v>2</v>
      </c>
      <c r="BV112" s="104" t="n">
        <v>3</v>
      </c>
      <c r="BW112" s="104" t="n">
        <v>4</v>
      </c>
      <c r="BX112" s="104" t="n">
        <v>5</v>
      </c>
      <c r="BY112" s="104" t="n">
        <v>6</v>
      </c>
      <c r="BZ112" s="104"/>
      <c r="CA112" s="104"/>
      <c r="CB112" s="104"/>
      <c r="CC112" s="104"/>
      <c r="CD112" s="104"/>
      <c r="CE112" s="104"/>
      <c r="CF112" s="104"/>
      <c r="CG112" s="104"/>
      <c r="CH112" s="104"/>
      <c r="CJ112" s="95"/>
      <c r="CK112" s="95"/>
      <c r="CL112" s="95"/>
      <c r="CM112" s="95"/>
      <c r="CN112" s="95"/>
      <c r="CO112" s="95"/>
      <c r="CP112" s="95"/>
      <c r="CQ112" s="95"/>
      <c r="CR112" s="95"/>
      <c r="CS112" s="95"/>
      <c r="CT112" s="95"/>
      <c r="CU112" s="95"/>
      <c r="CV112" s="95"/>
      <c r="CW112" s="95"/>
      <c r="CX112" s="95"/>
      <c r="CY112" s="95"/>
      <c r="CZ112" s="95"/>
      <c r="DA112" s="95"/>
      <c r="DB112" s="95"/>
      <c r="DC112" s="95"/>
      <c r="DD112" s="95"/>
      <c r="DE112" s="95"/>
      <c r="DF112" s="95"/>
      <c r="DG112" s="95"/>
      <c r="DL112" s="108"/>
      <c r="DM112" s="108"/>
      <c r="DN112" s="109" t="str">
        <f aca="false">"D6.scenario.defInput["""&amp;B112&amp;"""] = {  "&amp;E$2&amp;":"""&amp;E112&amp;""",  "&amp;C$2&amp;":"""&amp;CLEAN(SUBSTITUTE(C112,"""",""""))&amp;""",  "&amp;F$2&amp;":"""&amp;F112&amp;""",  "&amp;H$2&amp;":"""&amp;CLEAN(SUBSTITUTE(H112,"""",""""))&amp;""", "&amp;J$2&amp;":"""&amp;J112&amp;""", "&amp;L$2&amp;":"""&amp;L112&amp;""", "&amp;M$2&amp;":"""&amp;M112&amp;""", "&amp;N$2&amp;":"""&amp;N112&amp;""", "&amp;O$2&amp;":"""&amp;O112&amp;""", "&amp;P$2&amp;":"""&amp;P112&amp;""", "&amp;Q$2&amp;":"""&amp;Q112&amp;""", "&amp;R$2&amp;":"""&amp;R112&amp;""", d11t:"""&amp;CJ112&amp;""",d11p:"""&amp;CK112&amp;""",d12t:"""&amp;CL112&amp;""",d12p:"""&amp;CM112&amp;""",d13t:"""&amp;CN112&amp;""",d13p:"""&amp;CO112&amp;""",d1w:"""&amp;CP112&amp;""",d1d:"""&amp;CQ112&amp;""", d21t:"""&amp;CR112&amp;""",d21p:"""&amp;CS112&amp;""",d22t:"""&amp;CT112&amp;""",d22p:"""&amp;CU112&amp;""",d23t:"""&amp;CV112&amp;""",d23p:"""&amp;CW112&amp;""",d2w:"""&amp;CX112&amp;""",d2d:"""&amp;CY112&amp;""", d31t:"""&amp;CZ112&amp;""",d31p:"""&amp;DA112&amp;""",d32t:"""&amp;DB112&amp;""",d32p:"""&amp;DC112&amp;""",d33t:"""&amp;DD112&amp;""",d33p:"""&amp;DE112&amp;""",d3w:"""&amp;DF112&amp;""",d3d:"""&amp;DG112&amp;"""}; "</f>
        <v>D6.scenario.defInput["i282"] = {  cons:"consHTcold",  title:"セントラル熱源",  unit:"",  text:"セントラルヒーティングの熱源は何ですか", inputType:"sel282", right:"", postfix:"", nodata:"", varType:"Number", min:"", max:"", defaultValue:"-1", d11t:"",d11p:"",d12t:"",d12p:"",d13t:"",d13p:"",d1w:"",d1d:"", d21t:"",d21p:"",d22t:"",d22p:"",d23t:"",d23p:"",d2w:"",d2d:"", d31t:"",d31p:"",d32t:"",d32p:"",d33t:"",d33p:"",d3w:"",d3d:""}; </v>
      </c>
      <c r="DO112" s="110"/>
      <c r="DP112" s="110"/>
      <c r="DQ112" s="111" t="str">
        <f aca="false">"D6.scenario.defSelectValue["""&amp;U112&amp;"""]= [ """&amp;CLEAN(V112)&amp;""", """&amp;CLEAN(W112)&amp;IF(X112="","",""", """&amp;CLEAN(X112))&amp;IF(Y112="","",""", """&amp;CLEAN(Y112))&amp;IF(Z112="","",""", """&amp;CLEAN(Z112))&amp;IF(AA112="","",""", """&amp;CLEAN(AA112))&amp;IF(AB112="","",""", """&amp;CLEAN(AB112))&amp;IF(AC112="","",""", """&amp;CLEAN(AC112))&amp;IF(AD112="","",""", """&amp;CLEAN(AD112))&amp;IF(AE112="","",""", """&amp;CLEAN(AE112))&amp;IF(AF112="","",""", """&amp;CLEAN(AF112))&amp;IF(AG112="","",""", """&amp;CLEAN(AG112))&amp;IF(AH112="","",""", """&amp;CLEAN(AH112))&amp;IF(AI112="","",""", """&amp;CLEAN(AI112))&amp;IF(AJ112="","",""", """&amp;CLEAN(AJ112))&amp;IF(AK112="","",""", """&amp;CLEAN(AK112))&amp;""" ];"</f>
        <v>D6.scenario.defSelectValue["sel282"]= [ "選んで下さい", "灯油", "電気", "電気（ヒートポンプ）", "ガス", "ハイブリッド（ヒートポンプ＋ガス）", "地域熱供給" ];</v>
      </c>
      <c r="DR112" s="112"/>
      <c r="DS112" s="112"/>
      <c r="DT112" s="112" t="str">
        <f aca="false">"D6.scenario.defSelectData['"&amp;U112&amp;"']= [ '"&amp;BC112&amp;"', '"&amp;BD112&amp;"', '"&amp;BE112&amp;IF(BF112="","","', '"&amp;BF112)&amp;IF(BG112="","","', '"&amp;BG112)&amp;IF(BH112="","","', '"&amp;BH112)&amp;IF(BI112="","","', '"&amp;BI112)&amp;IF(BJ112="","","', '"&amp;BJ112)&amp;IF(BK112="","","', '"&amp;BK112)&amp;IF(BL112="","","', '"&amp;BL112)&amp;IF(BM112="","","', '"&amp;BM112)&amp;IF(BN112="","","', '"&amp;BN112)&amp;IF(BO112="","","', '"&amp;BO112)&amp;IF(BP112="","","', '"&amp;BP112)&amp;IF(BQ112="","","', '"&amp;BQ112)&amp;IF(BR112="","","', '"&amp;BR112)&amp;"' ];"</f>
        <v>D6.scenario.defSelectData['sel282']= [ '-1', '1', '2', '3', '4', '5', '6' ];</v>
      </c>
    </row>
    <row r="113" s="88" customFormat="true" ht="43.5" hidden="false" customHeight="true" outlineLevel="0" collapsed="false">
      <c r="A113" s="66"/>
      <c r="B113" s="105" t="s">
        <v>1620</v>
      </c>
      <c r="C113" s="103" t="s">
        <v>1621</v>
      </c>
      <c r="D113" s="104" t="s">
        <v>1621</v>
      </c>
      <c r="E113" s="95" t="s">
        <v>1611</v>
      </c>
      <c r="F113" s="103"/>
      <c r="G113" s="104"/>
      <c r="H113" s="103" t="s">
        <v>1622</v>
      </c>
      <c r="I113" s="104" t="s">
        <v>1622</v>
      </c>
      <c r="J113" s="103" t="str">
        <f aca="false">IF(K113="","",K113)</f>
        <v>sel283</v>
      </c>
      <c r="K113" s="104" t="str">
        <f aca="false">"sel"&amp;MID($B113,2,5)</f>
        <v>sel283</v>
      </c>
      <c r="L113" s="105"/>
      <c r="M113" s="105"/>
      <c r="N113" s="105"/>
      <c r="O113" s="95" t="s">
        <v>931</v>
      </c>
      <c r="P113" s="105"/>
      <c r="Q113" s="105"/>
      <c r="R113" s="95" t="n">
        <v>-1</v>
      </c>
      <c r="S113" s="66"/>
      <c r="T113" s="66"/>
      <c r="U113" s="106" t="str">
        <f aca="false">J113</f>
        <v>sel283</v>
      </c>
      <c r="V113" s="103" t="s">
        <v>979</v>
      </c>
      <c r="W113" s="103" t="s">
        <v>1623</v>
      </c>
      <c r="X113" s="103" t="s">
        <v>1624</v>
      </c>
      <c r="Y113" s="103"/>
      <c r="Z113" s="103"/>
      <c r="AA113" s="103"/>
      <c r="AB113" s="103"/>
      <c r="AC113" s="103"/>
      <c r="AD113" s="103"/>
      <c r="AE113" s="103"/>
      <c r="AF113" s="103"/>
      <c r="AG113" s="103"/>
      <c r="AH113" s="103"/>
      <c r="AI113" s="103"/>
      <c r="AJ113" s="103"/>
      <c r="AK113" s="103"/>
      <c r="AL113" s="104" t="s">
        <v>979</v>
      </c>
      <c r="AM113" s="107" t="s">
        <v>1623</v>
      </c>
      <c r="AN113" s="104" t="s">
        <v>1624</v>
      </c>
      <c r="AO113" s="104"/>
      <c r="AP113" s="104"/>
      <c r="AQ113" s="104"/>
      <c r="AR113" s="104"/>
      <c r="AS113" s="104"/>
      <c r="AT113" s="104"/>
      <c r="AU113" s="104"/>
      <c r="AV113" s="104"/>
      <c r="AW113" s="104"/>
      <c r="AX113" s="104"/>
      <c r="AY113" s="104"/>
      <c r="AZ113" s="104"/>
      <c r="BA113" s="104"/>
      <c r="BB113" s="66"/>
      <c r="BC113" s="103" t="n">
        <v>-1</v>
      </c>
      <c r="BD113" s="103" t="n">
        <v>1</v>
      </c>
      <c r="BE113" s="103" t="n">
        <v>2</v>
      </c>
      <c r="BF113" s="103"/>
      <c r="BG113" s="103"/>
      <c r="BH113" s="103"/>
      <c r="BI113" s="103"/>
      <c r="BJ113" s="103"/>
      <c r="BK113" s="103"/>
      <c r="BL113" s="103"/>
      <c r="BM113" s="103"/>
      <c r="BN113" s="103"/>
      <c r="BO113" s="103"/>
      <c r="BP113" s="103"/>
      <c r="BQ113" s="103"/>
      <c r="BR113" s="103"/>
      <c r="BS113" s="104" t="n">
        <v>-1</v>
      </c>
      <c r="BT113" s="104" t="n">
        <v>1</v>
      </c>
      <c r="BU113" s="104" t="n">
        <v>2</v>
      </c>
      <c r="BV113" s="104"/>
      <c r="BW113" s="104"/>
      <c r="BX113" s="104"/>
      <c r="BY113" s="104"/>
      <c r="BZ113" s="104"/>
      <c r="CA113" s="104"/>
      <c r="CB113" s="104"/>
      <c r="CC113" s="104"/>
      <c r="CD113" s="104"/>
      <c r="CE113" s="104"/>
      <c r="CF113" s="104"/>
      <c r="CG113" s="104"/>
      <c r="CH113" s="104"/>
      <c r="CJ113" s="95"/>
      <c r="CK113" s="95"/>
      <c r="CL113" s="95"/>
      <c r="CM113" s="95"/>
      <c r="CN113" s="95"/>
      <c r="CO113" s="95"/>
      <c r="CP113" s="95"/>
      <c r="CQ113" s="95"/>
      <c r="CR113" s="95"/>
      <c r="CS113" s="95"/>
      <c r="CT113" s="95"/>
      <c r="CU113" s="95"/>
      <c r="CV113" s="95"/>
      <c r="CW113" s="95"/>
      <c r="CX113" s="95"/>
      <c r="CY113" s="95"/>
      <c r="CZ113" s="95"/>
      <c r="DA113" s="95"/>
      <c r="DB113" s="95"/>
      <c r="DC113" s="95"/>
      <c r="DD113" s="95"/>
      <c r="DE113" s="95"/>
      <c r="DF113" s="95"/>
      <c r="DG113" s="95"/>
      <c r="DL113" s="108"/>
      <c r="DM113" s="108"/>
      <c r="DN113" s="109" t="str">
        <f aca="false">"D6.scenario.defInput["""&amp;B113&amp;"""] = {  "&amp;E$2&amp;":"""&amp;E113&amp;""",  "&amp;C$2&amp;":"""&amp;CLEAN(SUBSTITUTE(C113,"""",""""))&amp;""",  "&amp;F$2&amp;":"""&amp;F113&amp;""",  "&amp;H$2&amp;":"""&amp;CLEAN(SUBSTITUTE(H113,"""",""""))&amp;""", "&amp;J$2&amp;":"""&amp;J113&amp;""", "&amp;L$2&amp;":"""&amp;L113&amp;""", "&amp;M$2&amp;":"""&amp;M113&amp;""", "&amp;N$2&amp;":"""&amp;N113&amp;""", "&amp;O$2&amp;":"""&amp;O113&amp;""", "&amp;P$2&amp;":"""&amp;P113&amp;""", "&amp;Q$2&amp;":"""&amp;Q113&amp;""", "&amp;R$2&amp;":"""&amp;R113&amp;""", d11t:"""&amp;CJ113&amp;""",d11p:"""&amp;CK113&amp;""",d12t:"""&amp;CL113&amp;""",d12p:"""&amp;CM113&amp;""",d13t:"""&amp;CN113&amp;""",d13p:"""&amp;CO113&amp;""",d1w:"""&amp;CP113&amp;""",d1d:"""&amp;CQ113&amp;""", d21t:"""&amp;CR113&amp;""",d21p:"""&amp;CS113&amp;""",d22t:"""&amp;CT113&amp;""",d22p:"""&amp;CU113&amp;""",d23t:"""&amp;CV113&amp;""",d23p:"""&amp;CW113&amp;""",d2w:"""&amp;CX113&amp;""",d2d:"""&amp;CY113&amp;""", d31t:"""&amp;CZ113&amp;""",d31p:"""&amp;DA113&amp;""",d32t:"""&amp;DB113&amp;""",d32p:"""&amp;DC113&amp;""",d33t:"""&amp;DD113&amp;""",d33p:"""&amp;DE113&amp;""",d3w:"""&amp;DF113&amp;""",d3d:"""&amp;DG113&amp;"""}; "</f>
        <v>D6.scenario.defInput["i283"] = {  cons:"consHTcold",  title:"セントラル専用熱源",  unit:"",  text:"セントラルの熱源機と風呂の熱源は別ですか", inputType:"sel283", right:"", postfix:"", nodata:"", varType:"Number", min:"", max:"", defaultValue:"-1", d11t:"",d11p:"",d12t:"",d12p:"",d13t:"",d13p:"",d1w:"",d1d:"", d21t:"",d21p:"",d22t:"",d22p:"",d23t:"",d23p:"",d2w:"",d2d:"", d31t:"",d31p:"",d32t:"",d32p:"",d33t:"",d33p:"",d3w:"",d3d:""}; </v>
      </c>
      <c r="DO113" s="110"/>
      <c r="DP113" s="110"/>
      <c r="DQ113" s="111" t="str">
        <f aca="false">"D6.scenario.defSelectValue["""&amp;U113&amp;"""]= [ """&amp;CLEAN(V113)&amp;""", """&amp;CLEAN(W113)&amp;IF(X113="","",""", """&amp;CLEAN(X113))&amp;IF(Y113="","",""", """&amp;CLEAN(Y113))&amp;IF(Z113="","",""", """&amp;CLEAN(Z113))&amp;IF(AA113="","",""", """&amp;CLEAN(AA113))&amp;IF(AB113="","",""", """&amp;CLEAN(AB113))&amp;IF(AC113="","",""", """&amp;CLEAN(AC113))&amp;IF(AD113="","",""", """&amp;CLEAN(AD113))&amp;IF(AE113="","",""", """&amp;CLEAN(AE113))&amp;IF(AF113="","",""", """&amp;CLEAN(AF113))&amp;IF(AG113="","",""", """&amp;CLEAN(AG113))&amp;IF(AH113="","",""", """&amp;CLEAN(AH113))&amp;IF(AI113="","",""", """&amp;CLEAN(AI113))&amp;IF(AJ113="","",""", """&amp;CLEAN(AJ113))&amp;IF(AK113="","",""", """&amp;CLEAN(AK113))&amp;""" ];"</f>
        <v>D6.scenario.defSelectValue["sel283"]= [ "選んで下さい", "セントラル専用", "風呂と共用" ];</v>
      </c>
      <c r="DR113" s="112"/>
      <c r="DS113" s="112"/>
      <c r="DT113" s="112" t="str">
        <f aca="false">"D6.scenario.defSelectData['"&amp;U113&amp;"']= [ '"&amp;BC113&amp;"', '"&amp;BD113&amp;"', '"&amp;BE113&amp;IF(BF113="","","', '"&amp;BF113)&amp;IF(BG113="","","', '"&amp;BG113)&amp;IF(BH113="","","', '"&amp;BH113)&amp;IF(BI113="","","', '"&amp;BI113)&amp;IF(BJ113="","","', '"&amp;BJ113)&amp;IF(BK113="","","', '"&amp;BK113)&amp;IF(BL113="","","', '"&amp;BL113)&amp;IF(BM113="","","', '"&amp;BM113)&amp;IF(BN113="","","', '"&amp;BN113)&amp;IF(BO113="","","', '"&amp;BO113)&amp;IF(BP113="","","', '"&amp;BP113)&amp;IF(BQ113="","","', '"&amp;BQ113)&amp;IF(BR113="","","', '"&amp;BR113)&amp;"' ];"</f>
        <v>D6.scenario.defSelectData['sel283']= [ '-1', '1', '2' ];</v>
      </c>
    </row>
    <row r="114" s="88" customFormat="true" ht="43.5" hidden="false" customHeight="true" outlineLevel="0" collapsed="false">
      <c r="A114" s="66"/>
      <c r="B114" s="105" t="s">
        <v>1625</v>
      </c>
      <c r="C114" s="103" t="s">
        <v>1626</v>
      </c>
      <c r="D114" s="104" t="s">
        <v>1626</v>
      </c>
      <c r="E114" s="95" t="s">
        <v>1611</v>
      </c>
      <c r="F114" s="103"/>
      <c r="G114" s="104"/>
      <c r="H114" s="103" t="s">
        <v>1627</v>
      </c>
      <c r="I114" s="104" t="s">
        <v>1628</v>
      </c>
      <c r="J114" s="103" t="str">
        <f aca="false">IF(K114="","",K114)</f>
        <v>sel284</v>
      </c>
      <c r="K114" s="104" t="str">
        <f aca="false">"sel"&amp;MID($B114,2,5)</f>
        <v>sel284</v>
      </c>
      <c r="L114" s="105"/>
      <c r="M114" s="105"/>
      <c r="N114" s="105"/>
      <c r="O114" s="95" t="s">
        <v>931</v>
      </c>
      <c r="P114" s="105"/>
      <c r="Q114" s="105"/>
      <c r="R114" s="95" t="n">
        <v>-1</v>
      </c>
      <c r="S114" s="66"/>
      <c r="T114" s="66"/>
      <c r="U114" s="106" t="str">
        <f aca="false">J114</f>
        <v>sel284</v>
      </c>
      <c r="V114" s="103" t="s">
        <v>979</v>
      </c>
      <c r="W114" s="103" t="s">
        <v>1170</v>
      </c>
      <c r="X114" s="103" t="s">
        <v>1421</v>
      </c>
      <c r="Y114" s="103" t="s">
        <v>1341</v>
      </c>
      <c r="Z114" s="103" t="s">
        <v>1422</v>
      </c>
      <c r="AA114" s="103" t="s">
        <v>1342</v>
      </c>
      <c r="AB114" s="103" t="s">
        <v>1423</v>
      </c>
      <c r="AC114" s="103" t="s">
        <v>1343</v>
      </c>
      <c r="AD114" s="103" t="s">
        <v>1344</v>
      </c>
      <c r="AE114" s="103"/>
      <c r="AF114" s="103"/>
      <c r="AG114" s="103"/>
      <c r="AH114" s="103"/>
      <c r="AI114" s="103"/>
      <c r="AJ114" s="103"/>
      <c r="AK114" s="103"/>
      <c r="AL114" s="104" t="s">
        <v>979</v>
      </c>
      <c r="AM114" s="107" t="s">
        <v>1170</v>
      </c>
      <c r="AN114" s="104" t="s">
        <v>1421</v>
      </c>
      <c r="AO114" s="104" t="s">
        <v>1341</v>
      </c>
      <c r="AP114" s="104" t="s">
        <v>1422</v>
      </c>
      <c r="AQ114" s="104" t="s">
        <v>1342</v>
      </c>
      <c r="AR114" s="104" t="s">
        <v>1423</v>
      </c>
      <c r="AS114" s="107" t="s">
        <v>1343</v>
      </c>
      <c r="AT114" s="107" t="s">
        <v>1344</v>
      </c>
      <c r="AU114" s="104"/>
      <c r="AV114" s="104"/>
      <c r="AW114" s="104"/>
      <c r="AX114" s="104"/>
      <c r="AY114" s="104"/>
      <c r="AZ114" s="104"/>
      <c r="BA114" s="104"/>
      <c r="BB114" s="66"/>
      <c r="BC114" s="103" t="n">
        <v>-1</v>
      </c>
      <c r="BD114" s="103" t="n">
        <v>0</v>
      </c>
      <c r="BE114" s="103" t="n">
        <v>1</v>
      </c>
      <c r="BF114" s="103" t="n">
        <v>2</v>
      </c>
      <c r="BG114" s="103" t="n">
        <v>3</v>
      </c>
      <c r="BH114" s="103" t="n">
        <v>4</v>
      </c>
      <c r="BI114" s="103" t="n">
        <v>5</v>
      </c>
      <c r="BJ114" s="103" t="n">
        <v>6</v>
      </c>
      <c r="BK114" s="103" t="n">
        <v>8</v>
      </c>
      <c r="BL114" s="103"/>
      <c r="BM114" s="103"/>
      <c r="BN114" s="103"/>
      <c r="BO114" s="103"/>
      <c r="BP114" s="103"/>
      <c r="BQ114" s="103"/>
      <c r="BR114" s="103"/>
      <c r="BS114" s="104" t="n">
        <v>-1</v>
      </c>
      <c r="BT114" s="104" t="n">
        <v>0</v>
      </c>
      <c r="BU114" s="104" t="n">
        <v>1</v>
      </c>
      <c r="BV114" s="104" t="n">
        <v>2</v>
      </c>
      <c r="BW114" s="104" t="n">
        <v>3</v>
      </c>
      <c r="BX114" s="104" t="n">
        <v>4</v>
      </c>
      <c r="BY114" s="104" t="n">
        <v>5</v>
      </c>
      <c r="BZ114" s="104" t="n">
        <v>6</v>
      </c>
      <c r="CA114" s="104" t="n">
        <v>8</v>
      </c>
      <c r="CB114" s="104"/>
      <c r="CC114" s="104"/>
      <c r="CD114" s="104"/>
      <c r="CE114" s="104"/>
      <c r="CF114" s="104"/>
      <c r="CG114" s="104"/>
      <c r="CH114" s="104"/>
      <c r="CJ114" s="95"/>
      <c r="CK114" s="95"/>
      <c r="CL114" s="95"/>
      <c r="CM114" s="95"/>
      <c r="CN114" s="95"/>
      <c r="CO114" s="95"/>
      <c r="CP114" s="95"/>
      <c r="CQ114" s="95"/>
      <c r="CR114" s="95"/>
      <c r="CS114" s="95"/>
      <c r="CT114" s="95"/>
      <c r="CU114" s="95"/>
      <c r="CV114" s="95"/>
      <c r="CW114" s="95"/>
      <c r="CX114" s="95"/>
      <c r="CY114" s="95"/>
      <c r="CZ114" s="95"/>
      <c r="DA114" s="95"/>
      <c r="DB114" s="95"/>
      <c r="DC114" s="95"/>
      <c r="DD114" s="95"/>
      <c r="DE114" s="95"/>
      <c r="DF114" s="95"/>
      <c r="DG114" s="95"/>
      <c r="DL114" s="108"/>
      <c r="DM114" s="108"/>
      <c r="DN114" s="109" t="str">
        <f aca="false">"D6.scenario.defInput["""&amp;B114&amp;"""] = {  "&amp;E$2&amp;":"""&amp;E114&amp;""",  "&amp;C$2&amp;":"""&amp;CLEAN(SUBSTITUTE(C114,"""",""""))&amp;""",  "&amp;F$2&amp;":"""&amp;F114&amp;""",  "&amp;H$2&amp;":"""&amp;CLEAN(SUBSTITUTE(H114,"""",""""))&amp;""", "&amp;J$2&amp;":"""&amp;J114&amp;""", "&amp;L$2&amp;":"""&amp;L114&amp;""", "&amp;M$2&amp;":"""&amp;M114&amp;""", "&amp;N$2&amp;":"""&amp;N114&amp;""", "&amp;O$2&amp;":"""&amp;O114&amp;""", "&amp;P$2&amp;":"""&amp;P114&amp;""", "&amp;Q$2&amp;":"""&amp;Q114&amp;""", "&amp;R$2&amp;":"""&amp;R114&amp;""", d11t:"""&amp;CJ114&amp;""",d11p:"""&amp;CK114&amp;""",d12t:"""&amp;CL114&amp;""",d12p:"""&amp;CM114&amp;""",d13t:"""&amp;CN114&amp;""",d13p:"""&amp;CO114&amp;""",d1w:"""&amp;CP114&amp;""",d1d:"""&amp;CQ114&amp;""", d21t:"""&amp;CR114&amp;""",d21p:"""&amp;CS114&amp;""",d22t:"""&amp;CT114&amp;""",d22p:"""&amp;CU114&amp;""",d23t:"""&amp;CV114&amp;""",d23p:"""&amp;CW114&amp;""",d2w:"""&amp;CX114&amp;""",d2d:"""&amp;CY114&amp;""", d31t:"""&amp;CZ114&amp;""",d31p:"""&amp;DA114&amp;""",d32t:"""&amp;DB114&amp;""",d32p:"""&amp;DC114&amp;""",d33t:"""&amp;DD114&amp;""",d33p:"""&amp;DE114&amp;""",d3w:"""&amp;DF114&amp;""",d3d:"""&amp;DG114&amp;"""}; "</f>
        <v>D6.scenario.defInput["i284"] = {  cons:"consHTcold",  title:"セントラル暖房期間",  unit:"",  text:"セントラル暖房を使う期間はどのくらいですか", inputType:"sel284", right:"", postfix:"", nodata:"", varType:"Number", min:"", max:"", defaultValue:"-1", d11t:"",d11p:"",d12t:"",d12p:"",d13t:"",d13p:"",d1w:"",d1d:"", d21t:"",d21p:"",d22t:"",d22p:"",d23t:"",d23p:"",d2w:"",d2d:"", d31t:"",d31p:"",d32t:"",d32p:"",d33t:"",d33p:"",d3w:"",d3d:""}; </v>
      </c>
      <c r="DO114" s="110"/>
      <c r="DP114" s="110"/>
      <c r="DQ114" s="111" t="str">
        <f aca="false">"D6.scenario.defSelectValue["""&amp;U114&amp;"""]= [ """&amp;CLEAN(V114)&amp;""", """&amp;CLEAN(W114)&amp;IF(X114="","",""", """&amp;CLEAN(X114))&amp;IF(Y114="","",""", """&amp;CLEAN(Y114))&amp;IF(Z114="","",""", """&amp;CLEAN(Z114))&amp;IF(AA114="","",""", """&amp;CLEAN(AA114))&amp;IF(AB114="","",""", """&amp;CLEAN(AB114))&amp;IF(AC114="","",""", """&amp;CLEAN(AC114))&amp;IF(AD114="","",""", """&amp;CLEAN(AD114))&amp;IF(AE114="","",""", """&amp;CLEAN(AE114))&amp;IF(AF114="","",""", """&amp;CLEAN(AF114))&amp;IF(AG114="","",""", """&amp;CLEAN(AG114))&amp;IF(AH114="","",""", """&amp;CLEAN(AH114))&amp;IF(AI114="","",""", """&amp;CLEAN(AI114))&amp;IF(AJ114="","",""", """&amp;CLEAN(AJ114))&amp;IF(AK114="","",""", """&amp;CLEAN(AK114))&amp;""" ];"</f>
        <v>D6.scenario.defSelectValue["sel284"]= [ "選んで下さい", "使わない", "1ヶ月", "2ヶ月", "3ヶ月", "4ヶ月", "5ヶ月", "6ヶ月", "8ヶ月" ];</v>
      </c>
      <c r="DR114" s="112"/>
      <c r="DS114" s="112"/>
      <c r="DT114" s="112" t="str">
        <f aca="false">"D6.scenario.defSelectData['"&amp;U114&amp;"']= [ '"&amp;BC114&amp;"', '"&amp;BD114&amp;"', '"&amp;BE114&amp;IF(BF114="","","', '"&amp;BF114)&amp;IF(BG114="","","', '"&amp;BG114)&amp;IF(BH114="","","', '"&amp;BH114)&amp;IF(BI114="","","', '"&amp;BI114)&amp;IF(BJ114="","","', '"&amp;BJ114)&amp;IF(BK114="","","', '"&amp;BK114)&amp;IF(BL114="","","', '"&amp;BL114)&amp;IF(BM114="","","', '"&amp;BM114)&amp;IF(BN114="","","', '"&amp;BN114)&amp;IF(BO114="","","', '"&amp;BO114)&amp;IF(BP114="","","', '"&amp;BP114)&amp;IF(BQ114="","","', '"&amp;BQ114)&amp;IF(BR114="","","', '"&amp;BR114)&amp;"' ];"</f>
        <v>D6.scenario.defSelectData['sel284']= [ '-1', '0', '1', '2', '3', '4', '5', '6', '8' ];</v>
      </c>
    </row>
    <row r="115" s="88" customFormat="true" ht="43.5" hidden="false" customHeight="true" outlineLevel="0" collapsed="false">
      <c r="A115" s="66"/>
      <c r="B115" s="105" t="s">
        <v>1629</v>
      </c>
      <c r="C115" s="103" t="s">
        <v>1630</v>
      </c>
      <c r="D115" s="104" t="s">
        <v>1630</v>
      </c>
      <c r="E115" s="95" t="s">
        <v>240</v>
      </c>
      <c r="F115" s="103"/>
      <c r="G115" s="104"/>
      <c r="H115" s="103" t="s">
        <v>1631</v>
      </c>
      <c r="I115" s="104" t="s">
        <v>1631</v>
      </c>
      <c r="J115" s="103" t="str">
        <f aca="false">IF(K115="","",K115)</f>
        <v>sel285</v>
      </c>
      <c r="K115" s="104" t="str">
        <f aca="false">"sel"&amp;MID($B115,2,5)</f>
        <v>sel285</v>
      </c>
      <c r="L115" s="105"/>
      <c r="M115" s="105"/>
      <c r="N115" s="105"/>
      <c r="O115" s="95" t="s">
        <v>931</v>
      </c>
      <c r="P115" s="105"/>
      <c r="Q115" s="105"/>
      <c r="R115" s="95" t="n">
        <v>-1</v>
      </c>
      <c r="S115" s="66"/>
      <c r="T115" s="66"/>
      <c r="U115" s="106" t="str">
        <f aca="false">J115</f>
        <v>sel285</v>
      </c>
      <c r="V115" s="103" t="s">
        <v>979</v>
      </c>
      <c r="W115" s="103" t="s">
        <v>1140</v>
      </c>
      <c r="X115" s="116" t="s">
        <v>1141</v>
      </c>
      <c r="Y115" s="103"/>
      <c r="Z115" s="103"/>
      <c r="AA115" s="103"/>
      <c r="AB115" s="103"/>
      <c r="AC115" s="103"/>
      <c r="AD115" s="103"/>
      <c r="AE115" s="103"/>
      <c r="AF115" s="103"/>
      <c r="AG115" s="103"/>
      <c r="AH115" s="103"/>
      <c r="AI115" s="103"/>
      <c r="AJ115" s="103"/>
      <c r="AK115" s="103"/>
      <c r="AL115" s="104" t="s">
        <v>979</v>
      </c>
      <c r="AM115" s="104" t="s">
        <v>1140</v>
      </c>
      <c r="AN115" s="117" t="s">
        <v>1141</v>
      </c>
      <c r="AO115" s="104"/>
      <c r="AP115" s="104"/>
      <c r="AQ115" s="104"/>
      <c r="AR115" s="104"/>
      <c r="AS115" s="104"/>
      <c r="AT115" s="104"/>
      <c r="AU115" s="104"/>
      <c r="AV115" s="104"/>
      <c r="AW115" s="104"/>
      <c r="AX115" s="104"/>
      <c r="AY115" s="104"/>
      <c r="AZ115" s="104"/>
      <c r="BA115" s="104"/>
      <c r="BB115" s="66"/>
      <c r="BC115" s="103" t="n">
        <v>-1</v>
      </c>
      <c r="BD115" s="103" t="n">
        <v>1</v>
      </c>
      <c r="BE115" s="103" t="n">
        <v>2</v>
      </c>
      <c r="BF115" s="103"/>
      <c r="BG115" s="103"/>
      <c r="BH115" s="103"/>
      <c r="BI115" s="103"/>
      <c r="BJ115" s="103"/>
      <c r="BK115" s="103"/>
      <c r="BL115" s="103"/>
      <c r="BM115" s="103"/>
      <c r="BN115" s="103"/>
      <c r="BO115" s="103"/>
      <c r="BP115" s="103"/>
      <c r="BQ115" s="103"/>
      <c r="BR115" s="103"/>
      <c r="BS115" s="104" t="n">
        <v>-1</v>
      </c>
      <c r="BT115" s="104" t="n">
        <v>1</v>
      </c>
      <c r="BU115" s="104" t="n">
        <v>2</v>
      </c>
      <c r="BV115" s="104"/>
      <c r="BW115" s="104"/>
      <c r="BX115" s="104"/>
      <c r="BY115" s="104"/>
      <c r="BZ115" s="104"/>
      <c r="CA115" s="104"/>
      <c r="CB115" s="104"/>
      <c r="CC115" s="104"/>
      <c r="CD115" s="104"/>
      <c r="CE115" s="104"/>
      <c r="CF115" s="104"/>
      <c r="CG115" s="104"/>
      <c r="CH115" s="104"/>
      <c r="CJ115" s="95" t="n">
        <v>2</v>
      </c>
      <c r="CK115" s="95" t="n">
        <v>0</v>
      </c>
      <c r="CL115" s="95" t="n">
        <v>1</v>
      </c>
      <c r="CM115" s="95" t="n">
        <v>2</v>
      </c>
      <c r="CN115" s="95"/>
      <c r="CO115" s="95"/>
      <c r="CP115" s="95" t="n">
        <v>1</v>
      </c>
      <c r="CQ115" s="95" t="n">
        <v>0</v>
      </c>
      <c r="CR115" s="95" t="n">
        <v>2</v>
      </c>
      <c r="CS115" s="95" t="n">
        <v>0</v>
      </c>
      <c r="CT115" s="95" t="n">
        <v>1</v>
      </c>
      <c r="CU115" s="95" t="n">
        <v>2</v>
      </c>
      <c r="CV115" s="95"/>
      <c r="CW115" s="95"/>
      <c r="CX115" s="95" t="n">
        <v>1</v>
      </c>
      <c r="CY115" s="95" t="n">
        <v>0</v>
      </c>
      <c r="CZ115" s="95"/>
      <c r="DA115" s="95"/>
      <c r="DB115" s="95"/>
      <c r="DC115" s="95"/>
      <c r="DD115" s="95"/>
      <c r="DE115" s="95"/>
      <c r="DF115" s="95"/>
      <c r="DG115" s="95"/>
      <c r="DL115" s="108"/>
      <c r="DM115" s="108"/>
      <c r="DN115" s="109" t="str">
        <f aca="false">"D6.scenario.defInput["""&amp;B115&amp;"""] = {  "&amp;E$2&amp;":"""&amp;E115&amp;""",  "&amp;C$2&amp;":"""&amp;CLEAN(SUBSTITUTE(C115,"""",""""))&amp;""",  "&amp;F$2&amp;":"""&amp;F115&amp;""",  "&amp;H$2&amp;":"""&amp;CLEAN(SUBSTITUTE(H115,"""",""""))&amp;""", "&amp;J$2&amp;":"""&amp;J115&amp;""", "&amp;L$2&amp;":"""&amp;L115&amp;""", "&amp;M$2&amp;":"""&amp;M115&amp;""", "&amp;N$2&amp;":"""&amp;N115&amp;""", "&amp;O$2&amp;":"""&amp;O115&amp;""", "&amp;P$2&amp;":"""&amp;P115&amp;""", "&amp;Q$2&amp;":"""&amp;Q115&amp;""", "&amp;R$2&amp;":"""&amp;R115&amp;""", d11t:"""&amp;CJ115&amp;""",d11p:"""&amp;CK115&amp;""",d12t:"""&amp;CL115&amp;""",d12p:"""&amp;CM115&amp;""",d13t:"""&amp;CN115&amp;""",d13p:"""&amp;CO115&amp;""",d1w:"""&amp;CP115&amp;""",d1d:"""&amp;CQ115&amp;""", d21t:"""&amp;CR115&amp;""",d21p:"""&amp;CS115&amp;""",d22t:"""&amp;CT115&amp;""",d22p:"""&amp;CU115&amp;""",d23t:"""&amp;CV115&amp;""",d23p:"""&amp;CW115&amp;""",d2w:"""&amp;CX115&amp;""",d2d:"""&amp;CY115&amp;""", d31t:"""&amp;CZ115&amp;""",d31p:"""&amp;DA115&amp;""",d32t:"""&amp;DB115&amp;""",d32p:"""&amp;DC115&amp;""",d33t:"""&amp;DD115&amp;""",d33p:"""&amp;DE115&amp;""",d3w:"""&amp;DF115&amp;""",d3d:"""&amp;DG115&amp;"""}; "</f>
        <v>D6.scenario.defInput["i285"] = {  cons:"consHTsum",  title:"熱交換換気",  unit:"",  text:"熱交換式の換気ですか", inputType:"sel285", right:"", postfix:"", nodata:"", varType:"Number", min:"", max:"", defaultValue:"-1", d11t:"2",d11p:"0",d12t:"1",d12p:"2",d13t:"",d13p:"",d1w:"1",d1d:"0", d21t:"2",d21p:"0",d22t:"1",d22p:"2",d23t:"",d23p:"",d2w:"1",d2d:"0", d31t:"",d31p:"",d32t:"",d32p:"",d33t:"",d33p:"",d3w:"",d3d:""}; </v>
      </c>
      <c r="DO115" s="110"/>
      <c r="DP115" s="110"/>
      <c r="DQ115" s="111" t="str">
        <f aca="false">"D6.scenario.defSelectValue["""&amp;U115&amp;"""]= [ """&amp;CLEAN(V115)&amp;""", """&amp;CLEAN(W115)&amp;IF(X115="","",""", """&amp;CLEAN(X115))&amp;IF(Y115="","",""", """&amp;CLEAN(Y115))&amp;IF(Z115="","",""", """&amp;CLEAN(Z115))&amp;IF(AA115="","",""", """&amp;CLEAN(AA115))&amp;IF(AB115="","",""", """&amp;CLEAN(AB115))&amp;IF(AC115="","",""", """&amp;CLEAN(AC115))&amp;IF(AD115="","",""", """&amp;CLEAN(AD115))&amp;IF(AE115="","",""", """&amp;CLEAN(AE115))&amp;IF(AF115="","",""", """&amp;CLEAN(AF115))&amp;IF(AG115="","",""", """&amp;CLEAN(AG115))&amp;IF(AH115="","",""", """&amp;CLEAN(AH115))&amp;IF(AI115="","",""", """&amp;CLEAN(AI115))&amp;IF(AJ115="","",""", """&amp;CLEAN(AJ115))&amp;IF(AK115="","",""", """&amp;CLEAN(AK115))&amp;""" ];"</f>
        <v>D6.scenario.defSelectValue["sel285"]= [ "選んで下さい", "はい", "いいえ" ];</v>
      </c>
      <c r="DR115" s="112"/>
      <c r="DS115" s="112"/>
      <c r="DT115" s="112" t="str">
        <f aca="false">"D6.scenario.defSelectData['"&amp;U115&amp;"']= [ '"&amp;BC115&amp;"', '"&amp;BD115&amp;"', '"&amp;BE115&amp;IF(BF115="","","', '"&amp;BF115)&amp;IF(BG115="","","', '"&amp;BG115)&amp;IF(BH115="","","', '"&amp;BH115)&amp;IF(BI115="","","', '"&amp;BI115)&amp;IF(BJ115="","","', '"&amp;BJ115)&amp;IF(BK115="","","', '"&amp;BK115)&amp;IF(BL115="","","', '"&amp;BL115)&amp;IF(BM115="","","', '"&amp;BM115)&amp;IF(BN115="","","', '"&amp;BN115)&amp;IF(BO115="","","', '"&amp;BO115)&amp;IF(BP115="","","', '"&amp;BP115)&amp;IF(BQ115="","","', '"&amp;BQ115)&amp;IF(BR115="","","', '"&amp;BR115)&amp;"' ];"</f>
        <v>D6.scenario.defSelectData['sel285']= [ '-1', '1', '2' ];</v>
      </c>
    </row>
    <row r="116" s="88" customFormat="true" ht="43.5" hidden="false" customHeight="true" outlineLevel="0" collapsed="false">
      <c r="A116" s="66"/>
      <c r="B116" s="105" t="s">
        <v>1632</v>
      </c>
      <c r="C116" s="103" t="s">
        <v>1633</v>
      </c>
      <c r="D116" s="104" t="s">
        <v>1633</v>
      </c>
      <c r="E116" s="95" t="s">
        <v>1611</v>
      </c>
      <c r="F116" s="103"/>
      <c r="G116" s="104"/>
      <c r="H116" s="103" t="s">
        <v>1634</v>
      </c>
      <c r="I116" s="104" t="s">
        <v>1634</v>
      </c>
      <c r="J116" s="103" t="str">
        <f aca="false">IF(K116="","",K116)</f>
        <v>sel286</v>
      </c>
      <c r="K116" s="104" t="str">
        <f aca="false">"sel"&amp;MID($B116,2,5)</f>
        <v>sel286</v>
      </c>
      <c r="L116" s="105"/>
      <c r="M116" s="105"/>
      <c r="N116" s="105"/>
      <c r="O116" s="95" t="s">
        <v>931</v>
      </c>
      <c r="P116" s="105"/>
      <c r="Q116" s="105"/>
      <c r="R116" s="95" t="n">
        <v>-1</v>
      </c>
      <c r="S116" s="66"/>
      <c r="T116" s="66"/>
      <c r="U116" s="106" t="str">
        <f aca="false">J116</f>
        <v>sel286</v>
      </c>
      <c r="V116" s="103" t="s">
        <v>979</v>
      </c>
      <c r="W116" s="103" t="s">
        <v>1140</v>
      </c>
      <c r="X116" s="116" t="s">
        <v>1141</v>
      </c>
      <c r="Y116" s="103"/>
      <c r="Z116" s="103"/>
      <c r="AA116" s="103"/>
      <c r="AB116" s="103"/>
      <c r="AC116" s="103"/>
      <c r="AD116" s="103"/>
      <c r="AE116" s="103"/>
      <c r="AF116" s="103"/>
      <c r="AG116" s="103"/>
      <c r="AH116" s="103"/>
      <c r="AI116" s="103"/>
      <c r="AJ116" s="103"/>
      <c r="AK116" s="103"/>
      <c r="AL116" s="104" t="s">
        <v>979</v>
      </c>
      <c r="AM116" s="104" t="s">
        <v>1140</v>
      </c>
      <c r="AN116" s="117" t="s">
        <v>1141</v>
      </c>
      <c r="AO116" s="104"/>
      <c r="AP116" s="104"/>
      <c r="AQ116" s="104"/>
      <c r="AR116" s="104"/>
      <c r="AS116" s="104"/>
      <c r="AT116" s="104"/>
      <c r="AU116" s="104"/>
      <c r="AV116" s="104"/>
      <c r="AW116" s="104"/>
      <c r="AX116" s="104"/>
      <c r="AY116" s="104"/>
      <c r="AZ116" s="104"/>
      <c r="BA116" s="104"/>
      <c r="BB116" s="66"/>
      <c r="BC116" s="103" t="n">
        <v>-1</v>
      </c>
      <c r="BD116" s="103" t="n">
        <v>1</v>
      </c>
      <c r="BE116" s="103" t="n">
        <v>2</v>
      </c>
      <c r="BF116" s="103"/>
      <c r="BG116" s="103"/>
      <c r="BH116" s="103"/>
      <c r="BI116" s="103"/>
      <c r="BJ116" s="103"/>
      <c r="BK116" s="103"/>
      <c r="BL116" s="103"/>
      <c r="BM116" s="103"/>
      <c r="BN116" s="103"/>
      <c r="BO116" s="103"/>
      <c r="BP116" s="103"/>
      <c r="BQ116" s="103"/>
      <c r="BR116" s="103"/>
      <c r="BS116" s="104" t="n">
        <v>-1</v>
      </c>
      <c r="BT116" s="104" t="n">
        <v>1</v>
      </c>
      <c r="BU116" s="104" t="n">
        <v>2</v>
      </c>
      <c r="BV116" s="104"/>
      <c r="BW116" s="104"/>
      <c r="BX116" s="104"/>
      <c r="BY116" s="104"/>
      <c r="BZ116" s="104"/>
      <c r="CA116" s="104"/>
      <c r="CB116" s="104"/>
      <c r="CC116" s="104"/>
      <c r="CD116" s="104"/>
      <c r="CE116" s="104"/>
      <c r="CF116" s="104"/>
      <c r="CG116" s="104"/>
      <c r="CH116" s="104"/>
      <c r="CJ116" s="95"/>
      <c r="CK116" s="95"/>
      <c r="CL116" s="95"/>
      <c r="CM116" s="95"/>
      <c r="CN116" s="95"/>
      <c r="CO116" s="95"/>
      <c r="CP116" s="95"/>
      <c r="CQ116" s="95"/>
      <c r="CR116" s="95"/>
      <c r="CS116" s="95"/>
      <c r="CT116" s="95"/>
      <c r="CU116" s="95"/>
      <c r="CV116" s="95"/>
      <c r="CW116" s="95"/>
      <c r="CX116" s="95"/>
      <c r="CY116" s="95"/>
      <c r="CZ116" s="95"/>
      <c r="DA116" s="95"/>
      <c r="DB116" s="95"/>
      <c r="DC116" s="95"/>
      <c r="DD116" s="95"/>
      <c r="DE116" s="95"/>
      <c r="DF116" s="95"/>
      <c r="DG116" s="95"/>
      <c r="DL116" s="108"/>
      <c r="DM116" s="108"/>
      <c r="DN116" s="109" t="str">
        <f aca="false">"D6.scenario.defInput["""&amp;B116&amp;"""] = {  "&amp;E$2&amp;":"""&amp;E116&amp;""",  "&amp;C$2&amp;":"""&amp;CLEAN(SUBSTITUTE(C116,"""",""""))&amp;""",  "&amp;F$2&amp;":"""&amp;F116&amp;""",  "&amp;H$2&amp;":"""&amp;CLEAN(SUBSTITUTE(H116,"""",""""))&amp;""", "&amp;J$2&amp;":"""&amp;J116&amp;""", "&amp;L$2&amp;":"""&amp;L116&amp;""", "&amp;M$2&amp;":"""&amp;M116&amp;""", "&amp;N$2&amp;":"""&amp;N116&amp;""", "&amp;O$2&amp;":"""&amp;O116&amp;""", "&amp;P$2&amp;":"""&amp;P116&amp;""", "&amp;Q$2&amp;":"""&amp;Q116&amp;""", "&amp;R$2&amp;":"""&amp;R116&amp;""", d11t:"""&amp;CJ116&amp;""",d11p:"""&amp;CK116&amp;""",d12t:"""&amp;CL116&amp;""",d12p:"""&amp;CM116&amp;""",d13t:"""&amp;CN116&amp;""",d13p:"""&amp;CO116&amp;""",d1w:"""&amp;CP116&amp;""",d1d:"""&amp;CQ116&amp;""", d21t:"""&amp;CR116&amp;""",d21p:"""&amp;CS116&amp;""",d22t:"""&amp;CT116&amp;""",d22p:"""&amp;CU116&amp;""",d23t:"""&amp;CV116&amp;""",d23p:"""&amp;CW116&amp;""",d2w:"""&amp;CX116&amp;""",d2d:"""&amp;CY116&amp;""", d31t:"""&amp;CZ116&amp;""",d31p:"""&amp;DA116&amp;""",d32t:"""&amp;DB116&amp;""",d32p:"""&amp;DC116&amp;""",d33t:"""&amp;DD116&amp;""",d33p:"""&amp;DE116&amp;""",d3w:"""&amp;DF116&amp;""",d3d:"""&amp;DG116&amp;"""}; "</f>
        <v>D6.scenario.defInput["i286"] = {  cons:"consHTcold",  title:"ロードヒーティング",  unit:"",  text:"ロードヒーティングを使っていますか", inputType:"sel286", right:"", postfix:"", nodata:"", varType:"Number", min:"", max:"", defaultValue:"-1", d11t:"",d11p:"",d12t:"",d12p:"",d13t:"",d13p:"",d1w:"",d1d:"", d21t:"",d21p:"",d22t:"",d22p:"",d23t:"",d23p:"",d2w:"",d2d:"", d31t:"",d31p:"",d32t:"",d32p:"",d33t:"",d33p:"",d3w:"",d3d:""}; </v>
      </c>
      <c r="DO116" s="110"/>
      <c r="DP116" s="110"/>
      <c r="DQ116" s="111" t="str">
        <f aca="false">"D6.scenario.defSelectValue["""&amp;U116&amp;"""]= [ """&amp;CLEAN(V116)&amp;""", """&amp;CLEAN(W116)&amp;IF(X116="","",""", """&amp;CLEAN(X116))&amp;IF(Y116="","",""", """&amp;CLEAN(Y116))&amp;IF(Z116="","",""", """&amp;CLEAN(Z116))&amp;IF(AA116="","",""", """&amp;CLEAN(AA116))&amp;IF(AB116="","",""", """&amp;CLEAN(AB116))&amp;IF(AC116="","",""", """&amp;CLEAN(AC116))&amp;IF(AD116="","",""", """&amp;CLEAN(AD116))&amp;IF(AE116="","",""", """&amp;CLEAN(AE116))&amp;IF(AF116="","",""", """&amp;CLEAN(AF116))&amp;IF(AG116="","",""", """&amp;CLEAN(AG116))&amp;IF(AH116="","",""", """&amp;CLEAN(AH116))&amp;IF(AI116="","",""", """&amp;CLEAN(AI116))&amp;IF(AJ116="","",""", """&amp;CLEAN(AJ116))&amp;IF(AK116="","",""", """&amp;CLEAN(AK116))&amp;""" ];"</f>
        <v>D6.scenario.defSelectValue["sel286"]= [ "選んで下さい", "はい", "いいえ" ];</v>
      </c>
      <c r="DR116" s="112"/>
      <c r="DS116" s="112"/>
      <c r="DT116" s="112" t="str">
        <f aca="false">"D6.scenario.defSelectData['"&amp;U116&amp;"']= [ '"&amp;BC116&amp;"', '"&amp;BD116&amp;"', '"&amp;BE116&amp;IF(BF116="","","', '"&amp;BF116)&amp;IF(BG116="","","', '"&amp;BG116)&amp;IF(BH116="","","', '"&amp;BH116)&amp;IF(BI116="","","', '"&amp;BI116)&amp;IF(BJ116="","","', '"&amp;BJ116)&amp;IF(BK116="","","', '"&amp;BK116)&amp;IF(BL116="","","', '"&amp;BL116)&amp;IF(BM116="","","', '"&amp;BM116)&amp;IF(BN116="","","', '"&amp;BN116)&amp;IF(BO116="","","', '"&amp;BO116)&amp;IF(BP116="","","', '"&amp;BP116)&amp;IF(BQ116="","","', '"&amp;BQ116)&amp;IF(BR116="","","', '"&amp;BR116)&amp;"' ];"</f>
        <v>D6.scenario.defSelectData['sel286']= [ '-1', '1', '2' ];</v>
      </c>
    </row>
    <row r="117" s="88" customFormat="true" ht="43.5" hidden="false" customHeight="true" outlineLevel="0" collapsed="false">
      <c r="A117" s="66"/>
      <c r="B117" s="105" t="s">
        <v>1635</v>
      </c>
      <c r="C117" s="103" t="s">
        <v>1636</v>
      </c>
      <c r="D117" s="104" t="s">
        <v>1636</v>
      </c>
      <c r="E117" s="95" t="s">
        <v>1611</v>
      </c>
      <c r="F117" s="103"/>
      <c r="G117" s="104"/>
      <c r="H117" s="103" t="s">
        <v>1637</v>
      </c>
      <c r="I117" s="104" t="s">
        <v>1638</v>
      </c>
      <c r="J117" s="103" t="str">
        <f aca="false">IF(K117="","",K117)</f>
        <v>sel287</v>
      </c>
      <c r="K117" s="104" t="str">
        <f aca="false">"sel"&amp;MID($B117,2,5)</f>
        <v>sel287</v>
      </c>
      <c r="L117" s="105"/>
      <c r="M117" s="105"/>
      <c r="N117" s="105"/>
      <c r="O117" s="95" t="s">
        <v>931</v>
      </c>
      <c r="P117" s="105"/>
      <c r="Q117" s="105"/>
      <c r="R117" s="95" t="n">
        <v>-1</v>
      </c>
      <c r="S117" s="66"/>
      <c r="T117" s="66"/>
      <c r="U117" s="106" t="str">
        <f aca="false">J117</f>
        <v>sel287</v>
      </c>
      <c r="V117" s="103" t="s">
        <v>979</v>
      </c>
      <c r="W117" s="103" t="s">
        <v>1391</v>
      </c>
      <c r="X117" s="103" t="s">
        <v>1617</v>
      </c>
      <c r="Y117" s="103" t="s">
        <v>1618</v>
      </c>
      <c r="Z117" s="103" t="s">
        <v>1390</v>
      </c>
      <c r="AA117" s="103" t="s">
        <v>1619</v>
      </c>
      <c r="AB117" s="103" t="s">
        <v>1183</v>
      </c>
      <c r="AC117" s="103"/>
      <c r="AD117" s="103"/>
      <c r="AE117" s="103"/>
      <c r="AF117" s="103"/>
      <c r="AG117" s="103"/>
      <c r="AH117" s="103"/>
      <c r="AI117" s="103"/>
      <c r="AJ117" s="103"/>
      <c r="AK117" s="103"/>
      <c r="AL117" s="104" t="s">
        <v>979</v>
      </c>
      <c r="AM117" s="107" t="s">
        <v>1391</v>
      </c>
      <c r="AN117" s="104" t="s">
        <v>1617</v>
      </c>
      <c r="AO117" s="104" t="s">
        <v>1618</v>
      </c>
      <c r="AP117" s="104" t="s">
        <v>1390</v>
      </c>
      <c r="AQ117" s="104" t="s">
        <v>1619</v>
      </c>
      <c r="AR117" s="104" t="s">
        <v>1183</v>
      </c>
      <c r="AS117" s="104"/>
      <c r="AT117" s="104"/>
      <c r="AU117" s="104"/>
      <c r="AV117" s="104"/>
      <c r="AW117" s="104"/>
      <c r="AX117" s="104"/>
      <c r="AY117" s="104"/>
      <c r="AZ117" s="104"/>
      <c r="BA117" s="104"/>
      <c r="BB117" s="66"/>
      <c r="BC117" s="103" t="n">
        <v>-1</v>
      </c>
      <c r="BD117" s="103" t="n">
        <v>1</v>
      </c>
      <c r="BE117" s="103" t="n">
        <v>2</v>
      </c>
      <c r="BF117" s="103" t="n">
        <v>3</v>
      </c>
      <c r="BG117" s="103" t="n">
        <v>4</v>
      </c>
      <c r="BH117" s="103" t="n">
        <v>5</v>
      </c>
      <c r="BI117" s="103" t="n">
        <v>6</v>
      </c>
      <c r="BJ117" s="103"/>
      <c r="BK117" s="103"/>
      <c r="BL117" s="103"/>
      <c r="BM117" s="103"/>
      <c r="BN117" s="103"/>
      <c r="BO117" s="103"/>
      <c r="BP117" s="103"/>
      <c r="BQ117" s="103"/>
      <c r="BR117" s="103"/>
      <c r="BS117" s="104" t="n">
        <v>-1</v>
      </c>
      <c r="BT117" s="104" t="n">
        <v>1</v>
      </c>
      <c r="BU117" s="104" t="n">
        <v>2</v>
      </c>
      <c r="BV117" s="104" t="n">
        <v>3</v>
      </c>
      <c r="BW117" s="104" t="n">
        <v>4</v>
      </c>
      <c r="BX117" s="104" t="n">
        <v>5</v>
      </c>
      <c r="BY117" s="104" t="n">
        <v>6</v>
      </c>
      <c r="BZ117" s="104"/>
      <c r="CA117" s="104"/>
      <c r="CB117" s="104"/>
      <c r="CC117" s="104"/>
      <c r="CD117" s="104"/>
      <c r="CE117" s="104"/>
      <c r="CF117" s="104"/>
      <c r="CG117" s="104"/>
      <c r="CH117" s="104"/>
      <c r="CJ117" s="95"/>
      <c r="CK117" s="95"/>
      <c r="CL117" s="95"/>
      <c r="CM117" s="95"/>
      <c r="CN117" s="95"/>
      <c r="CO117" s="95"/>
      <c r="CP117" s="95"/>
      <c r="CQ117" s="95"/>
      <c r="CR117" s="95"/>
      <c r="CS117" s="95"/>
      <c r="CT117" s="95"/>
      <c r="CU117" s="95"/>
      <c r="CV117" s="95"/>
      <c r="CW117" s="95"/>
      <c r="CX117" s="95"/>
      <c r="CY117" s="95"/>
      <c r="CZ117" s="95"/>
      <c r="DA117" s="95"/>
      <c r="DB117" s="95"/>
      <c r="DC117" s="95"/>
      <c r="DD117" s="95"/>
      <c r="DE117" s="95"/>
      <c r="DF117" s="95"/>
      <c r="DG117" s="95"/>
      <c r="DL117" s="108"/>
      <c r="DM117" s="108"/>
      <c r="DN117" s="109" t="str">
        <f aca="false">"D6.scenario.defInput["""&amp;B117&amp;"""] = {  "&amp;E$2&amp;":"""&amp;E117&amp;""",  "&amp;C$2&amp;":"""&amp;CLEAN(SUBSTITUTE(C117,"""",""""))&amp;""",  "&amp;F$2&amp;":"""&amp;F117&amp;""",  "&amp;H$2&amp;":"""&amp;CLEAN(SUBSTITUTE(H117,"""",""""))&amp;""", "&amp;J$2&amp;":"""&amp;J117&amp;""", "&amp;L$2&amp;":"""&amp;L117&amp;""", "&amp;M$2&amp;":"""&amp;M117&amp;""", "&amp;N$2&amp;":"""&amp;N117&amp;""", "&amp;O$2&amp;":"""&amp;O117&amp;""", "&amp;P$2&amp;":"""&amp;P117&amp;""", "&amp;Q$2&amp;":"""&amp;Q117&amp;""", "&amp;R$2&amp;":"""&amp;R117&amp;""", d11t:"""&amp;CJ117&amp;""",d11p:"""&amp;CK117&amp;""",d12t:"""&amp;CL117&amp;""",d12p:"""&amp;CM117&amp;""",d13t:"""&amp;CN117&amp;""",d13p:"""&amp;CO117&amp;""",d1w:"""&amp;CP117&amp;""",d1d:"""&amp;CQ117&amp;""", d21t:"""&amp;CR117&amp;""",d21p:"""&amp;CS117&amp;""",d22t:"""&amp;CT117&amp;""",d22p:"""&amp;CU117&amp;""",d23t:"""&amp;CV117&amp;""",d23p:"""&amp;CW117&amp;""",d2w:"""&amp;CX117&amp;""",d2d:"""&amp;CY117&amp;""", d31t:"""&amp;CZ117&amp;""",d31p:"""&amp;DA117&amp;""",d32t:"""&amp;DB117&amp;""",d32p:"""&amp;DC117&amp;""",d33t:"""&amp;DD117&amp;""",d33p:"""&amp;DE117&amp;""",d3w:"""&amp;DF117&amp;""",d3d:"""&amp;DG117&amp;"""}; "</f>
        <v>D6.scenario.defInput["i287"] = {  cons:"consHTcold",  title:"ロードヒーティング熱源",  unit:"",  text:"ロードヒーティングの熱源は何ですか", inputType:"sel287", right:"", postfix:"", nodata:"", varType:"Number", min:"", max:"", defaultValue:"-1", d11t:"",d11p:"",d12t:"",d12p:"",d13t:"",d13p:"",d1w:"",d1d:"", d21t:"",d21p:"",d22t:"",d22p:"",d23t:"",d23p:"",d2w:"",d2d:"", d31t:"",d31p:"",d32t:"",d32p:"",d33t:"",d33p:"",d3w:"",d3d:""}; </v>
      </c>
      <c r="DO117" s="110"/>
      <c r="DP117" s="110"/>
      <c r="DQ117" s="111" t="str">
        <f aca="false">"D6.scenario.defSelectValue["""&amp;U117&amp;"""]= [ """&amp;CLEAN(V117)&amp;""", """&amp;CLEAN(W117)&amp;IF(X117="","",""", """&amp;CLEAN(X117))&amp;IF(Y117="","",""", """&amp;CLEAN(Y117))&amp;IF(Z117="","",""", """&amp;CLEAN(Z117))&amp;IF(AA117="","",""", """&amp;CLEAN(AA117))&amp;IF(AB117="","",""", """&amp;CLEAN(AB117))&amp;IF(AC117="","",""", """&amp;CLEAN(AC117))&amp;IF(AD117="","",""", """&amp;CLEAN(AD117))&amp;IF(AE117="","",""", """&amp;CLEAN(AE117))&amp;IF(AF117="","",""", """&amp;CLEAN(AF117))&amp;IF(AG117="","",""", """&amp;CLEAN(AG117))&amp;IF(AH117="","",""", """&amp;CLEAN(AH117))&amp;IF(AI117="","",""", """&amp;CLEAN(AI117))&amp;IF(AJ117="","",""", """&amp;CLEAN(AJ117))&amp;IF(AK117="","",""", """&amp;CLEAN(AK117))&amp;""" ];"</f>
        <v>D6.scenario.defSelectValue["sel287"]= [ "選んで下さい", "灯油", "電気", "電気（ヒートポンプ）", "ガス", "ハイブリッド（ヒートポンプ＋ガス）", "地域熱供給" ];</v>
      </c>
      <c r="DR117" s="112"/>
      <c r="DS117" s="112"/>
      <c r="DT117" s="112" t="str">
        <f aca="false">"D6.scenario.defSelectData['"&amp;U117&amp;"']= [ '"&amp;BC117&amp;"', '"&amp;BD117&amp;"', '"&amp;BE117&amp;IF(BF117="","","', '"&amp;BF117)&amp;IF(BG117="","","', '"&amp;BG117)&amp;IF(BH117="","","', '"&amp;BH117)&amp;IF(BI117="","","', '"&amp;BI117)&amp;IF(BJ117="","","', '"&amp;BJ117)&amp;IF(BK117="","","', '"&amp;BK117)&amp;IF(BL117="","","', '"&amp;BL117)&amp;IF(BM117="","","', '"&amp;BM117)&amp;IF(BN117="","","', '"&amp;BN117)&amp;IF(BO117="","","', '"&amp;BO117)&amp;IF(BP117="","","', '"&amp;BP117)&amp;IF(BQ117="","","', '"&amp;BQ117)&amp;IF(BR117="","","', '"&amp;BR117)&amp;"' ];"</f>
        <v>D6.scenario.defSelectData['sel287']= [ '-1', '1', '2', '3', '4', '5', '6' ];</v>
      </c>
    </row>
    <row r="118" s="88" customFormat="true" ht="43.5" hidden="false" customHeight="true" outlineLevel="0" collapsed="false">
      <c r="A118" s="66"/>
      <c r="B118" s="105" t="s">
        <v>1639</v>
      </c>
      <c r="C118" s="103" t="s">
        <v>1640</v>
      </c>
      <c r="D118" s="104" t="s">
        <v>1640</v>
      </c>
      <c r="E118" s="95" t="s">
        <v>1611</v>
      </c>
      <c r="F118" s="103"/>
      <c r="G118" s="104"/>
      <c r="H118" s="103" t="s">
        <v>1641</v>
      </c>
      <c r="I118" s="104" t="s">
        <v>1640</v>
      </c>
      <c r="J118" s="103" t="str">
        <f aca="false">IF(K118="","",K118)</f>
        <v>sel288</v>
      </c>
      <c r="K118" s="104" t="str">
        <f aca="false">"sel"&amp;MID($B118,2,5)</f>
        <v>sel288</v>
      </c>
      <c r="L118" s="105"/>
      <c r="M118" s="105"/>
      <c r="N118" s="105"/>
      <c r="O118" s="95" t="s">
        <v>931</v>
      </c>
      <c r="P118" s="105"/>
      <c r="Q118" s="105"/>
      <c r="R118" s="95" t="n">
        <v>-1</v>
      </c>
      <c r="S118" s="66"/>
      <c r="T118" s="66"/>
      <c r="U118" s="106" t="str">
        <f aca="false">J118</f>
        <v>sel288</v>
      </c>
      <c r="V118" s="103" t="s">
        <v>979</v>
      </c>
      <c r="W118" s="103" t="s">
        <v>1642</v>
      </c>
      <c r="X118" s="116" t="s">
        <v>1643</v>
      </c>
      <c r="Y118" s="103" t="s">
        <v>1644</v>
      </c>
      <c r="Z118" s="103" t="s">
        <v>1645</v>
      </c>
      <c r="AA118" s="103" t="s">
        <v>1646</v>
      </c>
      <c r="AB118" s="103" t="s">
        <v>1647</v>
      </c>
      <c r="AC118" s="103" t="s">
        <v>1648</v>
      </c>
      <c r="AD118" s="103" t="s">
        <v>1649</v>
      </c>
      <c r="AE118" s="103"/>
      <c r="AF118" s="103"/>
      <c r="AG118" s="103"/>
      <c r="AH118" s="103"/>
      <c r="AI118" s="103"/>
      <c r="AJ118" s="103"/>
      <c r="AK118" s="103"/>
      <c r="AL118" s="104" t="s">
        <v>979</v>
      </c>
      <c r="AM118" s="104" t="s">
        <v>1642</v>
      </c>
      <c r="AN118" s="118" t="s">
        <v>1643</v>
      </c>
      <c r="AO118" s="104" t="s">
        <v>1644</v>
      </c>
      <c r="AP118" s="104" t="s">
        <v>1645</v>
      </c>
      <c r="AQ118" s="104" t="s">
        <v>1646</v>
      </c>
      <c r="AR118" s="104" t="s">
        <v>1647</v>
      </c>
      <c r="AS118" s="104" t="s">
        <v>1648</v>
      </c>
      <c r="AT118" s="104" t="s">
        <v>1649</v>
      </c>
      <c r="AU118" s="104"/>
      <c r="AV118" s="104"/>
      <c r="AW118" s="104"/>
      <c r="AX118" s="104"/>
      <c r="AY118" s="104"/>
      <c r="AZ118" s="104"/>
      <c r="BA118" s="104"/>
      <c r="BB118" s="66"/>
      <c r="BC118" s="103" t="n">
        <v>-1</v>
      </c>
      <c r="BD118" s="103" t="n">
        <v>3</v>
      </c>
      <c r="BE118" s="103" t="n">
        <v>7</v>
      </c>
      <c r="BF118" s="103" t="n">
        <v>10</v>
      </c>
      <c r="BG118" s="103" t="n">
        <v>15</v>
      </c>
      <c r="BH118" s="103" t="n">
        <v>30</v>
      </c>
      <c r="BI118" s="103" t="n">
        <v>50</v>
      </c>
      <c r="BJ118" s="103" t="n">
        <v>65</v>
      </c>
      <c r="BK118" s="103" t="n">
        <v>100</v>
      </c>
      <c r="BL118" s="103"/>
      <c r="BM118" s="103"/>
      <c r="BN118" s="103"/>
      <c r="BO118" s="103"/>
      <c r="BP118" s="103"/>
      <c r="BQ118" s="103"/>
      <c r="BR118" s="103"/>
      <c r="BS118" s="104" t="n">
        <v>-1</v>
      </c>
      <c r="BT118" s="104" t="n">
        <v>3</v>
      </c>
      <c r="BU118" s="104" t="n">
        <v>7</v>
      </c>
      <c r="BV118" s="104" t="n">
        <v>10</v>
      </c>
      <c r="BW118" s="104" t="n">
        <v>15</v>
      </c>
      <c r="BX118" s="104" t="n">
        <v>30</v>
      </c>
      <c r="BY118" s="104" t="n">
        <v>50</v>
      </c>
      <c r="BZ118" s="104" t="n">
        <v>65</v>
      </c>
      <c r="CA118" s="104" t="n">
        <v>100</v>
      </c>
      <c r="CB118" s="104"/>
      <c r="CC118" s="104"/>
      <c r="CD118" s="104"/>
      <c r="CE118" s="104"/>
      <c r="CF118" s="104"/>
      <c r="CG118" s="104"/>
      <c r="CH118" s="104"/>
      <c r="CJ118" s="95"/>
      <c r="CK118" s="95"/>
      <c r="CL118" s="95"/>
      <c r="CM118" s="95"/>
      <c r="CN118" s="95"/>
      <c r="CO118" s="95"/>
      <c r="CP118" s="95"/>
      <c r="CQ118" s="95"/>
      <c r="CR118" s="95"/>
      <c r="CS118" s="95"/>
      <c r="CT118" s="95"/>
      <c r="CU118" s="95"/>
      <c r="CV118" s="95"/>
      <c r="CW118" s="95"/>
      <c r="CX118" s="95"/>
      <c r="CY118" s="95"/>
      <c r="CZ118" s="95"/>
      <c r="DA118" s="95"/>
      <c r="DB118" s="95"/>
      <c r="DC118" s="95"/>
      <c r="DD118" s="95"/>
      <c r="DE118" s="95"/>
      <c r="DF118" s="95"/>
      <c r="DG118" s="95"/>
      <c r="DL118" s="108"/>
      <c r="DM118" s="108"/>
      <c r="DN118" s="109" t="str">
        <f aca="false">"D6.scenario.defInput["""&amp;B118&amp;"""] = {  "&amp;E$2&amp;":"""&amp;E118&amp;""",  "&amp;C$2&amp;":"""&amp;CLEAN(SUBSTITUTE(C118,"""",""""))&amp;""",  "&amp;F$2&amp;":"""&amp;F118&amp;""",  "&amp;H$2&amp;":"""&amp;CLEAN(SUBSTITUTE(H118,"""",""""))&amp;""", "&amp;J$2&amp;":"""&amp;J118&amp;""", "&amp;L$2&amp;":"""&amp;L118&amp;""", "&amp;M$2&amp;":"""&amp;M118&amp;""", "&amp;N$2&amp;":"""&amp;N118&amp;""", "&amp;O$2&amp;":"""&amp;O118&amp;""", "&amp;P$2&amp;":"""&amp;P118&amp;""", "&amp;Q$2&amp;":"""&amp;Q118&amp;""", "&amp;R$2&amp;":"""&amp;R118&amp;""", d11t:"""&amp;CJ118&amp;""",d11p:"""&amp;CK118&amp;""",d12t:"""&amp;CL118&amp;""",d12p:"""&amp;CM118&amp;""",d13t:"""&amp;CN118&amp;""",d13p:"""&amp;CO118&amp;""",d1w:"""&amp;CP118&amp;""",d1d:"""&amp;CQ118&amp;""", d21t:"""&amp;CR118&amp;""",d21p:"""&amp;CS118&amp;""",d22t:"""&amp;CT118&amp;""",d22p:"""&amp;CU118&amp;""",d23t:"""&amp;CV118&amp;""",d23p:"""&amp;CW118&amp;""",d2w:"""&amp;CX118&amp;""",d2d:"""&amp;CY118&amp;""", d31t:"""&amp;CZ118&amp;""",d31p:"""&amp;DA118&amp;""",d32t:"""&amp;DB118&amp;""",d32p:"""&amp;DC118&amp;""",d33t:"""&amp;DD118&amp;""",d33p:"""&amp;DE118&amp;""",d3w:"""&amp;DF118&amp;""",d3d:"""&amp;DG118&amp;"""}; "</f>
        <v>D6.scenario.defInput["i288"] = {  cons:"consHTcold",  title:"ロードヒーティング面積",  unit:"",  text:"ロードヒーティング面積はどのくらいですか", inputType:"sel288", right:"", postfix:"", nodata:"", varType:"Number", min:"", max:"", defaultValue:"-1", d11t:"",d11p:"",d12t:"",d12p:"",d13t:"",d13p:"",d1w:"",d1d:"", d21t:"",d21p:"",d22t:"",d22p:"",d23t:"",d23p:"",d2w:"",d2d:"", d31t:"",d31p:"",d32t:"",d32p:"",d33t:"",d33p:"",d3w:"",d3d:""}; </v>
      </c>
      <c r="DO118" s="110"/>
      <c r="DP118" s="110"/>
      <c r="DQ118" s="111" t="str">
        <f aca="false">"D6.scenario.defSelectValue["""&amp;U118&amp;"""]= [ """&amp;CLEAN(V118)&amp;""", """&amp;CLEAN(W118)&amp;IF(X118="","",""", """&amp;CLEAN(X118))&amp;IF(Y118="","",""", """&amp;CLEAN(Y118))&amp;IF(Z118="","",""", """&amp;CLEAN(Z118))&amp;IF(AA118="","",""", """&amp;CLEAN(AA118))&amp;IF(AB118="","",""", """&amp;CLEAN(AB118))&amp;IF(AC118="","",""", """&amp;CLEAN(AC118))&amp;IF(AD118="","",""", """&amp;CLEAN(AD118))&amp;IF(AE118="","",""", """&amp;CLEAN(AE118))&amp;IF(AF118="","",""", """&amp;CLEAN(AF118))&amp;IF(AG118="","",""", """&amp;CLEAN(AG118))&amp;IF(AH118="","",""", """&amp;CLEAN(AH118))&amp;IF(AI118="","",""", """&amp;CLEAN(AI118))&amp;IF(AJ118="","",""", """&amp;CLEAN(AJ118))&amp;IF(AK118="","",""", """&amp;CLEAN(AK118))&amp;""" ];"</f>
        <v>D6.scenario.defSelectValue["sel288"]= [ "選んで下さい", "1坪（3m2)", "2坪（7m2)", "3坪（10m2)", "5坪（15m2)", "10坪（30m2)", "15坪（50m2)", "20坪（65m2)", "30坪（100m2)" ];</v>
      </c>
      <c r="DR118" s="112"/>
      <c r="DS118" s="112"/>
      <c r="DT118" s="112" t="str">
        <f aca="false">"D6.scenario.defSelectData['"&amp;U118&amp;"']= [ '"&amp;BC118&amp;"', '"&amp;BD118&amp;"', '"&amp;BE118&amp;IF(BF118="","","', '"&amp;BF118)&amp;IF(BG118="","","', '"&amp;BG118)&amp;IF(BH118="","","', '"&amp;BH118)&amp;IF(BI118="","","', '"&amp;BI118)&amp;IF(BJ118="","","', '"&amp;BJ118)&amp;IF(BK118="","","', '"&amp;BK118)&amp;IF(BL118="","","', '"&amp;BL118)&amp;IF(BM118="","","', '"&amp;BM118)&amp;IF(BN118="","","', '"&amp;BN118)&amp;IF(BO118="","","', '"&amp;BO118)&amp;IF(BP118="","","', '"&amp;BP118)&amp;IF(BQ118="","","', '"&amp;BQ118)&amp;IF(BR118="","","', '"&amp;BR118)&amp;"' ];"</f>
        <v>D6.scenario.defSelectData['sel288']= [ '-1', '3', '7', '10', '15', '30', '50', '65', '100' ];</v>
      </c>
    </row>
    <row r="119" s="88" customFormat="true" ht="43.5" hidden="false" customHeight="true" outlineLevel="0" collapsed="false">
      <c r="A119" s="66"/>
      <c r="B119" s="105" t="s">
        <v>1650</v>
      </c>
      <c r="C119" s="103" t="s">
        <v>1651</v>
      </c>
      <c r="D119" s="104" t="s">
        <v>1651</v>
      </c>
      <c r="E119" s="95" t="s">
        <v>1611</v>
      </c>
      <c r="F119" s="103"/>
      <c r="G119" s="104"/>
      <c r="H119" s="103" t="s">
        <v>1652</v>
      </c>
      <c r="I119" s="104" t="s">
        <v>1651</v>
      </c>
      <c r="J119" s="103" t="str">
        <f aca="false">IF(K119="","",K119)</f>
        <v>sel289</v>
      </c>
      <c r="K119" s="104" t="str">
        <f aca="false">"sel"&amp;MID($B119,2,5)</f>
        <v>sel289</v>
      </c>
      <c r="L119" s="105"/>
      <c r="M119" s="105"/>
      <c r="N119" s="105"/>
      <c r="O119" s="95" t="s">
        <v>931</v>
      </c>
      <c r="P119" s="105"/>
      <c r="Q119" s="105"/>
      <c r="R119" s="95" t="n">
        <v>-1</v>
      </c>
      <c r="S119" s="66"/>
      <c r="T119" s="66"/>
      <c r="U119" s="106" t="str">
        <f aca="false">J119</f>
        <v>sel289</v>
      </c>
      <c r="V119" s="103" t="s">
        <v>979</v>
      </c>
      <c r="W119" s="103" t="s">
        <v>1653</v>
      </c>
      <c r="X119" s="116" t="s">
        <v>1654</v>
      </c>
      <c r="Y119" s="103" t="s">
        <v>1655</v>
      </c>
      <c r="Z119" s="103" t="s">
        <v>1656</v>
      </c>
      <c r="AA119" s="103" t="s">
        <v>1657</v>
      </c>
      <c r="AB119" s="103" t="s">
        <v>1658</v>
      </c>
      <c r="AC119" s="103"/>
      <c r="AD119" s="103"/>
      <c r="AE119" s="103"/>
      <c r="AF119" s="103"/>
      <c r="AG119" s="103"/>
      <c r="AH119" s="103"/>
      <c r="AI119" s="103"/>
      <c r="AJ119" s="103"/>
      <c r="AK119" s="103"/>
      <c r="AL119" s="104" t="s">
        <v>979</v>
      </c>
      <c r="AM119" s="104" t="s">
        <v>1653</v>
      </c>
      <c r="AN119" s="118" t="s">
        <v>1654</v>
      </c>
      <c r="AO119" s="104" t="s">
        <v>1659</v>
      </c>
      <c r="AP119" s="104" t="s">
        <v>1660</v>
      </c>
      <c r="AQ119" s="104" t="s">
        <v>1657</v>
      </c>
      <c r="AR119" s="104" t="s">
        <v>1658</v>
      </c>
      <c r="AS119" s="104"/>
      <c r="AT119" s="104"/>
      <c r="AU119" s="104"/>
      <c r="AV119" s="104"/>
      <c r="AW119" s="104"/>
      <c r="AX119" s="104"/>
      <c r="AY119" s="104"/>
      <c r="AZ119" s="104"/>
      <c r="BA119" s="104"/>
      <c r="BB119" s="66"/>
      <c r="BC119" s="103" t="n">
        <v>-1</v>
      </c>
      <c r="BD119" s="103" t="n">
        <v>2</v>
      </c>
      <c r="BE119" s="103" t="n">
        <v>6</v>
      </c>
      <c r="BF119" s="103" t="n">
        <v>12</v>
      </c>
      <c r="BG119" s="103" t="n">
        <v>30</v>
      </c>
      <c r="BH119" s="103" t="n">
        <v>50</v>
      </c>
      <c r="BI119" s="103" t="n">
        <v>100</v>
      </c>
      <c r="BJ119" s="103"/>
      <c r="BK119" s="103"/>
      <c r="BL119" s="103"/>
      <c r="BM119" s="103"/>
      <c r="BN119" s="103"/>
      <c r="BO119" s="103"/>
      <c r="BP119" s="103"/>
      <c r="BQ119" s="103"/>
      <c r="BR119" s="103"/>
      <c r="BS119" s="104" t="n">
        <v>-1</v>
      </c>
      <c r="BT119" s="104" t="n">
        <v>2</v>
      </c>
      <c r="BU119" s="104" t="n">
        <v>6</v>
      </c>
      <c r="BV119" s="104" t="n">
        <v>12</v>
      </c>
      <c r="BW119" s="104" t="n">
        <v>30</v>
      </c>
      <c r="BX119" s="104" t="n">
        <v>50</v>
      </c>
      <c r="BY119" s="104" t="n">
        <v>100</v>
      </c>
      <c r="BZ119" s="104"/>
      <c r="CA119" s="104"/>
      <c r="CB119" s="104"/>
      <c r="CC119" s="104"/>
      <c r="CD119" s="104"/>
      <c r="CE119" s="104"/>
      <c r="CF119" s="104"/>
      <c r="CG119" s="104"/>
      <c r="CH119" s="104"/>
      <c r="CJ119" s="95"/>
      <c r="CK119" s="95"/>
      <c r="CL119" s="95"/>
      <c r="CM119" s="95"/>
      <c r="CN119" s="95"/>
      <c r="CO119" s="95"/>
      <c r="CP119" s="95"/>
      <c r="CQ119" s="95"/>
      <c r="CR119" s="95"/>
      <c r="CS119" s="95"/>
      <c r="CT119" s="95"/>
      <c r="CU119" s="95"/>
      <c r="CV119" s="95"/>
      <c r="CW119" s="95"/>
      <c r="CX119" s="95"/>
      <c r="CY119" s="95"/>
      <c r="CZ119" s="95"/>
      <c r="DA119" s="95"/>
      <c r="DB119" s="95"/>
      <c r="DC119" s="95"/>
      <c r="DD119" s="95"/>
      <c r="DE119" s="95"/>
      <c r="DF119" s="95"/>
      <c r="DG119" s="95"/>
      <c r="DL119" s="108"/>
      <c r="DM119" s="108"/>
      <c r="DN119" s="109" t="str">
        <f aca="false">"D6.scenario.defInput["""&amp;B119&amp;"""] = {  "&amp;E$2&amp;":"""&amp;E119&amp;""",  "&amp;C$2&amp;":"""&amp;CLEAN(SUBSTITUTE(C119,"""",""""))&amp;""",  "&amp;F$2&amp;":"""&amp;F119&amp;""",  "&amp;H$2&amp;":"""&amp;CLEAN(SUBSTITUTE(H119,"""",""""))&amp;""", "&amp;J$2&amp;":"""&amp;J119&amp;""", "&amp;L$2&amp;":"""&amp;L119&amp;""", "&amp;M$2&amp;":"""&amp;M119&amp;""", "&amp;N$2&amp;":"""&amp;N119&amp;""", "&amp;O$2&amp;":"""&amp;O119&amp;""", "&amp;P$2&amp;":"""&amp;P119&amp;""", "&amp;Q$2&amp;":"""&amp;Q119&amp;""", "&amp;R$2&amp;":"""&amp;R119&amp;""", d11t:"""&amp;CJ119&amp;""",d11p:"""&amp;CK119&amp;""",d12t:"""&amp;CL119&amp;""",d12p:"""&amp;CM119&amp;""",d13t:"""&amp;CN119&amp;""",d13p:"""&amp;CO119&amp;""",d1w:"""&amp;CP119&amp;""",d1d:"""&amp;CQ119&amp;""", d21t:"""&amp;CR119&amp;""",d21p:"""&amp;CS119&amp;""",d22t:"""&amp;CT119&amp;""",d22p:"""&amp;CU119&amp;""",d23t:"""&amp;CV119&amp;""",d23p:"""&amp;CW119&amp;""",d2w:"""&amp;CX119&amp;""",d2d:"""&amp;CY119&amp;""", d31t:"""&amp;CZ119&amp;""",d31p:"""&amp;DA119&amp;""",d32t:"""&amp;DB119&amp;""",d32p:"""&amp;DC119&amp;""",d33t:"""&amp;DD119&amp;""",d33p:"""&amp;DE119&amp;""",d3w:"""&amp;DF119&amp;""",d3d:"""&amp;DG119&amp;"""}; "</f>
        <v>D6.scenario.defInput["i289"] = {  cons:"consHTcold",  title:"ロードヒーティング利用頻度",  unit:"",  text:"ロードヒーティング利用頻度はどのくらいですか", inputType:"sel289", right:"", postfix:"", nodata:"", varType:"Number", min:"", max:"", defaultValue:"-1", d11t:"",d11p:"",d12t:"",d12p:"",d13t:"",d13p:"",d1w:"",d1d:"", d21t:"",d21p:"",d22t:"",d22p:"",d23t:"",d23p:"",d2w:"",d2d:"", d31t:"",d31p:"",d32t:"",d32p:"",d33t:"",d33p:"",d3w:"",d3d:""}; </v>
      </c>
      <c r="DO119" s="110"/>
      <c r="DP119" s="110"/>
      <c r="DQ119" s="111" t="str">
        <f aca="false">"D6.scenario.defSelectValue["""&amp;U119&amp;"""]= [ """&amp;CLEAN(V119)&amp;""", """&amp;CLEAN(W119)&amp;IF(X119="","",""", """&amp;CLEAN(X119))&amp;IF(Y119="","",""", """&amp;CLEAN(Y119))&amp;IF(Z119="","",""", """&amp;CLEAN(Z119))&amp;IF(AA119="","",""", """&amp;CLEAN(AA119))&amp;IF(AB119="","",""", """&amp;CLEAN(AB119))&amp;IF(AC119="","",""", """&amp;CLEAN(AC119))&amp;IF(AD119="","",""", """&amp;CLEAN(AD119))&amp;IF(AE119="","",""", """&amp;CLEAN(AE119))&amp;IF(AF119="","",""", """&amp;CLEAN(AF119))&amp;IF(AG119="","",""", """&amp;CLEAN(AG119))&amp;IF(AH119="","",""", """&amp;CLEAN(AH119))&amp;IF(AI119="","",""", """&amp;CLEAN(AI119))&amp;IF(AJ119="","",""", """&amp;CLEAN(AJ119))&amp;IF(AK119="","",""", """&amp;CLEAN(AK119))&amp;""" ];"</f>
        <v>D6.scenario.defSelectValue["sel289"]= [ "選んで下さい", "年2-3日", "月に1日くらい", "月に2-3日", "週に2-3日", "センサーで常時ON", "センサーなしで常時ON" ];</v>
      </c>
      <c r="DR119" s="112"/>
      <c r="DS119" s="112"/>
      <c r="DT119" s="112" t="str">
        <f aca="false">"D6.scenario.defSelectData['"&amp;U119&amp;"']= [ '"&amp;BC119&amp;"', '"&amp;BD119&amp;"', '"&amp;BE119&amp;IF(BF119="","","', '"&amp;BF119)&amp;IF(BG119="","","', '"&amp;BG119)&amp;IF(BH119="","","', '"&amp;BH119)&amp;IF(BI119="","","', '"&amp;BI119)&amp;IF(BJ119="","","', '"&amp;BJ119)&amp;IF(BK119="","","', '"&amp;BK119)&amp;IF(BL119="","","', '"&amp;BL119)&amp;IF(BM119="","","', '"&amp;BM119)&amp;IF(BN119="","","', '"&amp;BN119)&amp;IF(BO119="","","', '"&amp;BO119)&amp;IF(BP119="","","', '"&amp;BP119)&amp;IF(BQ119="","","', '"&amp;BQ119)&amp;IF(BR119="","","', '"&amp;BR119)&amp;"' ];"</f>
        <v>D6.scenario.defSelectData['sel289']= [ '-1', '2', '6', '12', '30', '50', '100' ];</v>
      </c>
    </row>
    <row r="120" s="88" customFormat="true" ht="43.5" hidden="false" customHeight="true" outlineLevel="0" collapsed="false">
      <c r="A120" s="66"/>
      <c r="B120" s="105" t="s">
        <v>1661</v>
      </c>
      <c r="C120" s="103" t="s">
        <v>1662</v>
      </c>
      <c r="D120" s="104" t="s">
        <v>1662</v>
      </c>
      <c r="E120" s="95" t="s">
        <v>1611</v>
      </c>
      <c r="F120" s="103"/>
      <c r="G120" s="104"/>
      <c r="H120" s="103" t="s">
        <v>1663</v>
      </c>
      <c r="I120" s="104" t="s">
        <v>1663</v>
      </c>
      <c r="J120" s="103" t="str">
        <f aca="false">IF(K120="","",K120)</f>
        <v>sel290</v>
      </c>
      <c r="K120" s="104" t="str">
        <f aca="false">"sel"&amp;MID($B120,2,5)</f>
        <v>sel290</v>
      </c>
      <c r="L120" s="105"/>
      <c r="M120" s="105"/>
      <c r="N120" s="105"/>
      <c r="O120" s="95" t="s">
        <v>931</v>
      </c>
      <c r="P120" s="105"/>
      <c r="Q120" s="105"/>
      <c r="R120" s="95" t="n">
        <v>-1</v>
      </c>
      <c r="S120" s="66"/>
      <c r="T120" s="66"/>
      <c r="U120" s="106" t="str">
        <f aca="false">J120</f>
        <v>sel290</v>
      </c>
      <c r="V120" s="103" t="s">
        <v>979</v>
      </c>
      <c r="W120" s="103" t="s">
        <v>1140</v>
      </c>
      <c r="X120" s="103" t="s">
        <v>1141</v>
      </c>
      <c r="Y120" s="116"/>
      <c r="Z120" s="103"/>
      <c r="AA120" s="103"/>
      <c r="AB120" s="103"/>
      <c r="AC120" s="103"/>
      <c r="AD120" s="103"/>
      <c r="AE120" s="103"/>
      <c r="AF120" s="103"/>
      <c r="AG120" s="103"/>
      <c r="AH120" s="103"/>
      <c r="AI120" s="103"/>
      <c r="AJ120" s="103"/>
      <c r="AK120" s="103"/>
      <c r="AL120" s="104" t="s">
        <v>979</v>
      </c>
      <c r="AM120" s="104" t="s">
        <v>1140</v>
      </c>
      <c r="AN120" s="107" t="s">
        <v>1141</v>
      </c>
      <c r="AO120" s="118"/>
      <c r="AP120" s="104"/>
      <c r="AQ120" s="104"/>
      <c r="AR120" s="104"/>
      <c r="AS120" s="104"/>
      <c r="AT120" s="104"/>
      <c r="AU120" s="104"/>
      <c r="AV120" s="104"/>
      <c r="AW120" s="104"/>
      <c r="AX120" s="104"/>
      <c r="AY120" s="104"/>
      <c r="AZ120" s="104"/>
      <c r="BA120" s="104"/>
      <c r="BB120" s="66"/>
      <c r="BC120" s="103" t="n">
        <v>-1</v>
      </c>
      <c r="BD120" s="103" t="n">
        <v>1</v>
      </c>
      <c r="BE120" s="103" t="n">
        <v>2</v>
      </c>
      <c r="BF120" s="103"/>
      <c r="BG120" s="103"/>
      <c r="BH120" s="103"/>
      <c r="BI120" s="103"/>
      <c r="BJ120" s="103"/>
      <c r="BK120" s="103"/>
      <c r="BL120" s="103"/>
      <c r="BM120" s="103"/>
      <c r="BN120" s="103"/>
      <c r="BO120" s="103"/>
      <c r="BP120" s="103"/>
      <c r="BQ120" s="103"/>
      <c r="BR120" s="103"/>
      <c r="BS120" s="104" t="n">
        <v>-1</v>
      </c>
      <c r="BT120" s="104" t="n">
        <v>1</v>
      </c>
      <c r="BU120" s="104" t="n">
        <v>2</v>
      </c>
      <c r="BV120" s="104"/>
      <c r="BW120" s="104"/>
      <c r="BX120" s="104"/>
      <c r="BY120" s="104"/>
      <c r="BZ120" s="104"/>
      <c r="CA120" s="104"/>
      <c r="CB120" s="104"/>
      <c r="CC120" s="104"/>
      <c r="CD120" s="104"/>
      <c r="CE120" s="104"/>
      <c r="CF120" s="104"/>
      <c r="CG120" s="104"/>
      <c r="CH120" s="104"/>
      <c r="CJ120" s="95"/>
      <c r="CK120" s="95"/>
      <c r="CL120" s="95"/>
      <c r="CM120" s="95"/>
      <c r="CN120" s="95"/>
      <c r="CO120" s="95"/>
      <c r="CP120" s="95"/>
      <c r="CQ120" s="95"/>
      <c r="CR120" s="95"/>
      <c r="CS120" s="95"/>
      <c r="CT120" s="95"/>
      <c r="CU120" s="95"/>
      <c r="CV120" s="95"/>
      <c r="CW120" s="95"/>
      <c r="CX120" s="95"/>
      <c r="CY120" s="95"/>
      <c r="CZ120" s="95"/>
      <c r="DA120" s="95"/>
      <c r="DB120" s="95"/>
      <c r="DC120" s="95"/>
      <c r="DD120" s="95"/>
      <c r="DE120" s="95"/>
      <c r="DF120" s="95"/>
      <c r="DG120" s="95"/>
      <c r="DL120" s="108"/>
      <c r="DM120" s="108"/>
      <c r="DN120" s="109" t="str">
        <f aca="false">"D6.scenario.defInput["""&amp;B120&amp;"""] = {  "&amp;E$2&amp;":"""&amp;E120&amp;""",  "&amp;C$2&amp;":"""&amp;CLEAN(SUBSTITUTE(C120,"""",""""))&amp;""",  "&amp;F$2&amp;":"""&amp;F120&amp;""",  "&amp;H$2&amp;":"""&amp;CLEAN(SUBSTITUTE(H120,"""",""""))&amp;""", "&amp;J$2&amp;":"""&amp;J120&amp;""", "&amp;L$2&amp;":"""&amp;L120&amp;""", "&amp;M$2&amp;":"""&amp;M120&amp;""", "&amp;N$2&amp;":"""&amp;N120&amp;""", "&amp;O$2&amp;":"""&amp;O120&amp;""", "&amp;P$2&amp;":"""&amp;P120&amp;""", "&amp;Q$2&amp;":"""&amp;Q120&amp;""", "&amp;R$2&amp;":"""&amp;R120&amp;""", d11t:"""&amp;CJ120&amp;""",d11p:"""&amp;CK120&amp;""",d12t:"""&amp;CL120&amp;""",d12p:"""&amp;CM120&amp;""",d13t:"""&amp;CN120&amp;""",d13p:"""&amp;CO120&amp;""",d1w:"""&amp;CP120&amp;""",d1d:"""&amp;CQ120&amp;""", d21t:"""&amp;CR120&amp;""",d21p:"""&amp;CS120&amp;""",d22t:"""&amp;CT120&amp;""",d22p:"""&amp;CU120&amp;""",d23t:"""&amp;CV120&amp;""",d23p:"""&amp;CW120&amp;""",d2w:"""&amp;CX120&amp;""",d2d:"""&amp;CY120&amp;""", d31t:"""&amp;CZ120&amp;""",d31p:"""&amp;DA120&amp;""",d32t:"""&amp;DB120&amp;""",d32p:"""&amp;DC120&amp;""",d33t:"""&amp;DD120&amp;""",d33p:"""&amp;DE120&amp;""",d3w:"""&amp;DF120&amp;""",d3d:"""&amp;DG120&amp;"""}; "</f>
        <v>D6.scenario.defInput["i290"] = {  cons:"consHTcold",  title:"ルーフヒーティングの利用",  unit:"",  text:"ルーフヒーティングを使っていますか", inputType:"sel290", right:"", postfix:"", nodata:"", varType:"Number", min:"", max:"", defaultValue:"-1", d11t:"",d11p:"",d12t:"",d12p:"",d13t:"",d13p:"",d1w:"",d1d:"", d21t:"",d21p:"",d22t:"",d22p:"",d23t:"",d23p:"",d2w:"",d2d:"", d31t:"",d31p:"",d32t:"",d32p:"",d33t:"",d33p:"",d3w:"",d3d:""}; </v>
      </c>
      <c r="DO120" s="110"/>
      <c r="DP120" s="110"/>
      <c r="DQ120" s="111" t="str">
        <f aca="false">"D6.scenario.defSelectValue["""&amp;U120&amp;"""]= [ """&amp;CLEAN(V120)&amp;""", """&amp;CLEAN(W120)&amp;IF(X120="","",""", """&amp;CLEAN(X120))&amp;IF(Y120="","",""", """&amp;CLEAN(Y120))&amp;IF(Z120="","",""", """&amp;CLEAN(Z120))&amp;IF(AA120="","",""", """&amp;CLEAN(AA120))&amp;IF(AB120="","",""", """&amp;CLEAN(AB120))&amp;IF(AC120="","",""", """&amp;CLEAN(AC120))&amp;IF(AD120="","",""", """&amp;CLEAN(AD120))&amp;IF(AE120="","",""", """&amp;CLEAN(AE120))&amp;IF(AF120="","",""", """&amp;CLEAN(AF120))&amp;IF(AG120="","",""", """&amp;CLEAN(AG120))&amp;IF(AH120="","",""", """&amp;CLEAN(AH120))&amp;IF(AI120="","",""", """&amp;CLEAN(AI120))&amp;IF(AJ120="","",""", """&amp;CLEAN(AJ120))&amp;IF(AK120="","",""", """&amp;CLEAN(AK120))&amp;""" ];"</f>
        <v>D6.scenario.defSelectValue["sel290"]= [ "選んで下さい", "はい", "いいえ" ];</v>
      </c>
      <c r="DR120" s="112"/>
      <c r="DS120" s="112"/>
      <c r="DT120" s="112" t="str">
        <f aca="false">"D6.scenario.defSelectData['"&amp;U120&amp;"']= [ '"&amp;BC120&amp;"', '"&amp;BD120&amp;"', '"&amp;BE120&amp;IF(BF120="","","', '"&amp;BF120)&amp;IF(BG120="","","', '"&amp;BG120)&amp;IF(BH120="","","', '"&amp;BH120)&amp;IF(BI120="","","', '"&amp;BI120)&amp;IF(BJ120="","","', '"&amp;BJ120)&amp;IF(BK120="","","', '"&amp;BK120)&amp;IF(BL120="","","', '"&amp;BL120)&amp;IF(BM120="","","', '"&amp;BM120)&amp;IF(BN120="","","', '"&amp;BN120)&amp;IF(BO120="","","', '"&amp;BO120)&amp;IF(BP120="","","', '"&amp;BP120)&amp;IF(BQ120="","","', '"&amp;BQ120)&amp;IF(BR120="","","', '"&amp;BR120)&amp;"' ];"</f>
        <v>D6.scenario.defSelectData['sel290']= [ '-1', '1', '2' ];</v>
      </c>
    </row>
    <row r="121" s="88" customFormat="true" ht="43.5" hidden="false" customHeight="true" outlineLevel="0" collapsed="false">
      <c r="A121" s="66"/>
      <c r="B121" s="105" t="s">
        <v>1664</v>
      </c>
      <c r="C121" s="103" t="s">
        <v>1665</v>
      </c>
      <c r="D121" s="104" t="s">
        <v>1665</v>
      </c>
      <c r="E121" s="95" t="s">
        <v>1611</v>
      </c>
      <c r="F121" s="103"/>
      <c r="G121" s="104"/>
      <c r="H121" s="103" t="s">
        <v>1666</v>
      </c>
      <c r="I121" s="104" t="s">
        <v>1665</v>
      </c>
      <c r="J121" s="103" t="str">
        <f aca="false">IF(K121="","",K121)</f>
        <v>sel291</v>
      </c>
      <c r="K121" s="104" t="str">
        <f aca="false">"sel"&amp;MID($B121,2,5)</f>
        <v>sel291</v>
      </c>
      <c r="L121" s="105"/>
      <c r="M121" s="105"/>
      <c r="N121" s="105"/>
      <c r="O121" s="95" t="s">
        <v>931</v>
      </c>
      <c r="P121" s="105"/>
      <c r="Q121" s="105"/>
      <c r="R121" s="95" t="n">
        <v>-1</v>
      </c>
      <c r="S121" s="66"/>
      <c r="T121" s="66"/>
      <c r="U121" s="106" t="str">
        <f aca="false">J121</f>
        <v>sel291</v>
      </c>
      <c r="V121" s="103" t="s">
        <v>979</v>
      </c>
      <c r="W121" s="103" t="s">
        <v>1667</v>
      </c>
      <c r="X121" s="103" t="s">
        <v>1668</v>
      </c>
      <c r="Y121" s="116"/>
      <c r="Z121" s="103"/>
      <c r="AA121" s="103"/>
      <c r="AB121" s="103"/>
      <c r="AC121" s="103"/>
      <c r="AD121" s="103"/>
      <c r="AE121" s="103"/>
      <c r="AF121" s="103"/>
      <c r="AG121" s="103"/>
      <c r="AH121" s="103"/>
      <c r="AI121" s="103"/>
      <c r="AJ121" s="103"/>
      <c r="AK121" s="103"/>
      <c r="AL121" s="104" t="s">
        <v>979</v>
      </c>
      <c r="AM121" s="104" t="s">
        <v>1667</v>
      </c>
      <c r="AN121" s="104" t="s">
        <v>1668</v>
      </c>
      <c r="AO121" s="118"/>
      <c r="AP121" s="104"/>
      <c r="AQ121" s="104"/>
      <c r="AR121" s="104"/>
      <c r="AS121" s="104"/>
      <c r="AT121" s="104"/>
      <c r="AU121" s="104"/>
      <c r="AV121" s="104"/>
      <c r="AW121" s="104"/>
      <c r="AX121" s="104"/>
      <c r="AY121" s="104"/>
      <c r="AZ121" s="104"/>
      <c r="BA121" s="104"/>
      <c r="BB121" s="66"/>
      <c r="BC121" s="103" t="n">
        <v>-1</v>
      </c>
      <c r="BD121" s="103" t="n">
        <v>10</v>
      </c>
      <c r="BE121" s="103" t="n">
        <v>30</v>
      </c>
      <c r="BF121" s="103"/>
      <c r="BG121" s="103"/>
      <c r="BH121" s="103"/>
      <c r="BI121" s="103"/>
      <c r="BJ121" s="103"/>
      <c r="BK121" s="103"/>
      <c r="BL121" s="103"/>
      <c r="BM121" s="103"/>
      <c r="BN121" s="103"/>
      <c r="BO121" s="103"/>
      <c r="BP121" s="103"/>
      <c r="BQ121" s="103"/>
      <c r="BR121" s="103"/>
      <c r="BS121" s="104" t="n">
        <v>-1</v>
      </c>
      <c r="BT121" s="104" t="n">
        <v>10</v>
      </c>
      <c r="BU121" s="104" t="n">
        <v>30</v>
      </c>
      <c r="BV121" s="104"/>
      <c r="BW121" s="104"/>
      <c r="BX121" s="104"/>
      <c r="BY121" s="104"/>
      <c r="BZ121" s="104"/>
      <c r="CA121" s="104"/>
      <c r="CB121" s="104"/>
      <c r="CC121" s="104"/>
      <c r="CD121" s="104"/>
      <c r="CE121" s="104"/>
      <c r="CF121" s="104"/>
      <c r="CG121" s="104"/>
      <c r="CH121" s="104"/>
      <c r="CJ121" s="95"/>
      <c r="CK121" s="95"/>
      <c r="CL121" s="95"/>
      <c r="CM121" s="95"/>
      <c r="CN121" s="95"/>
      <c r="CO121" s="95"/>
      <c r="CP121" s="95"/>
      <c r="CQ121" s="95"/>
      <c r="CR121" s="95"/>
      <c r="CS121" s="95"/>
      <c r="CT121" s="95"/>
      <c r="CU121" s="95"/>
      <c r="CV121" s="95"/>
      <c r="CW121" s="95"/>
      <c r="CX121" s="95"/>
      <c r="CY121" s="95"/>
      <c r="CZ121" s="95"/>
      <c r="DA121" s="95"/>
      <c r="DB121" s="95"/>
      <c r="DC121" s="95"/>
      <c r="DD121" s="95"/>
      <c r="DE121" s="95"/>
      <c r="DF121" s="95"/>
      <c r="DG121" s="95"/>
      <c r="DL121" s="108"/>
      <c r="DM121" s="108"/>
      <c r="DN121" s="109" t="str">
        <f aca="false">"D6.scenario.defInput["""&amp;B121&amp;"""] = {  "&amp;E$2&amp;":"""&amp;E121&amp;""",  "&amp;C$2&amp;":"""&amp;CLEAN(SUBSTITUTE(C121,"""",""""))&amp;""",  "&amp;F$2&amp;":"""&amp;F121&amp;""",  "&amp;H$2&amp;":"""&amp;CLEAN(SUBSTITUTE(H121,"""",""""))&amp;""", "&amp;J$2&amp;":"""&amp;J121&amp;""", "&amp;L$2&amp;":"""&amp;L121&amp;""", "&amp;M$2&amp;":"""&amp;M121&amp;""", "&amp;N$2&amp;":"""&amp;N121&amp;""", "&amp;O$2&amp;":"""&amp;O121&amp;""", "&amp;P$2&amp;":"""&amp;P121&amp;""", "&amp;Q$2&amp;":"""&amp;Q121&amp;""", "&amp;R$2&amp;":"""&amp;R121&amp;""", d11t:"""&amp;CJ121&amp;""",d11p:"""&amp;CK121&amp;""",d12t:"""&amp;CL121&amp;""",d12p:"""&amp;CM121&amp;""",d13t:"""&amp;CN121&amp;""",d13p:"""&amp;CO121&amp;""",d1w:"""&amp;CP121&amp;""",d1d:"""&amp;CQ121&amp;""", d21t:"""&amp;CR121&amp;""",d21p:"""&amp;CS121&amp;""",d22t:"""&amp;CT121&amp;""",d22p:"""&amp;CU121&amp;""",d23t:"""&amp;CV121&amp;""",d23p:"""&amp;CW121&amp;""",d2w:"""&amp;CX121&amp;""",d2d:"""&amp;CY121&amp;""", d31t:"""&amp;CZ121&amp;""",d31p:"""&amp;DA121&amp;""",d32t:"""&amp;DB121&amp;""",d32p:"""&amp;DC121&amp;""",d33t:"""&amp;DD121&amp;""",d33p:"""&amp;DE121&amp;""",d3w:"""&amp;DF121&amp;""",d3d:"""&amp;DG121&amp;"""}; "</f>
        <v>D6.scenario.defInput["i291"] = {  cons:"consHTcold",  title:"ルーフヒーティングの対象面積",  unit:"",  text:"ルーフヒーティングの対象面積はどのくらいですか", inputType:"sel291", right:"", postfix:"", nodata:"", varType:"Number", min:"", max:"", defaultValue:"-1", d11t:"",d11p:"",d12t:"",d12p:"",d13t:"",d13p:"",d1w:"",d1d:"", d21t:"",d21p:"",d22t:"",d22p:"",d23t:"",d23p:"",d2w:"",d2d:"", d31t:"",d31p:"",d32t:"",d32p:"",d33t:"",d33p:"",d3w:"",d3d:""}; </v>
      </c>
      <c r="DO121" s="110"/>
      <c r="DP121" s="110"/>
      <c r="DQ121" s="111" t="str">
        <f aca="false">"D6.scenario.defSelectValue["""&amp;U121&amp;"""]= [ """&amp;CLEAN(V121)&amp;""", """&amp;CLEAN(W121)&amp;IF(X121="","",""", """&amp;CLEAN(X121))&amp;IF(Y121="","",""", """&amp;CLEAN(Y121))&amp;IF(Z121="","",""", """&amp;CLEAN(Z121))&amp;IF(AA121="","",""", """&amp;CLEAN(AA121))&amp;IF(AB121="","",""", """&amp;CLEAN(AB121))&amp;IF(AC121="","",""", """&amp;CLEAN(AC121))&amp;IF(AD121="","",""", """&amp;CLEAN(AD121))&amp;IF(AE121="","",""", """&amp;CLEAN(AE121))&amp;IF(AF121="","",""", """&amp;CLEAN(AF121))&amp;IF(AG121="","",""", """&amp;CLEAN(AG121))&amp;IF(AH121="","",""", """&amp;CLEAN(AH121))&amp;IF(AI121="","",""", """&amp;CLEAN(AI121))&amp;IF(AJ121="","",""", """&amp;CLEAN(AJ121))&amp;IF(AK121="","",""", """&amp;CLEAN(AK121))&amp;""" ];"</f>
        <v>D6.scenario.defSelectValue["sel291"]= [ "選んで下さい", ":樋のまわりのみ", "屋根面全体" ];</v>
      </c>
      <c r="DR121" s="112"/>
      <c r="DS121" s="112"/>
      <c r="DT121" s="112" t="str">
        <f aca="false">"D6.scenario.defSelectData['"&amp;U121&amp;"']= [ '"&amp;BC121&amp;"', '"&amp;BD121&amp;"', '"&amp;BE121&amp;IF(BF121="","","', '"&amp;BF121)&amp;IF(BG121="","","', '"&amp;BG121)&amp;IF(BH121="","","', '"&amp;BH121)&amp;IF(BI121="","","', '"&amp;BI121)&amp;IF(BJ121="","","', '"&amp;BJ121)&amp;IF(BK121="","","', '"&amp;BK121)&amp;IF(BL121="","","', '"&amp;BL121)&amp;IF(BM121="","","', '"&amp;BM121)&amp;IF(BN121="","","', '"&amp;BN121)&amp;IF(BO121="","","', '"&amp;BO121)&amp;IF(BP121="","","', '"&amp;BP121)&amp;IF(BQ121="","","', '"&amp;BQ121)&amp;IF(BR121="","","', '"&amp;BR121)&amp;"' ];"</f>
        <v>D6.scenario.defSelectData['sel291']= [ '-1', '10', '30' ];</v>
      </c>
    </row>
    <row r="122" s="88" customFormat="true" ht="43.5" hidden="false" customHeight="true" outlineLevel="0" collapsed="false">
      <c r="A122" s="66"/>
      <c r="B122" s="105" t="s">
        <v>1669</v>
      </c>
      <c r="C122" s="103" t="s">
        <v>1670</v>
      </c>
      <c r="D122" s="104" t="s">
        <v>1670</v>
      </c>
      <c r="E122" s="95" t="s">
        <v>1611</v>
      </c>
      <c r="F122" s="103"/>
      <c r="G122" s="104"/>
      <c r="H122" s="103" t="s">
        <v>1671</v>
      </c>
      <c r="I122" s="104" t="s">
        <v>1670</v>
      </c>
      <c r="J122" s="103" t="str">
        <f aca="false">IF(K122="","",K122)</f>
        <v>sel292</v>
      </c>
      <c r="K122" s="104" t="str">
        <f aca="false">"sel"&amp;MID($B122,2,5)</f>
        <v>sel292</v>
      </c>
      <c r="L122" s="105"/>
      <c r="M122" s="105"/>
      <c r="N122" s="105"/>
      <c r="O122" s="95" t="s">
        <v>931</v>
      </c>
      <c r="P122" s="105"/>
      <c r="Q122" s="105"/>
      <c r="R122" s="95" t="n">
        <v>-1</v>
      </c>
      <c r="S122" s="66"/>
      <c r="T122" s="66"/>
      <c r="U122" s="106" t="str">
        <f aca="false">J122</f>
        <v>sel292</v>
      </c>
      <c r="V122" s="103" t="s">
        <v>979</v>
      </c>
      <c r="W122" s="103" t="s">
        <v>1391</v>
      </c>
      <c r="X122" s="103" t="s">
        <v>1617</v>
      </c>
      <c r="Y122" s="116" t="s">
        <v>1618</v>
      </c>
      <c r="Z122" s="103" t="s">
        <v>1390</v>
      </c>
      <c r="AA122" s="103" t="s">
        <v>1672</v>
      </c>
      <c r="AB122" s="103" t="s">
        <v>1673</v>
      </c>
      <c r="AC122" s="103" t="s">
        <v>1183</v>
      </c>
      <c r="AD122" s="103"/>
      <c r="AE122" s="103"/>
      <c r="AF122" s="103"/>
      <c r="AG122" s="103"/>
      <c r="AH122" s="103"/>
      <c r="AI122" s="103"/>
      <c r="AJ122" s="103"/>
      <c r="AK122" s="103"/>
      <c r="AL122" s="104" t="s">
        <v>979</v>
      </c>
      <c r="AM122" s="104" t="s">
        <v>1391</v>
      </c>
      <c r="AN122" s="104" t="s">
        <v>1617</v>
      </c>
      <c r="AO122" s="118" t="s">
        <v>1618</v>
      </c>
      <c r="AP122" s="104" t="s">
        <v>1390</v>
      </c>
      <c r="AQ122" s="104" t="s">
        <v>1672</v>
      </c>
      <c r="AR122" s="104" t="s">
        <v>1673</v>
      </c>
      <c r="AS122" s="104" t="s">
        <v>1183</v>
      </c>
      <c r="AT122" s="104"/>
      <c r="AU122" s="104"/>
      <c r="AV122" s="104"/>
      <c r="AW122" s="104"/>
      <c r="AX122" s="104"/>
      <c r="AY122" s="104"/>
      <c r="AZ122" s="104"/>
      <c r="BA122" s="104"/>
      <c r="BB122" s="66"/>
      <c r="BC122" s="103" t="n">
        <v>-1</v>
      </c>
      <c r="BD122" s="103" t="n">
        <v>1</v>
      </c>
      <c r="BE122" s="103" t="n">
        <v>2</v>
      </c>
      <c r="BF122" s="103" t="n">
        <v>3</v>
      </c>
      <c r="BG122" s="103" t="n">
        <v>4</v>
      </c>
      <c r="BH122" s="103" t="n">
        <v>5</v>
      </c>
      <c r="BI122" s="103" t="n">
        <v>6</v>
      </c>
      <c r="BJ122" s="103"/>
      <c r="BK122" s="103"/>
      <c r="BL122" s="103"/>
      <c r="BM122" s="103"/>
      <c r="BN122" s="103"/>
      <c r="BO122" s="103"/>
      <c r="BP122" s="103"/>
      <c r="BQ122" s="103"/>
      <c r="BR122" s="103"/>
      <c r="BS122" s="104" t="n">
        <v>-1</v>
      </c>
      <c r="BT122" s="104" t="n">
        <v>1</v>
      </c>
      <c r="BU122" s="104" t="n">
        <v>2</v>
      </c>
      <c r="BV122" s="104" t="n">
        <v>3</v>
      </c>
      <c r="BW122" s="104" t="n">
        <v>4</v>
      </c>
      <c r="BX122" s="104" t="n">
        <v>5</v>
      </c>
      <c r="BY122" s="104" t="n">
        <v>6</v>
      </c>
      <c r="BZ122" s="104"/>
      <c r="CA122" s="104"/>
      <c r="CB122" s="104"/>
      <c r="CC122" s="104"/>
      <c r="CD122" s="104"/>
      <c r="CE122" s="104"/>
      <c r="CF122" s="104"/>
      <c r="CG122" s="104"/>
      <c r="CH122" s="104"/>
      <c r="CJ122" s="95"/>
      <c r="CK122" s="95"/>
      <c r="CL122" s="95"/>
      <c r="CM122" s="95"/>
      <c r="CN122" s="95"/>
      <c r="CO122" s="95"/>
      <c r="CP122" s="95"/>
      <c r="CQ122" s="95"/>
      <c r="CR122" s="95"/>
      <c r="CS122" s="95"/>
      <c r="CT122" s="95"/>
      <c r="CU122" s="95"/>
      <c r="CV122" s="95"/>
      <c r="CW122" s="95"/>
      <c r="CX122" s="95"/>
      <c r="CY122" s="95"/>
      <c r="CZ122" s="95"/>
      <c r="DA122" s="95"/>
      <c r="DB122" s="95"/>
      <c r="DC122" s="95"/>
      <c r="DD122" s="95"/>
      <c r="DE122" s="95"/>
      <c r="DF122" s="95"/>
      <c r="DG122" s="95"/>
      <c r="DL122" s="108"/>
      <c r="DM122" s="108"/>
      <c r="DN122" s="109" t="str">
        <f aca="false">"D6.scenario.defInput["""&amp;B122&amp;"""] = {  "&amp;E$2&amp;":"""&amp;E122&amp;""",  "&amp;C$2&amp;":"""&amp;CLEAN(SUBSTITUTE(C122,"""",""""))&amp;""",  "&amp;F$2&amp;":"""&amp;F122&amp;""",  "&amp;H$2&amp;":"""&amp;CLEAN(SUBSTITUTE(H122,"""",""""))&amp;""", "&amp;J$2&amp;":"""&amp;J122&amp;""", "&amp;L$2&amp;":"""&amp;L122&amp;""", "&amp;M$2&amp;":"""&amp;M122&amp;""", "&amp;N$2&amp;":"""&amp;N122&amp;""", "&amp;O$2&amp;":"""&amp;O122&amp;""", "&amp;P$2&amp;":"""&amp;P122&amp;""", "&amp;Q$2&amp;":"""&amp;Q122&amp;""", "&amp;R$2&amp;":"""&amp;R122&amp;""", d11t:"""&amp;CJ122&amp;""",d11p:"""&amp;CK122&amp;""",d12t:"""&amp;CL122&amp;""",d12p:"""&amp;CM122&amp;""",d13t:"""&amp;CN122&amp;""",d13p:"""&amp;CO122&amp;""",d1w:"""&amp;CP122&amp;""",d1d:"""&amp;CQ122&amp;""", d21t:"""&amp;CR122&amp;""",d21p:"""&amp;CS122&amp;""",d22t:"""&amp;CT122&amp;""",d22p:"""&amp;CU122&amp;""",d23t:"""&amp;CV122&amp;""",d23p:"""&amp;CW122&amp;""",d2w:"""&amp;CX122&amp;""",d2d:"""&amp;CY122&amp;""", d31t:"""&amp;CZ122&amp;""",d31p:"""&amp;DA122&amp;""",d32t:"""&amp;DB122&amp;""",d32p:"""&amp;DC122&amp;""",d33t:"""&amp;DD122&amp;""",d33p:"""&amp;DE122&amp;""",d3w:"""&amp;DF122&amp;""",d3d:"""&amp;DG122&amp;"""}; "</f>
        <v>D6.scenario.defInput["i292"] = {  cons:"consHTcold",  title:"ルーフヒーティングの熱源",  unit:"",  text:"ルーフヒーティングの熱源は何ですか", inputType:"sel292", right:"", postfix:"", nodata:"", varType:"Number", min:"", max:"", defaultValue:"-1", d11t:"",d11p:"",d12t:"",d12p:"",d13t:"",d13p:"",d1w:"",d1d:"", d21t:"",d21p:"",d22t:"",d22p:"",d23t:"",d23p:"",d2w:"",d2d:"", d31t:"",d31p:"",d32t:"",d32p:"",d33t:"",d33p:"",d3w:"",d3d:""}; </v>
      </c>
      <c r="DO122" s="110"/>
      <c r="DP122" s="110"/>
      <c r="DQ122" s="111" t="str">
        <f aca="false">"D6.scenario.defSelectValue["""&amp;U122&amp;"""]= [ """&amp;CLEAN(V122)&amp;""", """&amp;CLEAN(W122)&amp;IF(X122="","",""", """&amp;CLEAN(X122))&amp;IF(Y122="","",""", """&amp;CLEAN(Y122))&amp;IF(Z122="","",""", """&amp;CLEAN(Z122))&amp;IF(AA122="","",""", """&amp;CLEAN(AA122))&amp;IF(AB122="","",""", """&amp;CLEAN(AB122))&amp;IF(AC122="","",""", """&amp;CLEAN(AC122))&amp;IF(AD122="","",""", """&amp;CLEAN(AD122))&amp;IF(AE122="","",""", """&amp;CLEAN(AE122))&amp;IF(AF122="","",""", """&amp;CLEAN(AF122))&amp;IF(AG122="","",""", """&amp;CLEAN(AG122))&amp;IF(AH122="","",""", """&amp;CLEAN(AH122))&amp;IF(AI122="","",""", """&amp;CLEAN(AI122))&amp;IF(AJ122="","",""", """&amp;CLEAN(AJ122))&amp;IF(AK122="","",""", """&amp;CLEAN(AK122))&amp;""" ];"</f>
        <v>D6.scenario.defSelectValue["sel292"]= [ "選んで下さい", "灯油", "電気", "電気（ヒートポンプ）", "ガス", "コジェネ（ガス）", "コジェネ（灯油）", "地域熱供給" ];</v>
      </c>
      <c r="DR122" s="112"/>
      <c r="DS122" s="112"/>
      <c r="DT122" s="112" t="str">
        <f aca="false">"D6.scenario.defSelectData['"&amp;U122&amp;"']= [ '"&amp;BC122&amp;"', '"&amp;BD122&amp;"', '"&amp;BE122&amp;IF(BF122="","","', '"&amp;BF122)&amp;IF(BG122="","","', '"&amp;BG122)&amp;IF(BH122="","","', '"&amp;BH122)&amp;IF(BI122="","","', '"&amp;BI122)&amp;IF(BJ122="","","', '"&amp;BJ122)&amp;IF(BK122="","","', '"&amp;BK122)&amp;IF(BL122="","","', '"&amp;BL122)&amp;IF(BM122="","","', '"&amp;BM122)&amp;IF(BN122="","","', '"&amp;BN122)&amp;IF(BO122="","","', '"&amp;BO122)&amp;IF(BP122="","","', '"&amp;BP122)&amp;IF(BQ122="","","', '"&amp;BQ122)&amp;IF(BR122="","","', '"&amp;BR122)&amp;"' ];"</f>
        <v>D6.scenario.defSelectData['sel292']= [ '-1', '1', '2', '3', '4', '5', '6' ];</v>
      </c>
    </row>
    <row r="123" s="88" customFormat="true" ht="43.5" hidden="false" customHeight="true" outlineLevel="0" collapsed="false">
      <c r="A123" s="66"/>
      <c r="B123" s="105" t="s">
        <v>1674</v>
      </c>
      <c r="C123" s="103" t="s">
        <v>1675</v>
      </c>
      <c r="D123" s="104" t="s">
        <v>1675</v>
      </c>
      <c r="E123" s="95" t="s">
        <v>1611</v>
      </c>
      <c r="F123" s="103"/>
      <c r="G123" s="104"/>
      <c r="H123" s="103" t="s">
        <v>1676</v>
      </c>
      <c r="I123" s="104" t="s">
        <v>1677</v>
      </c>
      <c r="J123" s="103" t="str">
        <f aca="false">IF(K123="","",K123)</f>
        <v>sel293</v>
      </c>
      <c r="K123" s="104" t="str">
        <f aca="false">"sel"&amp;MID($B123,2,5)</f>
        <v>sel293</v>
      </c>
      <c r="L123" s="105"/>
      <c r="M123" s="105"/>
      <c r="N123" s="105"/>
      <c r="O123" s="95" t="s">
        <v>931</v>
      </c>
      <c r="P123" s="105"/>
      <c r="Q123" s="105"/>
      <c r="R123" s="95" t="n">
        <v>-1</v>
      </c>
      <c r="S123" s="66"/>
      <c r="T123" s="66"/>
      <c r="U123" s="106" t="str">
        <f aca="false">J123</f>
        <v>sel293</v>
      </c>
      <c r="V123" s="103" t="s">
        <v>979</v>
      </c>
      <c r="W123" s="103" t="s">
        <v>1653</v>
      </c>
      <c r="X123" s="116" t="s">
        <v>1654</v>
      </c>
      <c r="Y123" s="103" t="s">
        <v>1655</v>
      </c>
      <c r="Z123" s="103" t="s">
        <v>1656</v>
      </c>
      <c r="AA123" s="103" t="s">
        <v>1657</v>
      </c>
      <c r="AB123" s="103" t="s">
        <v>1658</v>
      </c>
      <c r="AC123" s="103"/>
      <c r="AD123" s="103"/>
      <c r="AE123" s="103"/>
      <c r="AF123" s="103"/>
      <c r="AG123" s="103"/>
      <c r="AH123" s="103"/>
      <c r="AI123" s="103"/>
      <c r="AJ123" s="103"/>
      <c r="AK123" s="103"/>
      <c r="AL123" s="104" t="s">
        <v>979</v>
      </c>
      <c r="AM123" s="104" t="s">
        <v>1653</v>
      </c>
      <c r="AN123" s="118" t="s">
        <v>1654</v>
      </c>
      <c r="AO123" s="104" t="s">
        <v>1659</v>
      </c>
      <c r="AP123" s="104" t="s">
        <v>1660</v>
      </c>
      <c r="AQ123" s="104" t="s">
        <v>1657</v>
      </c>
      <c r="AR123" s="104" t="s">
        <v>1658</v>
      </c>
      <c r="AS123" s="104"/>
      <c r="AT123" s="104"/>
      <c r="AU123" s="104"/>
      <c r="AV123" s="104"/>
      <c r="AW123" s="104"/>
      <c r="AX123" s="104"/>
      <c r="AY123" s="104"/>
      <c r="AZ123" s="104"/>
      <c r="BA123" s="104"/>
      <c r="BB123" s="66"/>
      <c r="BC123" s="103" t="n">
        <v>-1</v>
      </c>
      <c r="BD123" s="103" t="n">
        <v>2</v>
      </c>
      <c r="BE123" s="103" t="n">
        <v>6</v>
      </c>
      <c r="BF123" s="103" t="n">
        <v>15</v>
      </c>
      <c r="BG123" s="103" t="n">
        <v>30</v>
      </c>
      <c r="BH123" s="103" t="n">
        <v>50</v>
      </c>
      <c r="BI123" s="103" t="n">
        <v>100</v>
      </c>
      <c r="BJ123" s="103"/>
      <c r="BK123" s="103"/>
      <c r="BL123" s="103"/>
      <c r="BM123" s="103"/>
      <c r="BN123" s="103"/>
      <c r="BO123" s="103"/>
      <c r="BP123" s="103"/>
      <c r="BQ123" s="103"/>
      <c r="BR123" s="103"/>
      <c r="BS123" s="104" t="n">
        <v>-1</v>
      </c>
      <c r="BT123" s="104" t="n">
        <v>2</v>
      </c>
      <c r="BU123" s="104" t="n">
        <v>6</v>
      </c>
      <c r="BV123" s="104" t="n">
        <v>15</v>
      </c>
      <c r="BW123" s="104" t="n">
        <v>30</v>
      </c>
      <c r="BX123" s="104" t="n">
        <v>50</v>
      </c>
      <c r="BY123" s="104" t="n">
        <v>100</v>
      </c>
      <c r="BZ123" s="104"/>
      <c r="CA123" s="104"/>
      <c r="CB123" s="104"/>
      <c r="CC123" s="104"/>
      <c r="CD123" s="104"/>
      <c r="CE123" s="104"/>
      <c r="CF123" s="104"/>
      <c r="CG123" s="104"/>
      <c r="CH123" s="104"/>
      <c r="CJ123" s="95"/>
      <c r="CK123" s="95"/>
      <c r="CL123" s="95"/>
      <c r="CM123" s="95"/>
      <c r="CN123" s="95"/>
      <c r="CO123" s="95"/>
      <c r="CP123" s="95"/>
      <c r="CQ123" s="95"/>
      <c r="CR123" s="95"/>
      <c r="CS123" s="95"/>
      <c r="CT123" s="95"/>
      <c r="CU123" s="95"/>
      <c r="CV123" s="95"/>
      <c r="CW123" s="95"/>
      <c r="CX123" s="95"/>
      <c r="CY123" s="95"/>
      <c r="CZ123" s="95"/>
      <c r="DA123" s="95"/>
      <c r="DB123" s="95"/>
      <c r="DC123" s="95"/>
      <c r="DD123" s="95"/>
      <c r="DE123" s="95"/>
      <c r="DF123" s="95"/>
      <c r="DG123" s="95"/>
      <c r="DL123" s="108"/>
      <c r="DM123" s="108"/>
      <c r="DN123" s="109" t="str">
        <f aca="false">"D6.scenario.defInput["""&amp;B123&amp;"""] = {  "&amp;E$2&amp;":"""&amp;E123&amp;""",  "&amp;C$2&amp;":"""&amp;CLEAN(SUBSTITUTE(C123,"""",""""))&amp;""",  "&amp;F$2&amp;":"""&amp;F123&amp;""",  "&amp;H$2&amp;":"""&amp;CLEAN(SUBSTITUTE(H123,"""",""""))&amp;""", "&amp;J$2&amp;":"""&amp;J123&amp;""", "&amp;L$2&amp;":"""&amp;L123&amp;""", "&amp;M$2&amp;":"""&amp;M123&amp;""", "&amp;N$2&amp;":"""&amp;N123&amp;""", "&amp;O$2&amp;":"""&amp;O123&amp;""", "&amp;P$2&amp;":"""&amp;P123&amp;""", "&amp;Q$2&amp;":"""&amp;Q123&amp;""", "&amp;R$2&amp;":"""&amp;R123&amp;""", d11t:"""&amp;CJ123&amp;""",d11p:"""&amp;CK123&amp;""",d12t:"""&amp;CL123&amp;""",d12p:"""&amp;CM123&amp;""",d13t:"""&amp;CN123&amp;""",d13p:"""&amp;CO123&amp;""",d1w:"""&amp;CP123&amp;""",d1d:"""&amp;CQ123&amp;""", d21t:"""&amp;CR123&amp;""",d21p:"""&amp;CS123&amp;""",d22t:"""&amp;CT123&amp;""",d22p:"""&amp;CU123&amp;""",d23t:"""&amp;CV123&amp;""",d23p:"""&amp;CW123&amp;""",d2w:"""&amp;CX123&amp;""",d2d:"""&amp;CY123&amp;""", d31t:"""&amp;CZ123&amp;""",d31p:"""&amp;DA123&amp;""",d32t:"""&amp;DB123&amp;""",d32p:"""&amp;DC123&amp;""",d33t:"""&amp;DD123&amp;""",d33p:"""&amp;DE123&amp;""",d3w:"""&amp;DF123&amp;""",d3d:"""&amp;DG123&amp;"""}; "</f>
        <v>D6.scenario.defInput["i293"] = {  cons:"consHTcold",  title:"ルーフヒーティングの利用頻度",  unit:"",  text:"ルーフヒーティングを使う頻度はどのくらいですか", inputType:"sel293", right:"", postfix:"", nodata:"", varType:"Number", min:"", max:"", defaultValue:"-1", d11t:"",d11p:"",d12t:"",d12p:"",d13t:"",d13p:"",d1w:"",d1d:"", d21t:"",d21p:"",d22t:"",d22p:"",d23t:"",d23p:"",d2w:"",d2d:"", d31t:"",d31p:"",d32t:"",d32p:"",d33t:"",d33p:"",d3w:"",d3d:""}; </v>
      </c>
      <c r="DO123" s="110"/>
      <c r="DP123" s="110"/>
      <c r="DQ123" s="111" t="str">
        <f aca="false">"D6.scenario.defSelectValue["""&amp;U123&amp;"""]= [ """&amp;CLEAN(V123)&amp;""", """&amp;CLEAN(W123)&amp;IF(X123="","",""", """&amp;CLEAN(X123))&amp;IF(Y123="","",""", """&amp;CLEAN(Y123))&amp;IF(Z123="","",""", """&amp;CLEAN(Z123))&amp;IF(AA123="","",""", """&amp;CLEAN(AA123))&amp;IF(AB123="","",""", """&amp;CLEAN(AB123))&amp;IF(AC123="","",""", """&amp;CLEAN(AC123))&amp;IF(AD123="","",""", """&amp;CLEAN(AD123))&amp;IF(AE123="","",""", """&amp;CLEAN(AE123))&amp;IF(AF123="","",""", """&amp;CLEAN(AF123))&amp;IF(AG123="","",""", """&amp;CLEAN(AG123))&amp;IF(AH123="","",""", """&amp;CLEAN(AH123))&amp;IF(AI123="","",""", """&amp;CLEAN(AI123))&amp;IF(AJ123="","",""", """&amp;CLEAN(AJ123))&amp;IF(AK123="","",""", """&amp;CLEAN(AK123))&amp;""" ];"</f>
        <v>D6.scenario.defSelectValue["sel293"]= [ "選んで下さい", "年2-3日", "月に1日くらい", "月に2-3日", "週に2-3日", "センサーで常時ON", "センサーなしで常時ON" ];</v>
      </c>
      <c r="DR123" s="112"/>
      <c r="DS123" s="112"/>
      <c r="DT123" s="112" t="str">
        <f aca="false">"D6.scenario.defSelectData['"&amp;U123&amp;"']= [ '"&amp;BC123&amp;"', '"&amp;BD123&amp;"', '"&amp;BE123&amp;IF(BF123="","","', '"&amp;BF123)&amp;IF(BG123="","","', '"&amp;BG123)&amp;IF(BH123="","","', '"&amp;BH123)&amp;IF(BI123="","","', '"&amp;BI123)&amp;IF(BJ123="","","', '"&amp;BJ123)&amp;IF(BK123="","","', '"&amp;BK123)&amp;IF(BL123="","","', '"&amp;BL123)&amp;IF(BM123="","","', '"&amp;BM123)&amp;IF(BN123="","","', '"&amp;BN123)&amp;IF(BO123="","","', '"&amp;BO123)&amp;IF(BP123="","","', '"&amp;BP123)&amp;IF(BQ123="","","', '"&amp;BQ123)&amp;IF(BR123="","","', '"&amp;BR123)&amp;"' ];"</f>
        <v>D6.scenario.defSelectData['sel293']= [ '-1', '2', '6', '15', '30', '50', '100' ];</v>
      </c>
    </row>
    <row r="124" s="88" customFormat="true" ht="43.5" hidden="false" customHeight="true" outlineLevel="0" collapsed="false">
      <c r="A124" s="66"/>
      <c r="B124" s="105" t="s">
        <v>1678</v>
      </c>
      <c r="C124" s="103" t="s">
        <v>1679</v>
      </c>
      <c r="D124" s="104" t="s">
        <v>1679</v>
      </c>
      <c r="E124" s="95" t="s">
        <v>1611</v>
      </c>
      <c r="F124" s="103"/>
      <c r="G124" s="104"/>
      <c r="H124" s="103" t="s">
        <v>1680</v>
      </c>
      <c r="I124" s="104" t="s">
        <v>1679</v>
      </c>
      <c r="J124" s="103" t="str">
        <f aca="false">IF(K124="","",K124)</f>
        <v>sel294</v>
      </c>
      <c r="K124" s="104" t="str">
        <f aca="false">"sel"&amp;MID($B124,2,5)</f>
        <v>sel294</v>
      </c>
      <c r="L124" s="105"/>
      <c r="M124" s="105"/>
      <c r="N124" s="105"/>
      <c r="O124" s="95" t="s">
        <v>931</v>
      </c>
      <c r="P124" s="105"/>
      <c r="Q124" s="105"/>
      <c r="R124" s="95" t="n">
        <v>-1</v>
      </c>
      <c r="S124" s="66"/>
      <c r="T124" s="66"/>
      <c r="U124" s="106" t="str">
        <f aca="false">J124</f>
        <v>sel294</v>
      </c>
      <c r="V124" s="103" t="s">
        <v>979</v>
      </c>
      <c r="W124" s="103" t="s">
        <v>1140</v>
      </c>
      <c r="X124" s="116" t="s">
        <v>1141</v>
      </c>
      <c r="Y124" s="103" t="s">
        <v>1062</v>
      </c>
      <c r="Z124" s="103"/>
      <c r="AA124" s="103"/>
      <c r="AB124" s="103"/>
      <c r="AC124" s="103"/>
      <c r="AD124" s="103"/>
      <c r="AE124" s="103"/>
      <c r="AF124" s="103"/>
      <c r="AG124" s="103"/>
      <c r="AH124" s="103"/>
      <c r="AI124" s="103"/>
      <c r="AJ124" s="103"/>
      <c r="AK124" s="103"/>
      <c r="AL124" s="104" t="s">
        <v>979</v>
      </c>
      <c r="AM124" s="104" t="s">
        <v>1140</v>
      </c>
      <c r="AN124" s="117" t="s">
        <v>1141</v>
      </c>
      <c r="AO124" s="104" t="s">
        <v>1062</v>
      </c>
      <c r="AP124" s="104"/>
      <c r="AQ124" s="104"/>
      <c r="AR124" s="104"/>
      <c r="AS124" s="104"/>
      <c r="AT124" s="104"/>
      <c r="AU124" s="104"/>
      <c r="AV124" s="104"/>
      <c r="AW124" s="104"/>
      <c r="AX124" s="104"/>
      <c r="AY124" s="104"/>
      <c r="AZ124" s="104"/>
      <c r="BA124" s="104"/>
      <c r="BB124" s="66"/>
      <c r="BC124" s="103" t="n">
        <v>-1</v>
      </c>
      <c r="BD124" s="103" t="n">
        <v>1</v>
      </c>
      <c r="BE124" s="103" t="n">
        <v>2</v>
      </c>
      <c r="BF124" s="103" t="n">
        <v>3</v>
      </c>
      <c r="BG124" s="103"/>
      <c r="BH124" s="103"/>
      <c r="BI124" s="103"/>
      <c r="BJ124" s="103"/>
      <c r="BK124" s="103"/>
      <c r="BL124" s="103"/>
      <c r="BM124" s="103"/>
      <c r="BN124" s="103"/>
      <c r="BO124" s="103"/>
      <c r="BP124" s="103"/>
      <c r="BQ124" s="103"/>
      <c r="BR124" s="103"/>
      <c r="BS124" s="104" t="n">
        <v>-1</v>
      </c>
      <c r="BT124" s="104" t="n">
        <v>1</v>
      </c>
      <c r="BU124" s="104" t="n">
        <v>2</v>
      </c>
      <c r="BV124" s="104" t="n">
        <v>3</v>
      </c>
      <c r="BW124" s="104"/>
      <c r="BX124" s="104"/>
      <c r="BY124" s="104"/>
      <c r="BZ124" s="104"/>
      <c r="CA124" s="104"/>
      <c r="CB124" s="104"/>
      <c r="CC124" s="104"/>
      <c r="CD124" s="104"/>
      <c r="CE124" s="104"/>
      <c r="CF124" s="104"/>
      <c r="CG124" s="104"/>
      <c r="CH124" s="104"/>
      <c r="CJ124" s="95"/>
      <c r="CK124" s="95"/>
      <c r="CL124" s="95"/>
      <c r="CM124" s="95"/>
      <c r="CN124" s="95"/>
      <c r="CO124" s="95"/>
      <c r="CP124" s="95"/>
      <c r="CQ124" s="95"/>
      <c r="CR124" s="95"/>
      <c r="CS124" s="95"/>
      <c r="CT124" s="95"/>
      <c r="CU124" s="95"/>
      <c r="CV124" s="95"/>
      <c r="CW124" s="95"/>
      <c r="CX124" s="95"/>
      <c r="CY124" s="95"/>
      <c r="CZ124" s="95"/>
      <c r="DA124" s="95"/>
      <c r="DB124" s="95"/>
      <c r="DC124" s="95"/>
      <c r="DD124" s="95"/>
      <c r="DE124" s="95"/>
      <c r="DF124" s="95"/>
      <c r="DG124" s="95"/>
      <c r="DL124" s="108"/>
      <c r="DM124" s="108"/>
      <c r="DN124" s="109" t="str">
        <f aca="false">"D6.scenario.defInput["""&amp;B124&amp;"""] = {  "&amp;E$2&amp;":"""&amp;E124&amp;""",  "&amp;C$2&amp;":"""&amp;CLEAN(SUBSTITUTE(C124,"""",""""))&amp;""",  "&amp;F$2&amp;":"""&amp;F124&amp;""",  "&amp;H$2&amp;":"""&amp;CLEAN(SUBSTITUTE(H124,"""",""""))&amp;""", "&amp;J$2&amp;":"""&amp;J124&amp;""", "&amp;L$2&amp;":"""&amp;L124&amp;""", "&amp;M$2&amp;":"""&amp;M124&amp;""", "&amp;N$2&amp;":"""&amp;N124&amp;""", "&amp;O$2&amp;":"""&amp;O124&amp;""", "&amp;P$2&amp;":"""&amp;P124&amp;""", "&amp;Q$2&amp;":"""&amp;Q124&amp;""", "&amp;R$2&amp;":"""&amp;R124&amp;""", d11t:"""&amp;CJ124&amp;""",d11p:"""&amp;CK124&amp;""",d12t:"""&amp;CL124&amp;""",d12p:"""&amp;CM124&amp;""",d13t:"""&amp;CN124&amp;""",d13p:"""&amp;CO124&amp;""",d1w:"""&amp;CP124&amp;""",d1d:"""&amp;CQ124&amp;""", d21t:"""&amp;CR124&amp;""",d21p:"""&amp;CS124&amp;""",d22t:"""&amp;CT124&amp;""",d22p:"""&amp;CU124&amp;""",d23t:"""&amp;CV124&amp;""",d23p:"""&amp;CW124&amp;""",d2w:"""&amp;CX124&amp;""",d2d:"""&amp;CY124&amp;""", d31t:"""&amp;CZ124&amp;""",d31p:"""&amp;DA124&amp;""",d32t:"""&amp;DB124&amp;""",d32p:"""&amp;DC124&amp;""",d33t:"""&amp;DD124&amp;""",d33p:"""&amp;DE124&amp;""",d3w:"""&amp;DF124&amp;""",d3d:"""&amp;DG124&amp;"""}; "</f>
        <v>D6.scenario.defInput["i294"] = {  cons:"consHTcold",  title:"融雪槽の利用",  unit:"",  text:"融雪槽の利用をしていますか", inputType:"sel294", right:"", postfix:"", nodata:"", varType:"Number", min:"", max:"", defaultValue:"-1", d11t:"",d11p:"",d12t:"",d12p:"",d13t:"",d13p:"",d1w:"",d1d:"", d21t:"",d21p:"",d22t:"",d22p:"",d23t:"",d23p:"",d2w:"",d2d:"", d31t:"",d31p:"",d32t:"",d32p:"",d33t:"",d33p:"",d3w:"",d3d:""}; </v>
      </c>
      <c r="DO124" s="110"/>
      <c r="DP124" s="110"/>
      <c r="DQ124" s="111" t="str">
        <f aca="false">"D6.scenario.defSelectValue["""&amp;U124&amp;"""]= [ """&amp;CLEAN(V124)&amp;""", """&amp;CLEAN(W124)&amp;IF(X124="","",""", """&amp;CLEAN(X124))&amp;IF(Y124="","",""", """&amp;CLEAN(Y124))&amp;IF(Z124="","",""", """&amp;CLEAN(Z124))&amp;IF(AA124="","",""", """&amp;CLEAN(AA124))&amp;IF(AB124="","",""", """&amp;CLEAN(AB124))&amp;IF(AC124="","",""", """&amp;CLEAN(AC124))&amp;IF(AD124="","",""", """&amp;CLEAN(AD124))&amp;IF(AE124="","",""", """&amp;CLEAN(AE124))&amp;IF(AF124="","",""", """&amp;CLEAN(AF124))&amp;IF(AG124="","",""", """&amp;CLEAN(AG124))&amp;IF(AH124="","",""", """&amp;CLEAN(AH124))&amp;IF(AI124="","",""", """&amp;CLEAN(AI124))&amp;IF(AJ124="","",""", """&amp;CLEAN(AJ124))&amp;IF(AK124="","",""", """&amp;CLEAN(AK124))&amp;""" ];"</f>
        <v>D6.scenario.defSelectValue["sel294"]= [ "選んで下さい", "はい", "いいえ", "わからない" ];</v>
      </c>
      <c r="DR124" s="112"/>
      <c r="DS124" s="112"/>
      <c r="DT124" s="112" t="str">
        <f aca="false">"D6.scenario.defSelectData['"&amp;U124&amp;"']= [ '"&amp;BC124&amp;"', '"&amp;BD124&amp;"', '"&amp;BE124&amp;IF(BF124="","","', '"&amp;BF124)&amp;IF(BG124="","","', '"&amp;BG124)&amp;IF(BH124="","","', '"&amp;BH124)&amp;IF(BI124="","","', '"&amp;BI124)&amp;IF(BJ124="","","', '"&amp;BJ124)&amp;IF(BK124="","","', '"&amp;BK124)&amp;IF(BL124="","","', '"&amp;BL124)&amp;IF(BM124="","","', '"&amp;BM124)&amp;IF(BN124="","","', '"&amp;BN124)&amp;IF(BO124="","","', '"&amp;BO124)&amp;IF(BP124="","","', '"&amp;BP124)&amp;IF(BQ124="","","', '"&amp;BQ124)&amp;IF(BR124="","","', '"&amp;BR124)&amp;"' ];"</f>
        <v>D6.scenario.defSelectData['sel294']= [ '-1', '1', '2', '3' ];</v>
      </c>
    </row>
    <row r="125" s="88" customFormat="true" ht="43.5" hidden="false" customHeight="true" outlineLevel="0" collapsed="false">
      <c r="A125" s="66"/>
      <c r="B125" s="105" t="s">
        <v>1681</v>
      </c>
      <c r="C125" s="103" t="s">
        <v>1682</v>
      </c>
      <c r="D125" s="104" t="s">
        <v>1682</v>
      </c>
      <c r="E125" s="95" t="s">
        <v>1611</v>
      </c>
      <c r="F125" s="103"/>
      <c r="G125" s="104"/>
      <c r="H125" s="103" t="s">
        <v>1683</v>
      </c>
      <c r="I125" s="104" t="s">
        <v>1682</v>
      </c>
      <c r="J125" s="103" t="str">
        <f aca="false">IF(K125="","",K125)</f>
        <v>sel295</v>
      </c>
      <c r="K125" s="104" t="str">
        <f aca="false">"sel"&amp;MID($B125,2,5)</f>
        <v>sel295</v>
      </c>
      <c r="L125" s="105"/>
      <c r="M125" s="105"/>
      <c r="N125" s="105"/>
      <c r="O125" s="95" t="s">
        <v>931</v>
      </c>
      <c r="P125" s="105"/>
      <c r="Q125" s="105"/>
      <c r="R125" s="95" t="n">
        <v>-1</v>
      </c>
      <c r="S125" s="66"/>
      <c r="T125" s="66"/>
      <c r="U125" s="106" t="str">
        <f aca="false">J125</f>
        <v>sel295</v>
      </c>
      <c r="V125" s="103" t="s">
        <v>979</v>
      </c>
      <c r="W125" s="103" t="s">
        <v>1391</v>
      </c>
      <c r="X125" s="116" t="s">
        <v>1617</v>
      </c>
      <c r="Y125" s="103" t="s">
        <v>1618</v>
      </c>
      <c r="Z125" s="103" t="s">
        <v>1390</v>
      </c>
      <c r="AA125" s="103" t="s">
        <v>1672</v>
      </c>
      <c r="AB125" s="103" t="s">
        <v>1673</v>
      </c>
      <c r="AC125" s="103" t="s">
        <v>1183</v>
      </c>
      <c r="AD125" s="103"/>
      <c r="AE125" s="103"/>
      <c r="AF125" s="103"/>
      <c r="AG125" s="103"/>
      <c r="AH125" s="103"/>
      <c r="AI125" s="103"/>
      <c r="AJ125" s="103"/>
      <c r="AK125" s="103"/>
      <c r="AL125" s="104" t="s">
        <v>979</v>
      </c>
      <c r="AM125" s="104" t="s">
        <v>1391</v>
      </c>
      <c r="AN125" s="118" t="s">
        <v>1617</v>
      </c>
      <c r="AO125" s="104" t="s">
        <v>1618</v>
      </c>
      <c r="AP125" s="104" t="s">
        <v>1390</v>
      </c>
      <c r="AQ125" s="104" t="s">
        <v>1672</v>
      </c>
      <c r="AR125" s="104" t="s">
        <v>1673</v>
      </c>
      <c r="AS125" s="104" t="s">
        <v>1183</v>
      </c>
      <c r="AT125" s="104"/>
      <c r="AU125" s="104"/>
      <c r="AV125" s="104"/>
      <c r="AW125" s="104"/>
      <c r="AX125" s="104"/>
      <c r="AY125" s="104"/>
      <c r="AZ125" s="104"/>
      <c r="BA125" s="104"/>
      <c r="BB125" s="66"/>
      <c r="BC125" s="103" t="n">
        <v>-1</v>
      </c>
      <c r="BD125" s="103" t="n">
        <v>1</v>
      </c>
      <c r="BE125" s="103" t="n">
        <v>2</v>
      </c>
      <c r="BF125" s="103" t="n">
        <v>3</v>
      </c>
      <c r="BG125" s="103" t="n">
        <v>4</v>
      </c>
      <c r="BH125" s="103" t="n">
        <v>5</v>
      </c>
      <c r="BI125" s="103" t="n">
        <v>6</v>
      </c>
      <c r="BJ125" s="103"/>
      <c r="BK125" s="103"/>
      <c r="BL125" s="103"/>
      <c r="BM125" s="103"/>
      <c r="BN125" s="103"/>
      <c r="BO125" s="103"/>
      <c r="BP125" s="103"/>
      <c r="BQ125" s="103"/>
      <c r="BR125" s="103"/>
      <c r="BS125" s="104" t="n">
        <v>-1</v>
      </c>
      <c r="BT125" s="104" t="n">
        <v>1</v>
      </c>
      <c r="BU125" s="104" t="n">
        <v>2</v>
      </c>
      <c r="BV125" s="104" t="n">
        <v>3</v>
      </c>
      <c r="BW125" s="104" t="n">
        <v>4</v>
      </c>
      <c r="BX125" s="104" t="n">
        <v>5</v>
      </c>
      <c r="BY125" s="104" t="n">
        <v>6</v>
      </c>
      <c r="BZ125" s="104"/>
      <c r="CA125" s="104"/>
      <c r="CB125" s="104"/>
      <c r="CC125" s="104"/>
      <c r="CD125" s="104"/>
      <c r="CE125" s="104"/>
      <c r="CF125" s="104"/>
      <c r="CG125" s="104"/>
      <c r="CH125" s="104"/>
      <c r="CJ125" s="95"/>
      <c r="CK125" s="95"/>
      <c r="CL125" s="95"/>
      <c r="CM125" s="95"/>
      <c r="CN125" s="95"/>
      <c r="CO125" s="95"/>
      <c r="CP125" s="95"/>
      <c r="CQ125" s="95"/>
      <c r="CR125" s="95"/>
      <c r="CS125" s="95"/>
      <c r="CT125" s="95"/>
      <c r="CU125" s="95"/>
      <c r="CV125" s="95"/>
      <c r="CW125" s="95"/>
      <c r="CX125" s="95"/>
      <c r="CY125" s="95"/>
      <c r="CZ125" s="95"/>
      <c r="DA125" s="95"/>
      <c r="DB125" s="95"/>
      <c r="DC125" s="95"/>
      <c r="DD125" s="95"/>
      <c r="DE125" s="95"/>
      <c r="DF125" s="95"/>
      <c r="DG125" s="95"/>
      <c r="DL125" s="108"/>
      <c r="DM125" s="108"/>
      <c r="DN125" s="109" t="str">
        <f aca="false">"D6.scenario.defInput["""&amp;B125&amp;"""] = {  "&amp;E$2&amp;":"""&amp;E125&amp;""",  "&amp;C$2&amp;":"""&amp;CLEAN(SUBSTITUTE(C125,"""",""""))&amp;""",  "&amp;F$2&amp;":"""&amp;F125&amp;""",  "&amp;H$2&amp;":"""&amp;CLEAN(SUBSTITUTE(H125,"""",""""))&amp;""", "&amp;J$2&amp;":"""&amp;J125&amp;""", "&amp;L$2&amp;":"""&amp;L125&amp;""", "&amp;M$2&amp;":"""&amp;M125&amp;""", "&amp;N$2&amp;":"""&amp;N125&amp;""", "&amp;O$2&amp;":"""&amp;O125&amp;""", "&amp;P$2&amp;":"""&amp;P125&amp;""", "&amp;Q$2&amp;":"""&amp;Q125&amp;""", "&amp;R$2&amp;":"""&amp;R125&amp;""", d11t:"""&amp;CJ125&amp;""",d11p:"""&amp;CK125&amp;""",d12t:"""&amp;CL125&amp;""",d12p:"""&amp;CM125&amp;""",d13t:"""&amp;CN125&amp;""",d13p:"""&amp;CO125&amp;""",d1w:"""&amp;CP125&amp;""",d1d:"""&amp;CQ125&amp;""", d21t:"""&amp;CR125&amp;""",d21p:"""&amp;CS125&amp;""",d22t:"""&amp;CT125&amp;""",d22p:"""&amp;CU125&amp;""",d23t:"""&amp;CV125&amp;""",d23p:"""&amp;CW125&amp;""",d2w:"""&amp;CX125&amp;""",d2d:"""&amp;CY125&amp;""", d31t:"""&amp;CZ125&amp;""",d31p:"""&amp;DA125&amp;""",d32t:"""&amp;DB125&amp;""",d32p:"""&amp;DC125&amp;""",d33t:"""&amp;DD125&amp;""",d33p:"""&amp;DE125&amp;""",d3w:"""&amp;DF125&amp;""",d3d:"""&amp;DG125&amp;"""}; "</f>
        <v>D6.scenario.defInput["i295"] = {  cons:"consHTcold",  title:"融雪槽の熱源",  unit:"",  text:"融雪槽の熱源は何ですか", inputType:"sel295", right:"", postfix:"", nodata:"", varType:"Number", min:"", max:"", defaultValue:"-1", d11t:"",d11p:"",d12t:"",d12p:"",d13t:"",d13p:"",d1w:"",d1d:"", d21t:"",d21p:"",d22t:"",d22p:"",d23t:"",d23p:"",d2w:"",d2d:"", d31t:"",d31p:"",d32t:"",d32p:"",d33t:"",d33p:"",d3w:"",d3d:""}; </v>
      </c>
      <c r="DO125" s="110"/>
      <c r="DP125" s="110"/>
      <c r="DQ125" s="111" t="str">
        <f aca="false">"D6.scenario.defSelectValue["""&amp;U125&amp;"""]= [ """&amp;CLEAN(V125)&amp;""", """&amp;CLEAN(W125)&amp;IF(X125="","",""", """&amp;CLEAN(X125))&amp;IF(Y125="","",""", """&amp;CLEAN(Y125))&amp;IF(Z125="","",""", """&amp;CLEAN(Z125))&amp;IF(AA125="","",""", """&amp;CLEAN(AA125))&amp;IF(AB125="","",""", """&amp;CLEAN(AB125))&amp;IF(AC125="","",""", """&amp;CLEAN(AC125))&amp;IF(AD125="","",""", """&amp;CLEAN(AD125))&amp;IF(AE125="","",""", """&amp;CLEAN(AE125))&amp;IF(AF125="","",""", """&amp;CLEAN(AF125))&amp;IF(AG125="","",""", """&amp;CLEAN(AG125))&amp;IF(AH125="","",""", """&amp;CLEAN(AH125))&amp;IF(AI125="","",""", """&amp;CLEAN(AI125))&amp;IF(AJ125="","",""", """&amp;CLEAN(AJ125))&amp;IF(AK125="","",""", """&amp;CLEAN(AK125))&amp;""" ];"</f>
        <v>D6.scenario.defSelectValue["sel295"]= [ "選んで下さい", "灯油", "電気", "電気（ヒートポンプ）", "ガス", "コジェネ（ガス）", "コジェネ（灯油）", "地域熱供給" ];</v>
      </c>
      <c r="DR125" s="112"/>
      <c r="DS125" s="112"/>
      <c r="DT125" s="112" t="str">
        <f aca="false">"D6.scenario.defSelectData['"&amp;U125&amp;"']= [ '"&amp;BC125&amp;"', '"&amp;BD125&amp;"', '"&amp;BE125&amp;IF(BF125="","","', '"&amp;BF125)&amp;IF(BG125="","","', '"&amp;BG125)&amp;IF(BH125="","","', '"&amp;BH125)&amp;IF(BI125="","","', '"&amp;BI125)&amp;IF(BJ125="","","', '"&amp;BJ125)&amp;IF(BK125="","","', '"&amp;BK125)&amp;IF(BL125="","","', '"&amp;BL125)&amp;IF(BM125="","","', '"&amp;BM125)&amp;IF(BN125="","","', '"&amp;BN125)&amp;IF(BO125="","","', '"&amp;BO125)&amp;IF(BP125="","","', '"&amp;BP125)&amp;IF(BQ125="","","', '"&amp;BQ125)&amp;IF(BR125="","","', '"&amp;BR125)&amp;"' ];"</f>
        <v>D6.scenario.defSelectData['sel295']= [ '-1', '1', '2', '3', '4', '5', '6' ];</v>
      </c>
    </row>
    <row r="126" s="88" customFormat="true" ht="43.5" hidden="false" customHeight="true" outlineLevel="0" collapsed="false">
      <c r="A126" s="66" t="s">
        <v>1684</v>
      </c>
      <c r="B126" s="105" t="s">
        <v>1684</v>
      </c>
      <c r="C126" s="103" t="s">
        <v>1685</v>
      </c>
      <c r="D126" s="104"/>
      <c r="E126" s="95" t="s">
        <v>224</v>
      </c>
      <c r="F126" s="103" t="s">
        <v>986</v>
      </c>
      <c r="G126" s="104" t="s">
        <v>986</v>
      </c>
      <c r="H126" s="103" t="s">
        <v>1686</v>
      </c>
      <c r="I126" s="104" t="s">
        <v>987</v>
      </c>
      <c r="J126" s="103" t="s">
        <v>1687</v>
      </c>
      <c r="K126" s="104" t="s">
        <v>1687</v>
      </c>
      <c r="L126" s="105"/>
      <c r="M126" s="105"/>
      <c r="N126" s="105"/>
      <c r="O126" s="95" t="s">
        <v>931</v>
      </c>
      <c r="P126" s="105"/>
      <c r="Q126" s="105"/>
      <c r="R126" s="95" t="n">
        <v>-1</v>
      </c>
      <c r="S126" s="66"/>
      <c r="T126" s="66"/>
      <c r="U126" s="106" t="s">
        <v>1687</v>
      </c>
      <c r="V126" s="103" t="s">
        <v>979</v>
      </c>
      <c r="W126" s="103" t="s">
        <v>1688</v>
      </c>
      <c r="X126" s="116" t="s">
        <v>1689</v>
      </c>
      <c r="Y126" s="103"/>
      <c r="Z126" s="103"/>
      <c r="AA126" s="103"/>
      <c r="AB126" s="103"/>
      <c r="AC126" s="103"/>
      <c r="AD126" s="103"/>
      <c r="AE126" s="103"/>
      <c r="AF126" s="103"/>
      <c r="AG126" s="103"/>
      <c r="AH126" s="103"/>
      <c r="AI126" s="103"/>
      <c r="AJ126" s="103"/>
      <c r="AK126" s="103"/>
      <c r="AL126" s="104" t="s">
        <v>979</v>
      </c>
      <c r="AM126" s="104" t="s">
        <v>988</v>
      </c>
      <c r="AN126" s="118" t="s">
        <v>989</v>
      </c>
      <c r="AO126" s="104" t="s">
        <v>990</v>
      </c>
      <c r="AP126" s="104" t="s">
        <v>991</v>
      </c>
      <c r="AQ126" s="104" t="s">
        <v>992</v>
      </c>
      <c r="AR126" s="104" t="s">
        <v>993</v>
      </c>
      <c r="AS126" s="104" t="s">
        <v>994</v>
      </c>
      <c r="AT126" s="104" t="s">
        <v>995</v>
      </c>
      <c r="AU126" s="104" t="s">
        <v>996</v>
      </c>
      <c r="AV126" s="104"/>
      <c r="AW126" s="104"/>
      <c r="AX126" s="104"/>
      <c r="AY126" s="104"/>
      <c r="AZ126" s="104"/>
      <c r="BA126" s="104"/>
      <c r="BB126" s="66"/>
      <c r="BC126" s="103" t="n">
        <v>-1</v>
      </c>
      <c r="BD126" s="103" t="n">
        <v>1</v>
      </c>
      <c r="BE126" s="103" t="n">
        <v>2</v>
      </c>
      <c r="BF126" s="103"/>
      <c r="BG126" s="103"/>
      <c r="BH126" s="103"/>
      <c r="BI126" s="103"/>
      <c r="BJ126" s="103"/>
      <c r="BK126" s="103"/>
      <c r="BL126" s="103"/>
      <c r="BM126" s="103"/>
      <c r="BN126" s="103"/>
      <c r="BO126" s="103"/>
      <c r="BP126" s="103"/>
      <c r="BQ126" s="103"/>
      <c r="BR126" s="103"/>
      <c r="BS126" s="104" t="n">
        <v>-1</v>
      </c>
      <c r="BT126" s="104" t="n">
        <v>1</v>
      </c>
      <c r="BU126" s="104" t="n">
        <v>2</v>
      </c>
      <c r="BV126" s="104" t="n">
        <v>3</v>
      </c>
      <c r="BW126" s="104" t="n">
        <v>4</v>
      </c>
      <c r="BX126" s="104" t="n">
        <v>5</v>
      </c>
      <c r="BY126" s="104" t="n">
        <v>6</v>
      </c>
      <c r="BZ126" s="104" t="n">
        <v>7</v>
      </c>
      <c r="CA126" s="104" t="n">
        <v>8</v>
      </c>
      <c r="CB126" s="104" t="n">
        <v>9</v>
      </c>
      <c r="CC126" s="104"/>
      <c r="CD126" s="104"/>
      <c r="CE126" s="104"/>
      <c r="CF126" s="104"/>
      <c r="CG126" s="104"/>
      <c r="CH126" s="104"/>
      <c r="CJ126" s="95" t="n">
        <v>3</v>
      </c>
      <c r="CK126" s="95" t="n">
        <v>2</v>
      </c>
      <c r="CL126" s="95" t="n">
        <v>2</v>
      </c>
      <c r="CM126" s="95" t="n">
        <v>1</v>
      </c>
      <c r="CN126" s="95" t="n">
        <v>1</v>
      </c>
      <c r="CO126" s="95" t="n">
        <v>0</v>
      </c>
      <c r="CP126" s="95" t="n">
        <v>2</v>
      </c>
      <c r="CQ126" s="95" t="n">
        <v>1</v>
      </c>
      <c r="CR126" s="95"/>
      <c r="CS126" s="95"/>
      <c r="CT126" s="95"/>
      <c r="CU126" s="95"/>
      <c r="CV126" s="95"/>
      <c r="CW126" s="95"/>
      <c r="CX126" s="95"/>
      <c r="CY126" s="95"/>
      <c r="CZ126" s="95"/>
      <c r="DA126" s="95"/>
      <c r="DB126" s="95"/>
      <c r="DC126" s="95"/>
      <c r="DD126" s="95"/>
      <c r="DE126" s="95"/>
      <c r="DF126" s="95"/>
      <c r="DG126" s="95"/>
      <c r="DL126" s="108"/>
      <c r="DM126" s="108"/>
      <c r="DN126" s="109" t="s">
        <v>1690</v>
      </c>
      <c r="DO126" s="110"/>
      <c r="DP126" s="110"/>
      <c r="DQ126" s="111" t="s">
        <v>1691</v>
      </c>
      <c r="DR126" s="112"/>
      <c r="DS126" s="112"/>
      <c r="DT126" s="112" t="s">
        <v>1692</v>
      </c>
    </row>
    <row r="127" s="88" customFormat="true" ht="43.5" hidden="false" customHeight="true" outlineLevel="0" collapsed="false">
      <c r="A127" s="66"/>
      <c r="B127" s="105" t="s">
        <v>1693</v>
      </c>
      <c r="C127" s="103" t="s">
        <v>1694</v>
      </c>
      <c r="D127" s="104" t="s">
        <v>1694</v>
      </c>
      <c r="E127" s="115" t="s">
        <v>266</v>
      </c>
      <c r="F127" s="103"/>
      <c r="G127" s="104"/>
      <c r="H127" s="103" t="s">
        <v>1695</v>
      </c>
      <c r="I127" s="104" t="s">
        <v>1695</v>
      </c>
      <c r="J127" s="103" t="str">
        <f aca="false">IF(K127="","",K127)</f>
        <v>sel401</v>
      </c>
      <c r="K127" s="104" t="str">
        <f aca="false">"sel"&amp;MID($B127,2,5)</f>
        <v>sel401</v>
      </c>
      <c r="L127" s="105"/>
      <c r="M127" s="105"/>
      <c r="N127" s="105"/>
      <c r="O127" s="95" t="s">
        <v>931</v>
      </c>
      <c r="P127" s="105"/>
      <c r="Q127" s="105"/>
      <c r="R127" s="95" t="n">
        <v>-1</v>
      </c>
      <c r="S127" s="66"/>
      <c r="T127" s="66"/>
      <c r="U127" s="106" t="str">
        <f aca="false">J127</f>
        <v>sel401</v>
      </c>
      <c r="V127" s="103" t="s">
        <v>979</v>
      </c>
      <c r="W127" s="103" t="s">
        <v>1170</v>
      </c>
      <c r="X127" s="103" t="s">
        <v>1696</v>
      </c>
      <c r="Y127" s="103" t="s">
        <v>1697</v>
      </c>
      <c r="Z127" s="103" t="s">
        <v>1698</v>
      </c>
      <c r="AA127" s="103" t="s">
        <v>1266</v>
      </c>
      <c r="AB127" s="103"/>
      <c r="AC127" s="103"/>
      <c r="AD127" s="103"/>
      <c r="AE127" s="103"/>
      <c r="AF127" s="103"/>
      <c r="AG127" s="103"/>
      <c r="AH127" s="103"/>
      <c r="AI127" s="103"/>
      <c r="AJ127" s="103"/>
      <c r="AK127" s="103"/>
      <c r="AL127" s="104" t="s">
        <v>979</v>
      </c>
      <c r="AM127" s="107" t="s">
        <v>1170</v>
      </c>
      <c r="AN127" s="107" t="s">
        <v>1696</v>
      </c>
      <c r="AO127" s="107" t="s">
        <v>1697</v>
      </c>
      <c r="AP127" s="104" t="s">
        <v>1698</v>
      </c>
      <c r="AQ127" s="104" t="s">
        <v>1266</v>
      </c>
      <c r="AR127" s="104"/>
      <c r="AS127" s="104"/>
      <c r="AT127" s="104"/>
      <c r="AU127" s="104"/>
      <c r="AV127" s="104"/>
      <c r="AW127" s="104"/>
      <c r="AX127" s="104"/>
      <c r="AY127" s="104"/>
      <c r="AZ127" s="104"/>
      <c r="BA127" s="104"/>
      <c r="BB127" s="66"/>
      <c r="BC127" s="103" t="n">
        <v>-1</v>
      </c>
      <c r="BD127" s="103" t="n">
        <v>5</v>
      </c>
      <c r="BE127" s="103" t="n">
        <v>4</v>
      </c>
      <c r="BF127" s="103" t="n">
        <v>3</v>
      </c>
      <c r="BG127" s="103" t="n">
        <v>2</v>
      </c>
      <c r="BH127" s="103" t="n">
        <v>1</v>
      </c>
      <c r="BI127" s="103"/>
      <c r="BJ127" s="103"/>
      <c r="BK127" s="103"/>
      <c r="BL127" s="103"/>
      <c r="BM127" s="103"/>
      <c r="BN127" s="103"/>
      <c r="BO127" s="103"/>
      <c r="BP127" s="103"/>
      <c r="BQ127" s="103"/>
      <c r="BR127" s="103"/>
      <c r="BS127" s="104" t="n">
        <v>-1</v>
      </c>
      <c r="BT127" s="104" t="n">
        <v>5</v>
      </c>
      <c r="BU127" s="104" t="n">
        <v>4</v>
      </c>
      <c r="BV127" s="104" t="n">
        <v>3</v>
      </c>
      <c r="BW127" s="104" t="n">
        <v>2</v>
      </c>
      <c r="BX127" s="104" t="n">
        <v>1</v>
      </c>
      <c r="BY127" s="104"/>
      <c r="BZ127" s="104"/>
      <c r="CA127" s="104"/>
      <c r="CB127" s="104"/>
      <c r="CC127" s="104"/>
      <c r="CD127" s="104"/>
      <c r="CE127" s="104"/>
      <c r="CF127" s="104"/>
      <c r="CG127" s="104"/>
      <c r="CH127" s="104"/>
      <c r="CJ127" s="95" t="n">
        <v>5</v>
      </c>
      <c r="CK127" s="95" t="n">
        <v>0</v>
      </c>
      <c r="CL127" s="95" t="n">
        <v>3</v>
      </c>
      <c r="CM127" s="95" t="n">
        <v>1</v>
      </c>
      <c r="CN127" s="95" t="n">
        <v>0</v>
      </c>
      <c r="CO127" s="95" t="n">
        <v>2</v>
      </c>
      <c r="CP127" s="95" t="n">
        <v>2</v>
      </c>
      <c r="CQ127" s="95" t="n">
        <v>1</v>
      </c>
      <c r="CR127" s="95"/>
      <c r="CS127" s="95"/>
      <c r="CT127" s="95"/>
      <c r="CU127" s="95"/>
      <c r="CV127" s="95"/>
      <c r="CW127" s="95"/>
      <c r="CX127" s="95"/>
      <c r="CY127" s="95"/>
      <c r="CZ127" s="95"/>
      <c r="DA127" s="95"/>
      <c r="DB127" s="95"/>
      <c r="DC127" s="95"/>
      <c r="DD127" s="95"/>
      <c r="DE127" s="95"/>
      <c r="DF127" s="95"/>
      <c r="DG127" s="95"/>
      <c r="DL127" s="108"/>
      <c r="DM127" s="108"/>
      <c r="DN127" s="109" t="str">
        <f aca="false">"D6.scenario.defInput["""&amp;B127&amp;"""] = {  "&amp;E$2&amp;":"""&amp;E127&amp;""",  "&amp;C$2&amp;":"""&amp;CLEAN(SUBSTITUTE(C127,"""",""""))&amp;""",  "&amp;F$2&amp;":"""&amp;F127&amp;""",  "&amp;H$2&amp;":"""&amp;CLEAN(SUBSTITUTE(H127,"""",""""))&amp;""", "&amp;J$2&amp;":"""&amp;J127&amp;""", "&amp;L$2&amp;":"""&amp;L127&amp;""", "&amp;M$2&amp;":"""&amp;M127&amp;""", "&amp;N$2&amp;":"""&amp;N127&amp;""", "&amp;O$2&amp;":"""&amp;O127&amp;""", "&amp;P$2&amp;":"""&amp;P127&amp;""", "&amp;Q$2&amp;":"""&amp;Q127&amp;""", "&amp;R$2&amp;":"""&amp;R127&amp;""", d11t:"""&amp;CJ127&amp;""",d11p:"""&amp;CK127&amp;""",d12t:"""&amp;CL127&amp;""",d12p:"""&amp;CM127&amp;""",d13t:"""&amp;CN127&amp;""",d13p:"""&amp;CO127&amp;""",d1w:"""&amp;CP127&amp;""",d1d:"""&amp;CQ127&amp;""", d21t:"""&amp;CR127&amp;""",d21p:"""&amp;CS127&amp;""",d22t:"""&amp;CT127&amp;""",d22p:"""&amp;CU127&amp;""",d23t:"""&amp;CV127&amp;""",d23p:"""&amp;CW127&amp;""",d2w:"""&amp;CX127&amp;""",d2d:"""&amp;CY127&amp;""", d31t:"""&amp;CZ127&amp;""",d31p:"""&amp;DA127&amp;""",d32t:"""&amp;DB127&amp;""",d32p:"""&amp;DC127&amp;""",d33t:"""&amp;DD127&amp;""",d33p:"""&amp;DE127&amp;""",d3w:"""&amp;DF127&amp;""",d3d:"""&amp;DG127&amp;"""}; "</f>
        <v>D6.scenario.defInput["i401"] = {  cons:"consDRsum",  title:"衣類乾燥機の利用頻度",  unit:"",  text:"洗濯の乾燥機や乾燥機能を使っていますか。使っている場合にはどの程度使うのか選んで下さい。", inputType:"sel401", right:"", postfix:"", nodata:"", varType:"Number", min:"", max:"", defaultValue:"-1", d11t:"5",d11p:"0",d12t:"3",d12p:"1",d13t:"0",d13p:"2",d1w:"2",d1d:"1", d21t:"",d21p:"",d22t:"",d22p:"",d23t:"",d23p:"",d2w:"",d2d:"", d31t:"",d31p:"",d32t:"",d32p:"",d33t:"",d33p:"",d3w:"",d3d:""}; </v>
      </c>
      <c r="DO127" s="110"/>
      <c r="DP127" s="110"/>
      <c r="DQ127" s="111" t="str">
        <f aca="false">"D6.scenario.defSelectValue["""&amp;U127&amp;"""]= [ """&amp;CLEAN(V127)&amp;""", """&amp;CLEAN(W127)&amp;IF(X127="","",""", """&amp;CLEAN(X127))&amp;IF(Y127="","",""", """&amp;CLEAN(Y127))&amp;IF(Z127="","",""", """&amp;CLEAN(Z127))&amp;IF(AA127="","",""", """&amp;CLEAN(AA127))&amp;IF(AB127="","",""", """&amp;CLEAN(AB127))&amp;IF(AC127="","",""", """&amp;CLEAN(AC127))&amp;IF(AD127="","",""", """&amp;CLEAN(AD127))&amp;IF(AE127="","",""", """&amp;CLEAN(AE127))&amp;IF(AF127="","",""", """&amp;CLEAN(AF127))&amp;IF(AG127="","",""", """&amp;CLEAN(AG127))&amp;IF(AH127="","",""", """&amp;CLEAN(AH127))&amp;IF(AI127="","",""", """&amp;CLEAN(AI127))&amp;IF(AJ127="","",""", """&amp;CLEAN(AJ127))&amp;IF(AK127="","",""", """&amp;CLEAN(AK127))&amp;""" ];"</f>
        <v>D6.scenario.defSelectValue["sel401"]= [ "選んで下さい", "使わない", "月1～3回", "週1～2回", "2日に1回", "毎日" ];</v>
      </c>
      <c r="DR127" s="112"/>
      <c r="DS127" s="112"/>
      <c r="DT127" s="112" t="str">
        <f aca="false">"D6.scenario.defSelectData['"&amp;U127&amp;"']= [ '"&amp;BC127&amp;"', '"&amp;BD127&amp;"', '"&amp;BE127&amp;IF(BF127="","","', '"&amp;BF127)&amp;IF(BG127="","","', '"&amp;BG127)&amp;IF(BH127="","","', '"&amp;BH127)&amp;IF(BI127="","","', '"&amp;BI127)&amp;IF(BJ127="","","', '"&amp;BJ127)&amp;IF(BK127="","","', '"&amp;BK127)&amp;IF(BL127="","","', '"&amp;BL127)&amp;IF(BM127="","","', '"&amp;BM127)&amp;IF(BN127="","","', '"&amp;BN127)&amp;IF(BO127="","","', '"&amp;BO127)&amp;IF(BP127="","","', '"&amp;BP127)&amp;IF(BQ127="","","', '"&amp;BQ127)&amp;IF(BR127="","","', '"&amp;BR127)&amp;"' ];"</f>
        <v>D6.scenario.defSelectData['sel401']= [ '-1', '5', '4', '3', '2', '1' ];</v>
      </c>
    </row>
    <row r="128" s="88" customFormat="true" ht="43.5" hidden="false" customHeight="true" outlineLevel="0" collapsed="false">
      <c r="A128" s="66"/>
      <c r="B128" s="105" t="s">
        <v>1699</v>
      </c>
      <c r="C128" s="103" t="s">
        <v>1700</v>
      </c>
      <c r="D128" s="104" t="s">
        <v>1700</v>
      </c>
      <c r="E128" s="115" t="s">
        <v>266</v>
      </c>
      <c r="F128" s="103"/>
      <c r="G128" s="104"/>
      <c r="H128" s="103" t="s">
        <v>1701</v>
      </c>
      <c r="I128" s="104" t="s">
        <v>1700</v>
      </c>
      <c r="J128" s="103" t="str">
        <f aca="false">IF(K128="","",K128)</f>
        <v>sel402</v>
      </c>
      <c r="K128" s="104" t="str">
        <f aca="false">"sel"&amp;MID($B128,2,5)</f>
        <v>sel402</v>
      </c>
      <c r="L128" s="105"/>
      <c r="M128" s="105"/>
      <c r="N128" s="105"/>
      <c r="O128" s="95" t="s">
        <v>931</v>
      </c>
      <c r="P128" s="105"/>
      <c r="Q128" s="105"/>
      <c r="R128" s="95" t="n">
        <v>-1</v>
      </c>
      <c r="S128" s="66"/>
      <c r="T128" s="66"/>
      <c r="U128" s="106" t="str">
        <f aca="false">J128</f>
        <v>sel402</v>
      </c>
      <c r="V128" s="103" t="s">
        <v>979</v>
      </c>
      <c r="W128" s="103" t="s">
        <v>1702</v>
      </c>
      <c r="X128" s="103" t="s">
        <v>1617</v>
      </c>
      <c r="Y128" s="103" t="s">
        <v>1390</v>
      </c>
      <c r="Z128" s="103" t="s">
        <v>1062</v>
      </c>
      <c r="AA128" s="103" t="s">
        <v>1459</v>
      </c>
      <c r="AB128" s="103"/>
      <c r="AC128" s="103"/>
      <c r="AD128" s="103"/>
      <c r="AE128" s="103"/>
      <c r="AF128" s="103"/>
      <c r="AG128" s="103"/>
      <c r="AH128" s="103"/>
      <c r="AI128" s="103"/>
      <c r="AJ128" s="103"/>
      <c r="AK128" s="103"/>
      <c r="AL128" s="104" t="s">
        <v>979</v>
      </c>
      <c r="AM128" s="104" t="s">
        <v>1702</v>
      </c>
      <c r="AN128" s="107" t="s">
        <v>1617</v>
      </c>
      <c r="AO128" s="104" t="s">
        <v>1390</v>
      </c>
      <c r="AP128" s="104" t="s">
        <v>1062</v>
      </c>
      <c r="AQ128" s="107" t="s">
        <v>1459</v>
      </c>
      <c r="AR128" s="104"/>
      <c r="AS128" s="104"/>
      <c r="AT128" s="104"/>
      <c r="AU128" s="104"/>
      <c r="AV128" s="104"/>
      <c r="AW128" s="104"/>
      <c r="AX128" s="104"/>
      <c r="AY128" s="104"/>
      <c r="AZ128" s="104"/>
      <c r="BA128" s="104"/>
      <c r="BB128" s="66"/>
      <c r="BC128" s="103" t="n">
        <v>-1</v>
      </c>
      <c r="BD128" s="103" t="n">
        <v>1</v>
      </c>
      <c r="BE128" s="103" t="n">
        <v>2</v>
      </c>
      <c r="BF128" s="103" t="n">
        <v>3</v>
      </c>
      <c r="BG128" s="103" t="n">
        <v>4</v>
      </c>
      <c r="BH128" s="103" t="n">
        <v>5</v>
      </c>
      <c r="BI128" s="103"/>
      <c r="BJ128" s="103"/>
      <c r="BK128" s="103"/>
      <c r="BL128" s="103"/>
      <c r="BM128" s="103"/>
      <c r="BN128" s="103"/>
      <c r="BO128" s="103"/>
      <c r="BP128" s="103"/>
      <c r="BQ128" s="103"/>
      <c r="BR128" s="103"/>
      <c r="BS128" s="104" t="n">
        <v>-1</v>
      </c>
      <c r="BT128" s="104" t="n">
        <v>1</v>
      </c>
      <c r="BU128" s="104" t="n">
        <v>2</v>
      </c>
      <c r="BV128" s="104" t="n">
        <v>3</v>
      </c>
      <c r="BW128" s="104" t="n">
        <v>4</v>
      </c>
      <c r="BX128" s="104" t="n">
        <v>5</v>
      </c>
      <c r="BY128" s="104"/>
      <c r="BZ128" s="104"/>
      <c r="CA128" s="104"/>
      <c r="CB128" s="104"/>
      <c r="CC128" s="104"/>
      <c r="CD128" s="104"/>
      <c r="CE128" s="104"/>
      <c r="CF128" s="104"/>
      <c r="CG128" s="104"/>
      <c r="CH128" s="104"/>
      <c r="CJ128" s="95"/>
      <c r="CK128" s="95"/>
      <c r="CL128" s="95"/>
      <c r="CM128" s="95"/>
      <c r="CN128" s="95"/>
      <c r="CO128" s="95"/>
      <c r="CP128" s="95"/>
      <c r="CQ128" s="95"/>
      <c r="CR128" s="95"/>
      <c r="CS128" s="95"/>
      <c r="CT128" s="95"/>
      <c r="CU128" s="95"/>
      <c r="CV128" s="95"/>
      <c r="CW128" s="95"/>
      <c r="CX128" s="95"/>
      <c r="CY128" s="95"/>
      <c r="CZ128" s="95"/>
      <c r="DA128" s="95"/>
      <c r="DB128" s="95"/>
      <c r="DC128" s="95"/>
      <c r="DD128" s="95"/>
      <c r="DE128" s="95"/>
      <c r="DF128" s="95"/>
      <c r="DG128" s="95"/>
      <c r="DL128" s="108"/>
      <c r="DM128" s="108"/>
      <c r="DN128" s="109" t="str">
        <f aca="false">"D6.scenario.defInput["""&amp;B128&amp;"""] = {  "&amp;E$2&amp;":"""&amp;E128&amp;""",  "&amp;C$2&amp;":"""&amp;CLEAN(SUBSTITUTE(C128,"""",""""))&amp;""",  "&amp;F$2&amp;":"""&amp;F128&amp;""",  "&amp;H$2&amp;":"""&amp;CLEAN(SUBSTITUTE(H128,"""",""""))&amp;""", "&amp;J$2&amp;":"""&amp;J128&amp;""", "&amp;L$2&amp;":"""&amp;L128&amp;""", "&amp;M$2&amp;":"""&amp;M128&amp;""", "&amp;N$2&amp;":"""&amp;N128&amp;""", "&amp;O$2&amp;":"""&amp;O128&amp;""", "&amp;P$2&amp;":"""&amp;P128&amp;""", "&amp;Q$2&amp;":"""&amp;Q128&amp;""", "&amp;R$2&amp;":"""&amp;R128&amp;""", d11t:"""&amp;CJ128&amp;""",d11p:"""&amp;CK128&amp;""",d12t:"""&amp;CL128&amp;""",d12p:"""&amp;CM128&amp;""",d13t:"""&amp;CN128&amp;""",d13p:"""&amp;CO128&amp;""",d1w:"""&amp;CP128&amp;""",d1d:"""&amp;CQ128&amp;""", d21t:"""&amp;CR128&amp;""",d21p:"""&amp;CS128&amp;""",d22t:"""&amp;CT128&amp;""",d22p:"""&amp;CU128&amp;""",d23t:"""&amp;CV128&amp;""",d23p:"""&amp;CW128&amp;""",d2w:"""&amp;CX128&amp;""",d2d:"""&amp;CY128&amp;""", d31t:"""&amp;CZ128&amp;""",d31p:"""&amp;DA128&amp;""",d32t:"""&amp;DB128&amp;""",d32p:"""&amp;DC128&amp;""",d33t:"""&amp;DD128&amp;""",d33p:"""&amp;DE128&amp;""",d3w:"""&amp;DF128&amp;""",d3d:"""&amp;DG128&amp;"""}; "</f>
        <v>D6.scenario.defInput["i402"] = {  cons:"consDRsum",  title:"乾燥機の種類",  unit:"",  text:"乾燥機の種類は何ですか", inputType:"sel402", right:"", postfix:"", nodata:"", varType:"Number", min:"", max:"", defaultValue:"-1", d11t:"",d11p:"",d12t:"",d12p:"",d13t:"",d13p:"",d1w:"",d1d:"", d21t:"",d21p:"",d22t:"",d22p:"",d23t:"",d23p:"",d2w:"",d2d:"", d31t:"",d31p:"",d32t:"",d32p:"",d33t:"",d33p:"",d3w:"",d3d:""}; </v>
      </c>
      <c r="DO128" s="110"/>
      <c r="DP128" s="110"/>
      <c r="DQ128" s="111" t="str">
        <f aca="false">"D6.scenario.defSelectValue["""&amp;U128&amp;"""]= [ """&amp;CLEAN(V128)&amp;""", """&amp;CLEAN(W128)&amp;IF(X128="","",""", """&amp;CLEAN(X128))&amp;IF(Y128="","",""", """&amp;CLEAN(Y128))&amp;IF(Z128="","",""", """&amp;CLEAN(Z128))&amp;IF(AA128="","",""", """&amp;CLEAN(AA128))&amp;IF(AB128="","",""", """&amp;CLEAN(AB128))&amp;IF(AC128="","",""", """&amp;CLEAN(AC128))&amp;IF(AD128="","",""", """&amp;CLEAN(AD128))&amp;IF(AE128="","",""", """&amp;CLEAN(AE128))&amp;IF(AF128="","",""", """&amp;CLEAN(AF128))&amp;IF(AG128="","",""", """&amp;CLEAN(AG128))&amp;IF(AH128="","",""", """&amp;CLEAN(AH128))&amp;IF(AI128="","",""", """&amp;CLEAN(AI128))&amp;IF(AJ128="","",""", """&amp;CLEAN(AJ128))&amp;IF(AK128="","",""", """&amp;CLEAN(AK128))&amp;""" ];"</f>
        <v>D6.scenario.defSelectValue["sel402"]= [ "選んで下さい", "電気(ヒートポンプ式）", "電気", "ガス", "わからない", "持っていない" ];</v>
      </c>
      <c r="DR128" s="112"/>
      <c r="DS128" s="112"/>
      <c r="DT128" s="112" t="str">
        <f aca="false">"D6.scenario.defSelectData['"&amp;U128&amp;"']= [ '"&amp;BC128&amp;"', '"&amp;BD128&amp;"', '"&amp;BE128&amp;IF(BF128="","","', '"&amp;BF128)&amp;IF(BG128="","","', '"&amp;BG128)&amp;IF(BH128="","","', '"&amp;BH128)&amp;IF(BI128="","","', '"&amp;BI128)&amp;IF(BJ128="","","', '"&amp;BJ128)&amp;IF(BK128="","","', '"&amp;BK128)&amp;IF(BL128="","","', '"&amp;BL128)&amp;IF(BM128="","","', '"&amp;BM128)&amp;IF(BN128="","","', '"&amp;BN128)&amp;IF(BO128="","","', '"&amp;BO128)&amp;IF(BP128="","","', '"&amp;BP128)&amp;IF(BQ128="","","', '"&amp;BQ128)&amp;IF(BR128="","","', '"&amp;BR128)&amp;"' ];"</f>
        <v>D6.scenario.defSelectData['sel402']= [ '-1', '1', '2', '3', '4', '5' ];</v>
      </c>
    </row>
    <row r="129" s="88" customFormat="true" ht="43.5" hidden="false" customHeight="true" outlineLevel="0" collapsed="false">
      <c r="A129" s="66"/>
      <c r="B129" s="105" t="s">
        <v>1703</v>
      </c>
      <c r="C129" s="103" t="s">
        <v>1704</v>
      </c>
      <c r="D129" s="104" t="s">
        <v>1704</v>
      </c>
      <c r="E129" s="115" t="s">
        <v>266</v>
      </c>
      <c r="F129" s="103"/>
      <c r="G129" s="104"/>
      <c r="H129" s="103" t="s">
        <v>1705</v>
      </c>
      <c r="I129" s="104" t="s">
        <v>1705</v>
      </c>
      <c r="J129" s="103" t="str">
        <f aca="false">IF(K129="","",K129)</f>
        <v>sel403</v>
      </c>
      <c r="K129" s="104" t="str">
        <f aca="false">"sel"&amp;MID($B129,2,5)</f>
        <v>sel403</v>
      </c>
      <c r="L129" s="105"/>
      <c r="M129" s="105"/>
      <c r="N129" s="105"/>
      <c r="O129" s="95" t="s">
        <v>931</v>
      </c>
      <c r="P129" s="105"/>
      <c r="Q129" s="105"/>
      <c r="R129" s="95" t="n">
        <v>-1</v>
      </c>
      <c r="S129" s="66"/>
      <c r="T129" s="66"/>
      <c r="U129" s="106" t="str">
        <f aca="false">J129</f>
        <v>sel403</v>
      </c>
      <c r="V129" s="103" t="s">
        <v>979</v>
      </c>
      <c r="W129" s="103" t="s">
        <v>1706</v>
      </c>
      <c r="X129" s="103" t="s">
        <v>1707</v>
      </c>
      <c r="Y129" s="103" t="s">
        <v>1708</v>
      </c>
      <c r="Z129" s="103" t="s">
        <v>1709</v>
      </c>
      <c r="AA129" s="103" t="s">
        <v>1062</v>
      </c>
      <c r="AB129" s="103"/>
      <c r="AC129" s="103"/>
      <c r="AD129" s="103"/>
      <c r="AE129" s="103"/>
      <c r="AF129" s="103"/>
      <c r="AG129" s="103"/>
      <c r="AH129" s="103"/>
      <c r="AI129" s="103"/>
      <c r="AJ129" s="103"/>
      <c r="AK129" s="103"/>
      <c r="AL129" s="104" t="s">
        <v>979</v>
      </c>
      <c r="AM129" s="107" t="s">
        <v>1706</v>
      </c>
      <c r="AN129" s="107" t="s">
        <v>1707</v>
      </c>
      <c r="AO129" s="107" t="s">
        <v>1708</v>
      </c>
      <c r="AP129" s="107" t="s">
        <v>1709</v>
      </c>
      <c r="AQ129" s="104" t="s">
        <v>1062</v>
      </c>
      <c r="AR129" s="104"/>
      <c r="AS129" s="104"/>
      <c r="AT129" s="104"/>
      <c r="AU129" s="104"/>
      <c r="AV129" s="104"/>
      <c r="AW129" s="104"/>
      <c r="AX129" s="104"/>
      <c r="AY129" s="104"/>
      <c r="AZ129" s="104"/>
      <c r="BA129" s="104"/>
      <c r="BB129" s="66"/>
      <c r="BC129" s="103" t="n">
        <v>-1</v>
      </c>
      <c r="BD129" s="103" t="n">
        <v>4</v>
      </c>
      <c r="BE129" s="103" t="n">
        <v>2</v>
      </c>
      <c r="BF129" s="103" t="n">
        <v>1</v>
      </c>
      <c r="BG129" s="103" t="n">
        <v>0.5</v>
      </c>
      <c r="BH129" s="103" t="n">
        <v>1</v>
      </c>
      <c r="BI129" s="103"/>
      <c r="BJ129" s="103"/>
      <c r="BK129" s="103"/>
      <c r="BL129" s="103"/>
      <c r="BM129" s="103"/>
      <c r="BN129" s="103"/>
      <c r="BO129" s="103"/>
      <c r="BP129" s="103"/>
      <c r="BQ129" s="103"/>
      <c r="BR129" s="103"/>
      <c r="BS129" s="104" t="n">
        <v>-1</v>
      </c>
      <c r="BT129" s="104" t="n">
        <v>4</v>
      </c>
      <c r="BU129" s="104" t="n">
        <v>2</v>
      </c>
      <c r="BV129" s="104" t="n">
        <v>1</v>
      </c>
      <c r="BW129" s="104" t="n">
        <v>0.5</v>
      </c>
      <c r="BX129" s="104" t="n">
        <v>1</v>
      </c>
      <c r="BY129" s="104"/>
      <c r="BZ129" s="104"/>
      <c r="CA129" s="104"/>
      <c r="CB129" s="104"/>
      <c r="CC129" s="104"/>
      <c r="CD129" s="104"/>
      <c r="CE129" s="104"/>
      <c r="CF129" s="104"/>
      <c r="CG129" s="104"/>
      <c r="CH129" s="104"/>
      <c r="CJ129" s="95"/>
      <c r="CK129" s="95"/>
      <c r="CL129" s="95"/>
      <c r="CM129" s="95"/>
      <c r="CN129" s="95"/>
      <c r="CO129" s="95"/>
      <c r="CP129" s="95"/>
      <c r="CQ129" s="95"/>
      <c r="CR129" s="95"/>
      <c r="CS129" s="95"/>
      <c r="CT129" s="95"/>
      <c r="CU129" s="95"/>
      <c r="CV129" s="95"/>
      <c r="CW129" s="95"/>
      <c r="CX129" s="95"/>
      <c r="CY129" s="95"/>
      <c r="CZ129" s="95"/>
      <c r="DA129" s="95"/>
      <c r="DB129" s="95"/>
      <c r="DC129" s="95"/>
      <c r="DD129" s="95"/>
      <c r="DE129" s="95"/>
      <c r="DF129" s="95"/>
      <c r="DG129" s="95"/>
      <c r="DL129" s="108"/>
      <c r="DM129" s="108"/>
      <c r="DN129" s="109" t="str">
        <f aca="false">"D6.scenario.defInput["""&amp;B129&amp;"""] = {  "&amp;E$2&amp;":"""&amp;E129&amp;""",  "&amp;C$2&amp;":"""&amp;CLEAN(SUBSTITUTE(C129,"""",""""))&amp;""",  "&amp;F$2&amp;":"""&amp;F129&amp;""",  "&amp;H$2&amp;":"""&amp;CLEAN(SUBSTITUTE(H129,"""",""""))&amp;""", "&amp;J$2&amp;":"""&amp;J129&amp;""", "&amp;L$2&amp;":"""&amp;L129&amp;""", "&amp;M$2&amp;":"""&amp;M129&amp;""", "&amp;N$2&amp;":"""&amp;N129&amp;""", "&amp;O$2&amp;":"""&amp;O129&amp;""", "&amp;P$2&amp;":"""&amp;P129&amp;""", "&amp;Q$2&amp;":"""&amp;Q129&amp;""", "&amp;R$2&amp;":"""&amp;R129&amp;""", d11t:"""&amp;CJ129&amp;""",d11p:"""&amp;CK129&amp;""",d12t:"""&amp;CL129&amp;""",d12p:"""&amp;CM129&amp;""",d13t:"""&amp;CN129&amp;""",d13p:"""&amp;CO129&amp;""",d1w:"""&amp;CP129&amp;""",d1d:"""&amp;CQ129&amp;""", d21t:"""&amp;CR129&amp;""",d21p:"""&amp;CS129&amp;""",d22t:"""&amp;CT129&amp;""",d22p:"""&amp;CU129&amp;""",d23t:"""&amp;CV129&amp;""",d23p:"""&amp;CW129&amp;""",d2w:"""&amp;CX129&amp;""",d2d:"""&amp;CY129&amp;""", d31t:"""&amp;CZ129&amp;""",d31p:"""&amp;DA129&amp;""",d32t:"""&amp;DB129&amp;""",d32p:"""&amp;DC129&amp;""",d33t:"""&amp;DD129&amp;""",d33p:"""&amp;DE129&amp;""",d3w:"""&amp;DF129&amp;""",d3d:"""&amp;DG129&amp;"""}; "</f>
        <v>D6.scenario.defInput["i403"] = {  cons:"consDRsum",  title:"洗濯の頻度",  unit:"",  text:"洗濯機の使い方はどうですか", inputType:"sel403", right:"", postfix:"", nodata:"", varType:"Number", min:"", max:"", defaultValue:"-1", d11t:"",d11p:"",d12t:"",d12p:"",d13t:"",d13p:"",d1w:"",d1d:"", d21t:"",d21p:"",d22t:"",d22p:"",d23t:"",d23p:"",d2w:"",d2d:"", d31t:"",d31p:"",d32t:"",d32p:"",d33t:"",d33p:"",d3w:"",d3d:""}; </v>
      </c>
      <c r="DO129" s="110"/>
      <c r="DP129" s="110"/>
      <c r="DQ129" s="111" t="str">
        <f aca="false">"D6.scenario.defSelectValue["""&amp;U129&amp;"""]= [ """&amp;CLEAN(V129)&amp;""", """&amp;CLEAN(W129)&amp;IF(X129="","",""", """&amp;CLEAN(X129))&amp;IF(Y129="","",""", """&amp;CLEAN(Y129))&amp;IF(Z129="","",""", """&amp;CLEAN(Z129))&amp;IF(AA129="","",""", """&amp;CLEAN(AA129))&amp;IF(AB129="","",""", """&amp;CLEAN(AB129))&amp;IF(AC129="","",""", """&amp;CLEAN(AC129))&amp;IF(AD129="","",""", """&amp;CLEAN(AD129))&amp;IF(AE129="","",""", """&amp;CLEAN(AE129))&amp;IF(AF129="","",""", """&amp;CLEAN(AF129))&amp;IF(AG129="","",""", """&amp;CLEAN(AG129))&amp;IF(AH129="","",""", """&amp;CLEAN(AH129))&amp;IF(AI129="","",""", """&amp;CLEAN(AI129))&amp;IF(AJ129="","",""", """&amp;CLEAN(AJ129))&amp;IF(AK129="","",""", """&amp;CLEAN(AK129))&amp;""" ];"</f>
        <v>D6.scenario.defSelectValue["sel403"]= [ "選んで下さい", "毎日何回も洗濯機を回す", "毎日2回程度洗濯機を回す", "毎日1回洗濯機を回す", "汚れ物がたまったら洗濯機を回す", "わからない" ];</v>
      </c>
      <c r="DR129" s="112"/>
      <c r="DS129" s="112"/>
      <c r="DT129" s="112" t="str">
        <f aca="false">"D6.scenario.defSelectData['"&amp;U129&amp;"']= [ '"&amp;BC129&amp;"', '"&amp;BD129&amp;"', '"&amp;BE129&amp;IF(BF129="","","', '"&amp;BF129)&amp;IF(BG129="","","', '"&amp;BG129)&amp;IF(BH129="","","', '"&amp;BH129)&amp;IF(BI129="","","', '"&amp;BI129)&amp;IF(BJ129="","","', '"&amp;BJ129)&amp;IF(BK129="","","', '"&amp;BK129)&amp;IF(BL129="","","', '"&amp;BL129)&amp;IF(BM129="","","', '"&amp;BM129)&amp;IF(BN129="","","', '"&amp;BN129)&amp;IF(BO129="","","', '"&amp;BO129)&amp;IF(BP129="","","', '"&amp;BP129)&amp;IF(BQ129="","","', '"&amp;BQ129)&amp;IF(BR129="","","', '"&amp;BR129)&amp;"' ];"</f>
        <v>D6.scenario.defSelectData['sel403']= [ '-1', '4', '2', '1', '0.5', '1' ];</v>
      </c>
    </row>
    <row r="130" s="88" customFormat="true" ht="43.5" hidden="false" customHeight="true" outlineLevel="0" collapsed="false">
      <c r="A130" s="66"/>
      <c r="B130" s="105" t="s">
        <v>1710</v>
      </c>
      <c r="C130" s="103" t="s">
        <v>1711</v>
      </c>
      <c r="D130" s="104" t="s">
        <v>1711</v>
      </c>
      <c r="E130" s="115" t="s">
        <v>266</v>
      </c>
      <c r="F130" s="103"/>
      <c r="G130" s="104"/>
      <c r="H130" s="103" t="s">
        <v>1712</v>
      </c>
      <c r="I130" s="104" t="s">
        <v>1712</v>
      </c>
      <c r="J130" s="103" t="str">
        <f aca="false">IF(K130="","",K130)</f>
        <v>sel411</v>
      </c>
      <c r="K130" s="104" t="str">
        <f aca="false">"sel"&amp;MID($B130,2,5)</f>
        <v>sel411</v>
      </c>
      <c r="L130" s="105"/>
      <c r="M130" s="105"/>
      <c r="N130" s="105"/>
      <c r="O130" s="95" t="s">
        <v>931</v>
      </c>
      <c r="P130" s="105"/>
      <c r="Q130" s="105"/>
      <c r="R130" s="95" t="n">
        <v>-1</v>
      </c>
      <c r="S130" s="66"/>
      <c r="T130" s="66"/>
      <c r="U130" s="106" t="str">
        <f aca="false">J130</f>
        <v>sel411</v>
      </c>
      <c r="V130" s="103" t="s">
        <v>979</v>
      </c>
      <c r="W130" s="103" t="s">
        <v>1713</v>
      </c>
      <c r="X130" s="103" t="s">
        <v>1714</v>
      </c>
      <c r="Y130" s="103" t="s">
        <v>1715</v>
      </c>
      <c r="Z130" s="103" t="s">
        <v>1716</v>
      </c>
      <c r="AA130" s="103" t="s">
        <v>1062</v>
      </c>
      <c r="AB130" s="103"/>
      <c r="AC130" s="103"/>
      <c r="AD130" s="103"/>
      <c r="AE130" s="103"/>
      <c r="AF130" s="103"/>
      <c r="AG130" s="103"/>
      <c r="AH130" s="103"/>
      <c r="AI130" s="103"/>
      <c r="AJ130" s="103"/>
      <c r="AK130" s="103"/>
      <c r="AL130" s="104" t="s">
        <v>979</v>
      </c>
      <c r="AM130" s="104" t="s">
        <v>1713</v>
      </c>
      <c r="AN130" s="107" t="s">
        <v>1714</v>
      </c>
      <c r="AO130" s="107" t="s">
        <v>1715</v>
      </c>
      <c r="AP130" s="104" t="s">
        <v>1716</v>
      </c>
      <c r="AQ130" s="107" t="s">
        <v>1062</v>
      </c>
      <c r="AR130" s="104"/>
      <c r="AS130" s="104"/>
      <c r="AT130" s="104"/>
      <c r="AU130" s="104"/>
      <c r="AV130" s="104"/>
      <c r="AW130" s="104"/>
      <c r="AX130" s="104"/>
      <c r="AY130" s="104"/>
      <c r="AZ130" s="104"/>
      <c r="BA130" s="104"/>
      <c r="BB130" s="66"/>
      <c r="BC130" s="103" t="n">
        <v>-1</v>
      </c>
      <c r="BD130" s="103" t="n">
        <v>1</v>
      </c>
      <c r="BE130" s="103" t="n">
        <v>2</v>
      </c>
      <c r="BF130" s="103" t="n">
        <v>3</v>
      </c>
      <c r="BG130" s="103" t="n">
        <v>4</v>
      </c>
      <c r="BH130" s="103" t="n">
        <v>5</v>
      </c>
      <c r="BI130" s="103" t="n">
        <v>6</v>
      </c>
      <c r="BJ130" s="103"/>
      <c r="BK130" s="103"/>
      <c r="BL130" s="103"/>
      <c r="BM130" s="103"/>
      <c r="BN130" s="103"/>
      <c r="BO130" s="103"/>
      <c r="BP130" s="103"/>
      <c r="BQ130" s="103"/>
      <c r="BR130" s="103"/>
      <c r="BS130" s="104" t="n">
        <v>-1</v>
      </c>
      <c r="BT130" s="104" t="n">
        <v>1</v>
      </c>
      <c r="BU130" s="104" t="n">
        <v>2</v>
      </c>
      <c r="BV130" s="104" t="n">
        <v>3</v>
      </c>
      <c r="BW130" s="104" t="n">
        <v>4</v>
      </c>
      <c r="BX130" s="104" t="n">
        <v>5</v>
      </c>
      <c r="BY130" s="104" t="n">
        <v>6</v>
      </c>
      <c r="BZ130" s="104"/>
      <c r="CA130" s="104"/>
      <c r="CB130" s="104"/>
      <c r="CC130" s="104"/>
      <c r="CD130" s="104"/>
      <c r="CE130" s="104"/>
      <c r="CF130" s="104"/>
      <c r="CG130" s="104"/>
      <c r="CH130" s="104"/>
      <c r="CJ130" s="95"/>
      <c r="CK130" s="95"/>
      <c r="CL130" s="95"/>
      <c r="CM130" s="95"/>
      <c r="CN130" s="95"/>
      <c r="CO130" s="95"/>
      <c r="CP130" s="95"/>
      <c r="CQ130" s="95"/>
      <c r="CR130" s="95"/>
      <c r="CS130" s="95"/>
      <c r="CT130" s="95"/>
      <c r="CU130" s="95"/>
      <c r="CV130" s="95"/>
      <c r="CW130" s="95"/>
      <c r="CX130" s="95"/>
      <c r="CY130" s="95"/>
      <c r="CZ130" s="95"/>
      <c r="DA130" s="95"/>
      <c r="DB130" s="95"/>
      <c r="DC130" s="95"/>
      <c r="DD130" s="95"/>
      <c r="DE130" s="95"/>
      <c r="DF130" s="95"/>
      <c r="DG130" s="95"/>
      <c r="DL130" s="108"/>
      <c r="DM130" s="108"/>
      <c r="DN130" s="109" t="str">
        <f aca="false">"D6.scenario.defInput["""&amp;B130&amp;"""] = {  "&amp;E$2&amp;":"""&amp;E130&amp;""",  "&amp;C$2&amp;":"""&amp;CLEAN(SUBSTITUTE(C130,"""",""""))&amp;""",  "&amp;F$2&amp;":"""&amp;F130&amp;""",  "&amp;H$2&amp;":"""&amp;CLEAN(SUBSTITUTE(H130,"""",""""))&amp;""", "&amp;J$2&amp;":"""&amp;J130&amp;""", "&amp;L$2&amp;":"""&amp;L130&amp;""", "&amp;M$2&amp;":"""&amp;M130&amp;""", "&amp;N$2&amp;":"""&amp;N130&amp;""", "&amp;O$2&amp;":"""&amp;O130&amp;""", "&amp;P$2&amp;":"""&amp;P130&amp;""", "&amp;Q$2&amp;":"""&amp;Q130&amp;""", "&amp;R$2&amp;":"""&amp;R130&amp;""", d11t:"""&amp;CJ130&amp;""",d11p:"""&amp;CK130&amp;""",d12t:"""&amp;CL130&amp;""",d12p:"""&amp;CM130&amp;""",d13t:"""&amp;CN130&amp;""",d13p:"""&amp;CO130&amp;""",d1w:"""&amp;CP130&amp;""",d1d:"""&amp;CQ130&amp;""", d21t:"""&amp;CR130&amp;""",d21p:"""&amp;CS130&amp;""",d22t:"""&amp;CT130&amp;""",d22p:"""&amp;CU130&amp;""",d23t:"""&amp;CV130&amp;""",d23p:"""&amp;CW130&amp;""",d2w:"""&amp;CX130&amp;""",d2d:"""&amp;CY130&amp;""", d31t:"""&amp;CZ130&amp;""",d31p:"""&amp;DA130&amp;""",d32t:"""&amp;DB130&amp;""",d32p:"""&amp;DC130&amp;""",d33t:"""&amp;DD130&amp;""",d33p:"""&amp;DE130&amp;""",d3w:"""&amp;DF130&amp;""",d3d:"""&amp;DG130&amp;"""}; "</f>
        <v>D6.scenario.defInput["i411"] = {  cons:"consDRsum",  title:"掃除機の強弱",  unit:"",  text:"掃除機の強弱の設定はどうしていますか", inputType:"sel411", right:"", postfix:"", nodata:"", varType:"Number", min:"", max:"", defaultValue:"-1", d11t:"",d11p:"",d12t:"",d12p:"",d13t:"",d13p:"",d1w:"",d1d:"", d21t:"",d21p:"",d22t:"",d22p:"",d23t:"",d23p:"",d2w:"",d2d:"", d31t:"",d31p:"",d32t:"",d32p:"",d33t:"",d33p:"",d3w:"",d3d:""}; </v>
      </c>
      <c r="DO130" s="110"/>
      <c r="DP130" s="110"/>
      <c r="DQ130" s="111" t="str">
        <f aca="false">"D6.scenario.defSelectValue["""&amp;U130&amp;"""]= [ """&amp;CLEAN(V130)&amp;""", """&amp;CLEAN(W130)&amp;IF(X130="","",""", """&amp;CLEAN(X130))&amp;IF(Y130="","",""", """&amp;CLEAN(Y130))&amp;IF(Z130="","",""", """&amp;CLEAN(Z130))&amp;IF(AA130="","",""", """&amp;CLEAN(AA130))&amp;IF(AB130="","",""", """&amp;CLEAN(AB130))&amp;IF(AC130="","",""", """&amp;CLEAN(AC130))&amp;IF(AD130="","",""", """&amp;CLEAN(AD130))&amp;IF(AE130="","",""", """&amp;CLEAN(AE130))&amp;IF(AF130="","",""", """&amp;CLEAN(AF130))&amp;IF(AG130="","",""", """&amp;CLEAN(AG130))&amp;IF(AH130="","",""", """&amp;CLEAN(AH130))&amp;IF(AI130="","",""", """&amp;CLEAN(AI130))&amp;IF(AJ130="","",""", """&amp;CLEAN(AJ130))&amp;IF(AK130="","",""", """&amp;CLEAN(AK130))&amp;""" ];"</f>
        <v>D6.scenario.defSelectValue["sel411"]= [ "選んで下さい", "ほとんど強で使っている", "場所により使い分けている", "基本、弱で使っている", "設定がない", "わからない" ];</v>
      </c>
      <c r="DR130" s="112"/>
      <c r="DS130" s="112"/>
      <c r="DT130" s="112" t="str">
        <f aca="false">"D6.scenario.defSelectData['"&amp;U130&amp;"']= [ '"&amp;BC130&amp;"', '"&amp;BD130&amp;"', '"&amp;BE130&amp;IF(BF130="","","', '"&amp;BF130)&amp;IF(BG130="","","', '"&amp;BG130)&amp;IF(BH130="","","', '"&amp;BH130)&amp;IF(BI130="","","', '"&amp;BI130)&amp;IF(BJ130="","","', '"&amp;BJ130)&amp;IF(BK130="","","', '"&amp;BK130)&amp;IF(BL130="","","', '"&amp;BL130)&amp;IF(BM130="","","', '"&amp;BM130)&amp;IF(BN130="","","', '"&amp;BN130)&amp;IF(BO130="","","', '"&amp;BO130)&amp;IF(BP130="","","', '"&amp;BP130)&amp;IF(BQ130="","","', '"&amp;BQ130)&amp;IF(BR130="","","', '"&amp;BR130)&amp;"' ];"</f>
        <v>D6.scenario.defSelectData['sel411']= [ '-1', '1', '2', '3', '4', '5', '6' ];</v>
      </c>
    </row>
    <row r="131" s="88" customFormat="true" ht="43.5" hidden="false" customHeight="true" outlineLevel="0" collapsed="false">
      <c r="A131" s="66"/>
      <c r="B131" s="105" t="s">
        <v>1717</v>
      </c>
      <c r="C131" s="103" t="s">
        <v>1718</v>
      </c>
      <c r="D131" s="104" t="s">
        <v>1718</v>
      </c>
      <c r="E131" s="115" t="s">
        <v>266</v>
      </c>
      <c r="F131" s="103" t="s">
        <v>1272</v>
      </c>
      <c r="G131" s="104" t="s">
        <v>1272</v>
      </c>
      <c r="H131" s="103" t="s">
        <v>1719</v>
      </c>
      <c r="I131" s="104" t="s">
        <v>1719</v>
      </c>
      <c r="J131" s="103" t="str">
        <f aca="false">IF(K131="","",K131)</f>
        <v>sel412</v>
      </c>
      <c r="K131" s="104" t="str">
        <f aca="false">"sel"&amp;MID($B131,2,5)</f>
        <v>sel412</v>
      </c>
      <c r="L131" s="105"/>
      <c r="M131" s="105"/>
      <c r="N131" s="105"/>
      <c r="O131" s="95" t="s">
        <v>931</v>
      </c>
      <c r="P131" s="105"/>
      <c r="Q131" s="105"/>
      <c r="R131" s="95" t="n">
        <v>-1</v>
      </c>
      <c r="S131" s="66"/>
      <c r="T131" s="66"/>
      <c r="U131" s="106" t="str">
        <f aca="false">J131</f>
        <v>sel412</v>
      </c>
      <c r="V131" s="103" t="s">
        <v>979</v>
      </c>
      <c r="W131" s="103" t="s">
        <v>1720</v>
      </c>
      <c r="X131" s="103" t="s">
        <v>1275</v>
      </c>
      <c r="Y131" s="103" t="s">
        <v>1276</v>
      </c>
      <c r="Z131" s="103" t="s">
        <v>1277</v>
      </c>
      <c r="AA131" s="103" t="s">
        <v>1279</v>
      </c>
      <c r="AB131" s="103" t="s">
        <v>1400</v>
      </c>
      <c r="AC131" s="103" t="s">
        <v>1721</v>
      </c>
      <c r="AD131" s="103" t="s">
        <v>1062</v>
      </c>
      <c r="AE131" s="103"/>
      <c r="AF131" s="103"/>
      <c r="AG131" s="103"/>
      <c r="AH131" s="103"/>
      <c r="AI131" s="103"/>
      <c r="AJ131" s="103"/>
      <c r="AK131" s="103"/>
      <c r="AL131" s="104" t="s">
        <v>979</v>
      </c>
      <c r="AM131" s="107" t="s">
        <v>1720</v>
      </c>
      <c r="AN131" s="104" t="s">
        <v>1275</v>
      </c>
      <c r="AO131" s="107" t="s">
        <v>1276</v>
      </c>
      <c r="AP131" s="107" t="s">
        <v>1277</v>
      </c>
      <c r="AQ131" s="104" t="s">
        <v>1279</v>
      </c>
      <c r="AR131" s="104" t="s">
        <v>1400</v>
      </c>
      <c r="AS131" s="107" t="s">
        <v>1721</v>
      </c>
      <c r="AT131" s="107" t="s">
        <v>1062</v>
      </c>
      <c r="AU131" s="104"/>
      <c r="AV131" s="104"/>
      <c r="AW131" s="104"/>
      <c r="AX131" s="104"/>
      <c r="AY131" s="104"/>
      <c r="AZ131" s="104"/>
      <c r="BA131" s="104"/>
      <c r="BB131" s="66"/>
      <c r="BC131" s="103" t="n">
        <v>-1</v>
      </c>
      <c r="BD131" s="103" t="n">
        <v>0</v>
      </c>
      <c r="BE131" s="103" t="n">
        <v>5</v>
      </c>
      <c r="BF131" s="103" t="n">
        <v>10</v>
      </c>
      <c r="BG131" s="103" t="n">
        <v>15</v>
      </c>
      <c r="BH131" s="103" t="n">
        <v>30</v>
      </c>
      <c r="BI131" s="103" t="n">
        <v>60</v>
      </c>
      <c r="BJ131" s="103" t="n">
        <v>11</v>
      </c>
      <c r="BK131" s="103" t="n">
        <v>12</v>
      </c>
      <c r="BL131" s="103"/>
      <c r="BM131" s="103"/>
      <c r="BN131" s="103"/>
      <c r="BO131" s="103"/>
      <c r="BP131" s="103"/>
      <c r="BQ131" s="103"/>
      <c r="BR131" s="103"/>
      <c r="BS131" s="104" t="n">
        <v>-1</v>
      </c>
      <c r="BT131" s="104" t="n">
        <v>0</v>
      </c>
      <c r="BU131" s="104" t="n">
        <v>5</v>
      </c>
      <c r="BV131" s="104" t="n">
        <v>10</v>
      </c>
      <c r="BW131" s="104" t="n">
        <v>15</v>
      </c>
      <c r="BX131" s="104" t="n">
        <v>30</v>
      </c>
      <c r="BY131" s="104" t="n">
        <v>60</v>
      </c>
      <c r="BZ131" s="104" t="n">
        <v>11</v>
      </c>
      <c r="CA131" s="104" t="n">
        <v>12</v>
      </c>
      <c r="CB131" s="104"/>
      <c r="CC131" s="104"/>
      <c r="CD131" s="104"/>
      <c r="CE131" s="104"/>
      <c r="CF131" s="104"/>
      <c r="CG131" s="104"/>
      <c r="CH131" s="104"/>
      <c r="CJ131" s="95"/>
      <c r="CK131" s="95"/>
      <c r="CL131" s="95"/>
      <c r="CM131" s="95"/>
      <c r="CN131" s="95"/>
      <c r="CO131" s="95"/>
      <c r="CP131" s="95"/>
      <c r="CQ131" s="95"/>
      <c r="CR131" s="95"/>
      <c r="CS131" s="95"/>
      <c r="CT131" s="95"/>
      <c r="CU131" s="95"/>
      <c r="CV131" s="95"/>
      <c r="CW131" s="95"/>
      <c r="CX131" s="95"/>
      <c r="CY131" s="95"/>
      <c r="CZ131" s="95"/>
      <c r="DA131" s="95"/>
      <c r="DB131" s="95"/>
      <c r="DC131" s="95"/>
      <c r="DD131" s="95"/>
      <c r="DE131" s="95"/>
      <c r="DF131" s="95"/>
      <c r="DG131" s="95"/>
      <c r="DL131" s="108"/>
      <c r="DM131" s="108"/>
      <c r="DN131" s="109" t="str">
        <f aca="false">"D6.scenario.defInput["""&amp;B131&amp;"""] = {  "&amp;E$2&amp;":"""&amp;E131&amp;""",  "&amp;C$2&amp;":"""&amp;CLEAN(SUBSTITUTE(C131,"""",""""))&amp;""",  "&amp;F$2&amp;":"""&amp;F131&amp;""",  "&amp;H$2&amp;":"""&amp;CLEAN(SUBSTITUTE(H131,"""",""""))&amp;""", "&amp;J$2&amp;":"""&amp;J131&amp;""", "&amp;L$2&amp;":"""&amp;L131&amp;""", "&amp;M$2&amp;":"""&amp;M131&amp;""", "&amp;N$2&amp;":"""&amp;N131&amp;""", "&amp;O$2&amp;":"""&amp;O131&amp;""", "&amp;P$2&amp;":"""&amp;P131&amp;""", "&amp;Q$2&amp;":"""&amp;Q131&amp;""", "&amp;R$2&amp;":"""&amp;R131&amp;""", d11t:"""&amp;CJ131&amp;""",d11p:"""&amp;CK131&amp;""",d12t:"""&amp;CL131&amp;""",d12p:"""&amp;CM131&amp;""",d13t:"""&amp;CN131&amp;""",d13p:"""&amp;CO131&amp;""",d1w:"""&amp;CP131&amp;""",d1d:"""&amp;CQ131&amp;""", d21t:"""&amp;CR131&amp;""",d21p:"""&amp;CS131&amp;""",d22t:"""&amp;CT131&amp;""",d22p:"""&amp;CU131&amp;""",d23t:"""&amp;CV131&amp;""",d23p:"""&amp;CW131&amp;""",d2w:"""&amp;CX131&amp;""",d2d:"""&amp;CY131&amp;""", d31t:"""&amp;CZ131&amp;""",d31p:"""&amp;DA131&amp;""",d32t:"""&amp;DB131&amp;""",d32p:"""&amp;DC131&amp;""",d33t:"""&amp;DD131&amp;""",d33p:"""&amp;DE131&amp;""",d3w:"""&amp;DF131&amp;""",d3d:"""&amp;DG131&amp;"""}; "</f>
        <v>D6.scenario.defInput["i412"] = {  cons:"consDRsum",  title:"掃除機利用",  unit:"分/日",  text:"掃除機を１日にどの程度使いますか", inputType:"sel412", right:"", postfix:"", nodata:"", varType:"Number", min:"", max:"", defaultValue:"-1", d11t:"",d11p:"",d12t:"",d12p:"",d13t:"",d13p:"",d1w:"",d1d:"", d21t:"",d21p:"",d22t:"",d22p:"",d23t:"",d23p:"",d2w:"",d2d:"", d31t:"",d31p:"",d32t:"",d32p:"",d33t:"",d33p:"",d3w:"",d3d:""}; </v>
      </c>
      <c r="DO131" s="110"/>
      <c r="DP131" s="110"/>
      <c r="DQ131" s="111" t="str">
        <f aca="false">"D6.scenario.defSelectValue["""&amp;U131&amp;"""]= [ """&amp;CLEAN(V131)&amp;""", """&amp;CLEAN(W131)&amp;IF(X131="","",""", """&amp;CLEAN(X131))&amp;IF(Y131="","",""", """&amp;CLEAN(Y131))&amp;IF(Z131="","",""", """&amp;CLEAN(Z131))&amp;IF(AA131="","",""", """&amp;CLEAN(AA131))&amp;IF(AB131="","",""", """&amp;CLEAN(AB131))&amp;IF(AC131="","",""", """&amp;CLEAN(AC131))&amp;IF(AD131="","",""", """&amp;CLEAN(AD131))&amp;IF(AE131="","",""", """&amp;CLEAN(AE131))&amp;IF(AF131="","",""", """&amp;CLEAN(AF131))&amp;IF(AG131="","",""", """&amp;CLEAN(AG131))&amp;IF(AH131="","",""", """&amp;CLEAN(AH131))&amp;IF(AI131="","",""", """&amp;CLEAN(AI131))&amp;IF(AJ131="","",""", """&amp;CLEAN(AJ131))&amp;IF(AK131="","",""", """&amp;CLEAN(AK131))&amp;""" ];"</f>
        <v>D6.scenario.defSelectValue["sel412"]= [ "選んで下さい", "ほとんど使わない", "5分", "10分", "15分", "30分", "1時間", "ロボット掃除機を使用", "わからない" ];</v>
      </c>
      <c r="DR131" s="112"/>
      <c r="DS131" s="112"/>
      <c r="DT131" s="112" t="str">
        <f aca="false">"D6.scenario.defSelectData['"&amp;U131&amp;"']= [ '"&amp;BC131&amp;"', '"&amp;BD131&amp;"', '"&amp;BE131&amp;IF(BF131="","","', '"&amp;BF131)&amp;IF(BG131="","","', '"&amp;BG131)&amp;IF(BH131="","","', '"&amp;BH131)&amp;IF(BI131="","","', '"&amp;BI131)&amp;IF(BJ131="","","', '"&amp;BJ131)&amp;IF(BK131="","","', '"&amp;BK131)&amp;IF(BL131="","","', '"&amp;BL131)&amp;IF(BM131="","","', '"&amp;BM131)&amp;IF(BN131="","","', '"&amp;BN131)&amp;IF(BO131="","","', '"&amp;BO131)&amp;IF(BP131="","","', '"&amp;BP131)&amp;IF(BQ131="","","', '"&amp;BQ131)&amp;IF(BR131="","","', '"&amp;BR131)&amp;"' ];"</f>
        <v>D6.scenario.defSelectData['sel412']= [ '-1', '0', '5', '10', '15', '30', '60', '11', '12' ];</v>
      </c>
    </row>
    <row r="132" s="88" customFormat="true" ht="43.5" hidden="false" customHeight="true" outlineLevel="0" collapsed="false">
      <c r="A132" s="66"/>
      <c r="B132" s="95" t="s">
        <v>1722</v>
      </c>
      <c r="C132" s="103" t="s">
        <v>1723</v>
      </c>
      <c r="D132" s="104" t="s">
        <v>1723</v>
      </c>
      <c r="E132" s="95" t="s">
        <v>273</v>
      </c>
      <c r="F132" s="103" t="s">
        <v>1724</v>
      </c>
      <c r="G132" s="104" t="s">
        <v>1724</v>
      </c>
      <c r="H132" s="103" t="s">
        <v>1725</v>
      </c>
      <c r="I132" s="104" t="s">
        <v>1725</v>
      </c>
      <c r="J132" s="103" t="str">
        <f aca="false">IF(K132="","",K132)</f>
        <v>sel501</v>
      </c>
      <c r="K132" s="104" t="str">
        <f aca="false">"sel"&amp;MID($B132,2,5)</f>
        <v>sel501</v>
      </c>
      <c r="L132" s="105"/>
      <c r="M132" s="105"/>
      <c r="N132" s="105"/>
      <c r="O132" s="95" t="s">
        <v>931</v>
      </c>
      <c r="P132" s="105"/>
      <c r="Q132" s="105"/>
      <c r="R132" s="95" t="n">
        <v>-1</v>
      </c>
      <c r="S132" s="66"/>
      <c r="T132" s="66"/>
      <c r="U132" s="106" t="s">
        <v>1726</v>
      </c>
      <c r="V132" s="103" t="s">
        <v>979</v>
      </c>
      <c r="W132" s="103" t="s">
        <v>1727</v>
      </c>
      <c r="X132" s="103" t="s">
        <v>828</v>
      </c>
      <c r="Y132" s="103" t="s">
        <v>1728</v>
      </c>
      <c r="Z132" s="103"/>
      <c r="AA132" s="103"/>
      <c r="AB132" s="103"/>
      <c r="AC132" s="103"/>
      <c r="AD132" s="103"/>
      <c r="AE132" s="103"/>
      <c r="AF132" s="103"/>
      <c r="AG132" s="103"/>
      <c r="AH132" s="103"/>
      <c r="AI132" s="103"/>
      <c r="AJ132" s="103"/>
      <c r="AK132" s="103"/>
      <c r="AL132" s="104" t="s">
        <v>979</v>
      </c>
      <c r="AM132" s="104" t="s">
        <v>1727</v>
      </c>
      <c r="AN132" s="107" t="s">
        <v>828</v>
      </c>
      <c r="AO132" s="107" t="s">
        <v>1728</v>
      </c>
      <c r="AP132" s="104"/>
      <c r="AQ132" s="104"/>
      <c r="AR132" s="104"/>
      <c r="AS132" s="104"/>
      <c r="AT132" s="104"/>
      <c r="AU132" s="104"/>
      <c r="AV132" s="104"/>
      <c r="AW132" s="104"/>
      <c r="AX132" s="104"/>
      <c r="AY132" s="104"/>
      <c r="AZ132" s="104"/>
      <c r="BA132" s="104"/>
      <c r="BB132" s="66"/>
      <c r="BC132" s="103" t="n">
        <v>-1</v>
      </c>
      <c r="BD132" s="103" t="n">
        <v>1</v>
      </c>
      <c r="BE132" s="103" t="n">
        <v>2</v>
      </c>
      <c r="BF132" s="103" t="n">
        <v>3</v>
      </c>
      <c r="BG132" s="103"/>
      <c r="BH132" s="103"/>
      <c r="BI132" s="103"/>
      <c r="BJ132" s="103"/>
      <c r="BK132" s="103"/>
      <c r="BL132" s="103"/>
      <c r="BM132" s="103"/>
      <c r="BN132" s="103"/>
      <c r="BO132" s="103"/>
      <c r="BP132" s="103"/>
      <c r="BQ132" s="103"/>
      <c r="BR132" s="103"/>
      <c r="BS132" s="104" t="n">
        <v>-1</v>
      </c>
      <c r="BT132" s="104" t="n">
        <v>1</v>
      </c>
      <c r="BU132" s="104" t="n">
        <v>2</v>
      </c>
      <c r="BV132" s="104" t="n">
        <v>3</v>
      </c>
      <c r="BW132" s="104"/>
      <c r="BX132" s="104"/>
      <c r="BY132" s="104"/>
      <c r="BZ132" s="104"/>
      <c r="CA132" s="104"/>
      <c r="CB132" s="104"/>
      <c r="CC132" s="104"/>
      <c r="CD132" s="104"/>
      <c r="CE132" s="104"/>
      <c r="CF132" s="104"/>
      <c r="CG132" s="104"/>
      <c r="CH132" s="104"/>
      <c r="CJ132" s="95"/>
      <c r="CK132" s="95"/>
      <c r="CL132" s="95"/>
      <c r="CM132" s="95"/>
      <c r="CN132" s="95"/>
      <c r="CO132" s="95"/>
      <c r="CP132" s="95"/>
      <c r="CQ132" s="95"/>
      <c r="CR132" s="95" t="n">
        <v>3</v>
      </c>
      <c r="CS132" s="95" t="n">
        <v>2</v>
      </c>
      <c r="CT132" s="95" t="n">
        <v>2</v>
      </c>
      <c r="CU132" s="95" t="n">
        <v>1</v>
      </c>
      <c r="CV132" s="95"/>
      <c r="CW132" s="95"/>
      <c r="CX132" s="95" t="n">
        <v>1</v>
      </c>
      <c r="CY132" s="95" t="n">
        <v>1</v>
      </c>
      <c r="CZ132" s="95"/>
      <c r="DA132" s="95"/>
      <c r="DB132" s="95"/>
      <c r="DC132" s="95"/>
      <c r="DD132" s="95"/>
      <c r="DE132" s="95"/>
      <c r="DF132" s="95"/>
      <c r="DG132" s="95"/>
      <c r="DL132" s="108"/>
      <c r="DM132" s="108"/>
      <c r="DN132" s="109" t="str">
        <f aca="false">"D6.scenario.defInput["""&amp;B132&amp;"""] = {  "&amp;E$2&amp;":"""&amp;E132&amp;""",  "&amp;C$2&amp;":"""&amp;CLEAN(SUBSTITUTE(C132,"""",""""))&amp;""",  "&amp;F$2&amp;":"""&amp;F132&amp;""",  "&amp;H$2&amp;":"""&amp;CLEAN(SUBSTITUTE(H132,"""",""""))&amp;""", "&amp;J$2&amp;":"""&amp;J132&amp;""", "&amp;L$2&amp;":"""&amp;L132&amp;""", "&amp;M$2&amp;":"""&amp;M132&amp;""", "&amp;N$2&amp;":"""&amp;N132&amp;""", "&amp;O$2&amp;":"""&amp;O132&amp;""", "&amp;P$2&amp;":"""&amp;P132&amp;""", "&amp;Q$2&amp;":"""&amp;Q132&amp;""", "&amp;R$2&amp;":"""&amp;R132&amp;""", d11t:"""&amp;CJ132&amp;""",d11p:"""&amp;CK132&amp;""",d12t:"""&amp;CL132&amp;""",d12p:"""&amp;CM132&amp;""",d13t:"""&amp;CN132&amp;""",d13p:"""&amp;CO132&amp;""",d1w:"""&amp;CP132&amp;""",d1d:"""&amp;CQ132&amp;""", d21t:"""&amp;CR132&amp;""",d21p:"""&amp;CS132&amp;""",d22t:"""&amp;CT132&amp;""",d22p:"""&amp;CU132&amp;""",d23t:"""&amp;CV132&amp;""",d23p:"""&amp;CW132&amp;""",d2w:"""&amp;CX132&amp;""",d2d:"""&amp;CY132&amp;""", d31t:"""&amp;CZ132&amp;""",d31p:"""&amp;DA132&amp;""",d32t:"""&amp;DB132&amp;""",d32p:"""&amp;DC132&amp;""",d33t:"""&amp;DD132&amp;""",d33p:"""&amp;DE132&amp;""",d3w:"""&amp;DF132&amp;""",d3d:"""&amp;DG132&amp;"""}; "</f>
        <v>D6.scenario.defInput["i501"] = {  cons:"consLIsum",  title:"リビングの照明",  unit:"W",  text:"リビングの照明器具には、主に何を使っていますか。", inputType:"sel501", right:"", postfix:"", nodata:"", varType:"Number", min:"", max:"", defaultValue:"-1", d11t:"",d11p:"",d12t:"",d12p:"",d13t:"",d13p:"",d1w:"",d1d:"", d21t:"3",d21p:"2",d22t:"2",d22p:"1",d23t:"",d23p:"",d2w:"1",d2d:"1", d31t:"",d31p:"",d32t:"",d32p:"",d33t:"",d33p:"",d3w:"",d3d:""}; </v>
      </c>
      <c r="DO132" s="110"/>
      <c r="DP132" s="110"/>
      <c r="DQ132" s="111" t="str">
        <f aca="false">"D6.scenario.defSelectValue["""&amp;U132&amp;"""]= [ """&amp;CLEAN(V132)&amp;""", """&amp;CLEAN(W132)&amp;IF(X132="","",""", """&amp;CLEAN(X132))&amp;IF(Y132="","",""", """&amp;CLEAN(Y132))&amp;IF(Z132="","",""", """&amp;CLEAN(Z132))&amp;IF(AA132="","",""", """&amp;CLEAN(AA132))&amp;IF(AB132="","",""", """&amp;CLEAN(AB132))&amp;IF(AC132="","",""", """&amp;CLEAN(AC132))&amp;IF(AD132="","",""", """&amp;CLEAN(AD132))&amp;IF(AE132="","",""", """&amp;CLEAN(AE132))&amp;IF(AF132="","",""", """&amp;CLEAN(AF132))&amp;IF(AG132="","",""", """&amp;CLEAN(AG132))&amp;IF(AH132="","",""", """&amp;CLEAN(AH132))&amp;IF(AI132="","",""", """&amp;CLEAN(AI132))&amp;IF(AJ132="","",""", """&amp;CLEAN(AJ132))&amp;IF(AK132="","",""", """&amp;CLEAN(AK132))&amp;""" ];"</f>
        <v>D6.scenario.defSelectValue["sel501"]= [ "選んで下さい", "白熱電球", "蛍光灯", "LED" ];</v>
      </c>
      <c r="DR132" s="112"/>
      <c r="DS132" s="112"/>
      <c r="DT132" s="112" t="str">
        <f aca="false">"D6.scenario.defSelectData['"&amp;U132&amp;"']= [ '"&amp;BC132&amp;"', '"&amp;BD132&amp;"', '"&amp;BE132&amp;IF(BF132="","","', '"&amp;BF132)&amp;IF(BG132="","","', '"&amp;BG132)&amp;IF(BH132="","","', '"&amp;BH132)&amp;IF(BI132="","","', '"&amp;BI132)&amp;IF(BJ132="","","', '"&amp;BJ132)&amp;IF(BK132="","","', '"&amp;BK132)&amp;IF(BL132="","","', '"&amp;BL132)&amp;IF(BM132="","","', '"&amp;BM132)&amp;IF(BN132="","","', '"&amp;BN132)&amp;IF(BO132="","","', '"&amp;BO132)&amp;IF(BP132="","","', '"&amp;BP132)&amp;IF(BQ132="","","', '"&amp;BQ132)&amp;IF(BR132="","","', '"&amp;BR132)&amp;"' ];"</f>
        <v>D6.scenario.defSelectData['sel501']= [ '-1', '1', '2', '3' ];</v>
      </c>
    </row>
    <row r="133" s="88" customFormat="true" ht="43.5" hidden="false" customHeight="true" outlineLevel="0" collapsed="false">
      <c r="A133" s="66"/>
      <c r="B133" s="95" t="s">
        <v>1729</v>
      </c>
      <c r="C133" s="103" t="s">
        <v>1730</v>
      </c>
      <c r="D133" s="104" t="s">
        <v>1730</v>
      </c>
      <c r="E133" s="95" t="s">
        <v>273</v>
      </c>
      <c r="F133" s="103"/>
      <c r="G133" s="104"/>
      <c r="H133" s="103" t="s">
        <v>1731</v>
      </c>
      <c r="I133" s="104" t="s">
        <v>1731</v>
      </c>
      <c r="J133" s="103" t="str">
        <f aca="false">IF(K133="","",K133)</f>
        <v>sel502</v>
      </c>
      <c r="K133" s="104" t="str">
        <f aca="false">"sel"&amp;MID($B133,2,5)</f>
        <v>sel502</v>
      </c>
      <c r="L133" s="105"/>
      <c r="M133" s="105"/>
      <c r="N133" s="105"/>
      <c r="O133" s="95" t="s">
        <v>931</v>
      </c>
      <c r="P133" s="105"/>
      <c r="Q133" s="105"/>
      <c r="R133" s="95" t="n">
        <v>-1</v>
      </c>
      <c r="S133" s="66"/>
      <c r="T133" s="66"/>
      <c r="U133" s="106" t="str">
        <f aca="false">J133</f>
        <v>sel502</v>
      </c>
      <c r="V133" s="103" t="s">
        <v>979</v>
      </c>
      <c r="W133" s="103" t="s">
        <v>1732</v>
      </c>
      <c r="X133" s="103" t="s">
        <v>1733</v>
      </c>
      <c r="Y133" s="103" t="s">
        <v>1734</v>
      </c>
      <c r="Z133" s="103" t="s">
        <v>1735</v>
      </c>
      <c r="AA133" s="103"/>
      <c r="AB133" s="103"/>
      <c r="AC133" s="103"/>
      <c r="AD133" s="103"/>
      <c r="AE133" s="103"/>
      <c r="AF133" s="103"/>
      <c r="AG133" s="103"/>
      <c r="AH133" s="103"/>
      <c r="AI133" s="103"/>
      <c r="AJ133" s="103"/>
      <c r="AK133" s="103"/>
      <c r="AL133" s="104" t="s">
        <v>979</v>
      </c>
      <c r="AM133" s="104" t="s">
        <v>1732</v>
      </c>
      <c r="AN133" s="107" t="s">
        <v>1733</v>
      </c>
      <c r="AO133" s="107" t="s">
        <v>1734</v>
      </c>
      <c r="AP133" s="107" t="s">
        <v>1735</v>
      </c>
      <c r="AQ133" s="104"/>
      <c r="AR133" s="104"/>
      <c r="AS133" s="104"/>
      <c r="AT133" s="104"/>
      <c r="AU133" s="104"/>
      <c r="AV133" s="104"/>
      <c r="AW133" s="104"/>
      <c r="AX133" s="104"/>
      <c r="AY133" s="104"/>
      <c r="AZ133" s="104"/>
      <c r="BA133" s="104"/>
      <c r="BB133" s="66"/>
      <c r="BC133" s="103" t="n">
        <v>-1</v>
      </c>
      <c r="BD133" s="103" t="n">
        <v>10</v>
      </c>
      <c r="BE133" s="103" t="n">
        <v>6</v>
      </c>
      <c r="BF133" s="103" t="n">
        <v>2</v>
      </c>
      <c r="BG133" s="103" t="n">
        <v>0</v>
      </c>
      <c r="BH133" s="103"/>
      <c r="BI133" s="103"/>
      <c r="BJ133" s="103"/>
      <c r="BK133" s="103"/>
      <c r="BL133" s="103"/>
      <c r="BM133" s="103"/>
      <c r="BN133" s="103"/>
      <c r="BO133" s="103"/>
      <c r="BP133" s="103"/>
      <c r="BQ133" s="103"/>
      <c r="BR133" s="103"/>
      <c r="BS133" s="104" t="n">
        <v>-1</v>
      </c>
      <c r="BT133" s="104" t="n">
        <v>10</v>
      </c>
      <c r="BU133" s="104" t="n">
        <v>6</v>
      </c>
      <c r="BV133" s="104" t="n">
        <v>2</v>
      </c>
      <c r="BW133" s="104" t="n">
        <v>0</v>
      </c>
      <c r="BX133" s="104"/>
      <c r="BY133" s="104"/>
      <c r="BZ133" s="104"/>
      <c r="CA133" s="104"/>
      <c r="CB133" s="104"/>
      <c r="CC133" s="104"/>
      <c r="CD133" s="104"/>
      <c r="CE133" s="104"/>
      <c r="CF133" s="104"/>
      <c r="CG133" s="104"/>
      <c r="CH133" s="104"/>
      <c r="CJ133" s="95" t="n">
        <v>7</v>
      </c>
      <c r="CK133" s="95" t="n">
        <v>0</v>
      </c>
      <c r="CL133" s="95" t="n">
        <v>1</v>
      </c>
      <c r="CM133" s="95" t="n">
        <v>1</v>
      </c>
      <c r="CN133" s="95" t="n">
        <v>0</v>
      </c>
      <c r="CO133" s="95" t="n">
        <v>2</v>
      </c>
      <c r="CP133" s="95" t="n">
        <v>1</v>
      </c>
      <c r="CQ133" s="95" t="n">
        <v>1</v>
      </c>
      <c r="CR133" s="95"/>
      <c r="CS133" s="95"/>
      <c r="CT133" s="95"/>
      <c r="CU133" s="95"/>
      <c r="CV133" s="95"/>
      <c r="CW133" s="95"/>
      <c r="CX133" s="95"/>
      <c r="CY133" s="95"/>
      <c r="CZ133" s="95" t="n">
        <v>7</v>
      </c>
      <c r="DA133" s="95" t="n">
        <v>0</v>
      </c>
      <c r="DB133" s="95" t="n">
        <v>1</v>
      </c>
      <c r="DC133" s="95" t="n">
        <v>1</v>
      </c>
      <c r="DD133" s="95" t="n">
        <v>0</v>
      </c>
      <c r="DE133" s="95" t="n">
        <v>2</v>
      </c>
      <c r="DF133" s="95" t="n">
        <v>1</v>
      </c>
      <c r="DG133" s="95" t="n">
        <v>1</v>
      </c>
      <c r="DL133" s="108"/>
      <c r="DM133" s="108"/>
      <c r="DN133" s="109" t="str">
        <f aca="false">"D6.scenario.defInput["""&amp;B133&amp;"""] = {  "&amp;E$2&amp;":"""&amp;E133&amp;""",  "&amp;C$2&amp;":"""&amp;CLEAN(SUBSTITUTE(C133,"""",""""))&amp;""",  "&amp;F$2&amp;":"""&amp;F133&amp;""",  "&amp;H$2&amp;":"""&amp;CLEAN(SUBSTITUTE(H133,"""",""""))&amp;""", "&amp;J$2&amp;":"""&amp;J133&amp;""", "&amp;L$2&amp;":"""&amp;L133&amp;""", "&amp;M$2&amp;":"""&amp;M133&amp;""", "&amp;N$2&amp;":"""&amp;N133&amp;""", "&amp;O$2&amp;":"""&amp;O133&amp;""", "&amp;P$2&amp;":"""&amp;P133&amp;""", "&amp;Q$2&amp;":"""&amp;Q133&amp;""", "&amp;R$2&amp;":"""&amp;R133&amp;""", d11t:"""&amp;CJ133&amp;""",d11p:"""&amp;CK133&amp;""",d12t:"""&amp;CL133&amp;""",d12p:"""&amp;CM133&amp;""",d13t:"""&amp;CN133&amp;""",d13p:"""&amp;CO133&amp;""",d1w:"""&amp;CP133&amp;""",d1d:"""&amp;CQ133&amp;""", d21t:"""&amp;CR133&amp;""",d21p:"""&amp;CS133&amp;""",d22t:"""&amp;CT133&amp;""",d22p:"""&amp;CU133&amp;""",d23t:"""&amp;CV133&amp;""",d23p:"""&amp;CW133&amp;""",d2w:"""&amp;CX133&amp;""",d2d:"""&amp;CY133&amp;""", d31t:"""&amp;CZ133&amp;""",d31p:"""&amp;DA133&amp;""",d32t:"""&amp;DB133&amp;""",d32p:"""&amp;DC133&amp;""",d33t:"""&amp;DD133&amp;""",d33p:"""&amp;DE133&amp;""",d3w:"""&amp;DF133&amp;""",d3d:"""&amp;DG133&amp;"""}; "</f>
        <v>D6.scenario.defInput["i502"] = {  cons:"consLIsum",  title:"不在部屋の照明",  unit:"",  text:"人がいない部屋の照明は消していますか", inputType:"sel502", right:"", postfix:"", nodata:"", varType:"Number", min:"", max:"", defaultValue:"-1", d11t:"7",d11p:"0",d12t:"1",d12p:"1",d13t:"0",d13p:"2",d1w:"1",d1d:"1", d21t:"",d21p:"",d22t:"",d22p:"",d23t:"",d23p:"",d2w:"",d2d:"", d31t:"7",d31p:"0",d32t:"1",d32p:"1",d33t:"0",d33p:"2",d3w:"1",d3d:"1"}; </v>
      </c>
      <c r="DO133" s="110"/>
      <c r="DP133" s="110"/>
      <c r="DQ133" s="111" t="str">
        <f aca="false">"D6.scenario.defSelectValue["""&amp;U133&amp;"""]= [ """&amp;CLEAN(V133)&amp;""", """&amp;CLEAN(W133)&amp;IF(X133="","",""", """&amp;CLEAN(X133))&amp;IF(Y133="","",""", """&amp;CLEAN(Y133))&amp;IF(Z133="","",""", """&amp;CLEAN(Z133))&amp;IF(AA133="","",""", """&amp;CLEAN(AA133))&amp;IF(AB133="","",""", """&amp;CLEAN(AB133))&amp;IF(AC133="","",""", """&amp;CLEAN(AC133))&amp;IF(AD133="","",""", """&amp;CLEAN(AD133))&amp;IF(AE133="","",""", """&amp;CLEAN(AE133))&amp;IF(AF133="","",""", """&amp;CLEAN(AF133))&amp;IF(AG133="","",""", """&amp;CLEAN(AG133))&amp;IF(AH133="","",""", """&amp;CLEAN(AH133))&amp;IF(AI133="","",""", """&amp;CLEAN(AI133))&amp;IF(AJ133="","",""", """&amp;CLEAN(AJ133))&amp;IF(AK133="","",""", """&amp;CLEAN(AK133))&amp;""" ];"</f>
        <v>D6.scenario.defSelectValue["sel502"]= [ "選んで下さい", "全てつける", "つけっぱなしの場所もある", "ほとんど消している", "消している" ];</v>
      </c>
      <c r="DR133" s="112"/>
      <c r="DS133" s="112"/>
      <c r="DT133" s="112" t="str">
        <f aca="false">"D6.scenario.defSelectData['"&amp;U133&amp;"']= [ '"&amp;BC133&amp;"', '"&amp;BD133&amp;"', '"&amp;BE133&amp;IF(BF133="","","', '"&amp;BF133)&amp;IF(BG133="","","', '"&amp;BG133)&amp;IF(BH133="","","', '"&amp;BH133)&amp;IF(BI133="","","', '"&amp;BI133)&amp;IF(BJ133="","","', '"&amp;BJ133)&amp;IF(BK133="","","', '"&amp;BK133)&amp;IF(BL133="","","', '"&amp;BL133)&amp;IF(BM133="","","', '"&amp;BM133)&amp;IF(BN133="","","', '"&amp;BN133)&amp;IF(BO133="","","', '"&amp;BO133)&amp;IF(BP133="","","', '"&amp;BP133)&amp;IF(BQ133="","","', '"&amp;BQ133)&amp;IF(BR133="","","', '"&amp;BR133)&amp;"' ];"</f>
        <v>D6.scenario.defSelectData['sel502']= [ '-1', '10', '6', '2', '0' ];</v>
      </c>
    </row>
    <row r="134" s="88" customFormat="true" ht="43.5" hidden="false" customHeight="true" outlineLevel="0" collapsed="false">
      <c r="A134" s="66"/>
      <c r="B134" s="95" t="s">
        <v>1736</v>
      </c>
      <c r="C134" s="103" t="s">
        <v>1737</v>
      </c>
      <c r="D134" s="104" t="s">
        <v>1737</v>
      </c>
      <c r="E134" s="95" t="s">
        <v>275</v>
      </c>
      <c r="F134" s="103"/>
      <c r="G134" s="104"/>
      <c r="H134" s="103" t="s">
        <v>1738</v>
      </c>
      <c r="I134" s="104"/>
      <c r="J134" s="103" t="str">
        <f aca="false">IF(K134="","",K134)</f>
        <v>sel511</v>
      </c>
      <c r="K134" s="104" t="str">
        <f aca="false">"sel"&amp;MID($B134,2,5)</f>
        <v>sel511</v>
      </c>
      <c r="L134" s="95" t="n">
        <v>1</v>
      </c>
      <c r="M134" s="95"/>
      <c r="N134" s="95"/>
      <c r="O134" s="95" t="s">
        <v>931</v>
      </c>
      <c r="P134" s="95"/>
      <c r="Q134" s="95"/>
      <c r="R134" s="95"/>
      <c r="S134" s="66"/>
      <c r="T134" s="66"/>
      <c r="U134" s="106" t="str">
        <f aca="false">J134</f>
        <v>sel511</v>
      </c>
      <c r="V134" s="103" t="s">
        <v>979</v>
      </c>
      <c r="W134" s="103" t="s">
        <v>1739</v>
      </c>
      <c r="X134" s="103" t="s">
        <v>1740</v>
      </c>
      <c r="Y134" s="103" t="s">
        <v>1741</v>
      </c>
      <c r="Z134" s="103" t="s">
        <v>239</v>
      </c>
      <c r="AA134" s="103" t="s">
        <v>1742</v>
      </c>
      <c r="AB134" s="103" t="s">
        <v>1743</v>
      </c>
      <c r="AC134" s="103" t="s">
        <v>1744</v>
      </c>
      <c r="AD134" s="103"/>
      <c r="AE134" s="103"/>
      <c r="AF134" s="103"/>
      <c r="AG134" s="103"/>
      <c r="AH134" s="103"/>
      <c r="AI134" s="103"/>
      <c r="AJ134" s="103"/>
      <c r="AK134" s="103"/>
      <c r="AL134" s="104" t="s">
        <v>979</v>
      </c>
      <c r="AM134" s="104" t="s">
        <v>1739</v>
      </c>
      <c r="AN134" s="104" t="s">
        <v>1740</v>
      </c>
      <c r="AO134" s="104" t="s">
        <v>1741</v>
      </c>
      <c r="AP134" s="104" t="s">
        <v>239</v>
      </c>
      <c r="AQ134" s="104" t="s">
        <v>1742</v>
      </c>
      <c r="AR134" s="104" t="s">
        <v>1743</v>
      </c>
      <c r="AS134" s="104" t="s">
        <v>1744</v>
      </c>
      <c r="AT134" s="104"/>
      <c r="AU134" s="104"/>
      <c r="AV134" s="104"/>
      <c r="AW134" s="104"/>
      <c r="AX134" s="104"/>
      <c r="AY134" s="104"/>
      <c r="AZ134" s="104"/>
      <c r="BA134" s="104"/>
      <c r="BB134" s="66"/>
      <c r="BC134" s="103" t="n">
        <v>-1</v>
      </c>
      <c r="BD134" s="103" t="n">
        <v>1</v>
      </c>
      <c r="BE134" s="103" t="n">
        <v>2</v>
      </c>
      <c r="BF134" s="103" t="n">
        <v>3</v>
      </c>
      <c r="BG134" s="103" t="n">
        <v>4</v>
      </c>
      <c r="BH134" s="103" t="n">
        <v>5</v>
      </c>
      <c r="BI134" s="103" t="n">
        <v>6</v>
      </c>
      <c r="BJ134" s="103" t="n">
        <v>7</v>
      </c>
      <c r="BK134" s="103" t="n">
        <v>8</v>
      </c>
      <c r="BL134" s="103" t="n">
        <v>9</v>
      </c>
      <c r="BM134" s="103" t="n">
        <v>10</v>
      </c>
      <c r="BN134" s="103"/>
      <c r="BO134" s="103"/>
      <c r="BP134" s="103"/>
      <c r="BQ134" s="103"/>
      <c r="BR134" s="103"/>
      <c r="BS134" s="104" t="n">
        <v>-1</v>
      </c>
      <c r="BT134" s="104" t="n">
        <v>1</v>
      </c>
      <c r="BU134" s="104" t="n">
        <v>2</v>
      </c>
      <c r="BV134" s="104" t="n">
        <v>3</v>
      </c>
      <c r="BW134" s="104" t="n">
        <v>4</v>
      </c>
      <c r="BX134" s="104" t="n">
        <v>5</v>
      </c>
      <c r="BY134" s="104" t="n">
        <v>6</v>
      </c>
      <c r="BZ134" s="104" t="n">
        <v>7</v>
      </c>
      <c r="CA134" s="104" t="n">
        <v>8</v>
      </c>
      <c r="CB134" s="104" t="n">
        <v>9</v>
      </c>
      <c r="CC134" s="104" t="n">
        <v>10</v>
      </c>
      <c r="CD134" s="104"/>
      <c r="CE134" s="104"/>
      <c r="CF134" s="104"/>
      <c r="CG134" s="104"/>
      <c r="CH134" s="104"/>
      <c r="CJ134" s="95"/>
      <c r="CK134" s="95"/>
      <c r="CL134" s="95"/>
      <c r="CM134" s="95"/>
      <c r="CN134" s="95"/>
      <c r="CO134" s="95"/>
      <c r="CP134" s="95"/>
      <c r="CQ134" s="95"/>
      <c r="CR134" s="95"/>
      <c r="CS134" s="95"/>
      <c r="CT134" s="95"/>
      <c r="CU134" s="95"/>
      <c r="CV134" s="95"/>
      <c r="CW134" s="95"/>
      <c r="CX134" s="95"/>
      <c r="CY134" s="95"/>
      <c r="CZ134" s="95"/>
      <c r="DA134" s="95"/>
      <c r="DB134" s="95"/>
      <c r="DC134" s="95"/>
      <c r="DD134" s="95"/>
      <c r="DE134" s="95"/>
      <c r="DF134" s="95"/>
      <c r="DG134" s="95"/>
      <c r="DL134" s="108"/>
      <c r="DM134" s="108"/>
      <c r="DN134" s="109" t="str">
        <f aca="false">"D6.scenario.defInput["""&amp;B134&amp;"""] = {  "&amp;E$2&amp;":"""&amp;E134&amp;""",  "&amp;C$2&amp;":"""&amp;CLEAN(SUBSTITUTE(C134,"""",""""))&amp;""",  "&amp;F$2&amp;":"""&amp;F134&amp;""",  "&amp;H$2&amp;":"""&amp;CLEAN(SUBSTITUTE(H134,"""",""""))&amp;""", "&amp;J$2&amp;":"""&amp;J134&amp;""", "&amp;L$2&amp;":"""&amp;L134&amp;""", "&amp;M$2&amp;":"""&amp;M134&amp;""", "&amp;N$2&amp;":"""&amp;N134&amp;""", "&amp;O$2&amp;":"""&amp;O134&amp;""", "&amp;P$2&amp;":"""&amp;P134&amp;""", "&amp;Q$2&amp;":"""&amp;Q134&amp;""", "&amp;R$2&amp;":"""&amp;R134&amp;""", d11t:"""&amp;CJ134&amp;""",d11p:"""&amp;CK134&amp;""",d12t:"""&amp;CL134&amp;""",d12p:"""&amp;CM134&amp;""",d13t:"""&amp;CN134&amp;""",d13p:"""&amp;CO134&amp;""",d1w:"""&amp;CP134&amp;""",d1d:"""&amp;CQ134&amp;""", d21t:"""&amp;CR134&amp;""",d21p:"""&amp;CS134&amp;""",d22t:"""&amp;CT134&amp;""",d22p:"""&amp;CU134&amp;""",d23t:"""&amp;CV134&amp;""",d23p:"""&amp;CW134&amp;""",d2w:"""&amp;CX134&amp;""",d2d:"""&amp;CY134&amp;""", d31t:"""&amp;CZ134&amp;""",d31p:"""&amp;DA134&amp;""",d32t:"""&amp;DB134&amp;""",d32p:"""&amp;DC134&amp;""",d33t:"""&amp;DD134&amp;""",d33p:"""&amp;DE134&amp;""",d3w:"""&amp;DF134&amp;""",d3d:"""&amp;DG134&amp;"""}; "</f>
        <v>D6.scenario.defInput["i511"] = {  cons:"consLI",  title:"照明の場所",  unit:"",  text:"照明を使っている場所はどこですか", inputType:"sel511", right:"1", postfix:"", nodata:"", varType:"Number", min:"", max:"", defaultValue:"", d11t:"",d11p:"",d12t:"",d12p:"",d13t:"",d13p:"",d1w:"",d1d:"", d21t:"",d21p:"",d22t:"",d22p:"",d23t:"",d23p:"",d2w:"",d2d:"", d31t:"",d31p:"",d32t:"",d32p:"",d33t:"",d33p:"",d3w:"",d3d:""}; </v>
      </c>
      <c r="DO134" s="110"/>
      <c r="DP134" s="110"/>
      <c r="DQ134" s="111" t="str">
        <f aca="false">"D6.scenario.defSelectValue["""&amp;U134&amp;"""]= [ """&amp;CLEAN(V134)&amp;""", """&amp;CLEAN(W134)&amp;IF(X134="","",""", """&amp;CLEAN(X134))&amp;IF(Y134="","",""", """&amp;CLEAN(Y134))&amp;IF(Z134="","",""", """&amp;CLEAN(Z134))&amp;IF(AA134="","",""", """&amp;CLEAN(AA134))&amp;IF(AB134="","",""", """&amp;CLEAN(AB134))&amp;IF(AC134="","",""", """&amp;CLEAN(AC134))&amp;IF(AD134="","",""", """&amp;CLEAN(AD134))&amp;IF(AE134="","",""", """&amp;CLEAN(AE134))&amp;IF(AF134="","",""", """&amp;CLEAN(AF134))&amp;IF(AG134="","",""", """&amp;CLEAN(AG134))&amp;IF(AH134="","",""", """&amp;CLEAN(AH134))&amp;IF(AI134="","",""", """&amp;CLEAN(AI134))&amp;IF(AJ134="","",""", """&amp;CLEAN(AJ134))&amp;IF(AK134="","",""", """&amp;CLEAN(AK134))&amp;""" ];"</f>
        <v>D6.scenario.defSelectValue["sel511"]= [ "選んで下さい", "玄関", "門灯", "廊下", "トイレ", "脱衣所", "風呂", "居室" ];</v>
      </c>
      <c r="DR134" s="112"/>
      <c r="DS134" s="112"/>
      <c r="DT134" s="112" t="str">
        <f aca="false">"D6.scenario.defSelectData['"&amp;U134&amp;"']= [ '"&amp;BC134&amp;"', '"&amp;BD134&amp;"', '"&amp;BE134&amp;IF(BF134="","","', '"&amp;BF134)&amp;IF(BG134="","","', '"&amp;BG134)&amp;IF(BH134="","","', '"&amp;BH134)&amp;IF(BI134="","","', '"&amp;BI134)&amp;IF(BJ134="","","', '"&amp;BJ134)&amp;IF(BK134="","","', '"&amp;BK134)&amp;IF(BL134="","","', '"&amp;BL134)&amp;IF(BM134="","","', '"&amp;BM134)&amp;IF(BN134="","","', '"&amp;BN134)&amp;IF(BO134="","","', '"&amp;BO134)&amp;IF(BP134="","","', '"&amp;BP134)&amp;IF(BQ134="","","', '"&amp;BQ134)&amp;IF(BR134="","","', '"&amp;BR134)&amp;"' ];"</f>
        <v>D6.scenario.defSelectData['sel511']= [ '-1', '1', '2', '3', '4', '5', '6', '7', '8', '9', '10' ];</v>
      </c>
    </row>
    <row r="135" s="88" customFormat="true" ht="43.5" hidden="false" customHeight="true" outlineLevel="0" collapsed="false">
      <c r="A135" s="66"/>
      <c r="B135" s="95" t="s">
        <v>1745</v>
      </c>
      <c r="C135" s="103" t="s">
        <v>1746</v>
      </c>
      <c r="D135" s="104" t="s">
        <v>1746</v>
      </c>
      <c r="E135" s="95" t="s">
        <v>275</v>
      </c>
      <c r="F135" s="103"/>
      <c r="G135" s="104"/>
      <c r="H135" s="103" t="s">
        <v>1747</v>
      </c>
      <c r="I135" s="104"/>
      <c r="J135" s="103" t="str">
        <f aca="false">IF(K135="","",K135)</f>
        <v>sel512</v>
      </c>
      <c r="K135" s="104" t="str">
        <f aca="false">"sel"&amp;MID($B135,2,5)</f>
        <v>sel512</v>
      </c>
      <c r="L135" s="95"/>
      <c r="M135" s="95"/>
      <c r="N135" s="95"/>
      <c r="O135" s="95" t="s">
        <v>931</v>
      </c>
      <c r="P135" s="95"/>
      <c r="Q135" s="95"/>
      <c r="R135" s="95" t="n">
        <v>-1</v>
      </c>
      <c r="S135" s="66"/>
      <c r="T135" s="66"/>
      <c r="U135" s="106" t="str">
        <f aca="false">J135</f>
        <v>sel512</v>
      </c>
      <c r="V135" s="103" t="s">
        <v>979</v>
      </c>
      <c r="W135" s="103" t="s">
        <v>1727</v>
      </c>
      <c r="X135" s="103" t="s">
        <v>1748</v>
      </c>
      <c r="Y135" s="103" t="s">
        <v>828</v>
      </c>
      <c r="Z135" s="103" t="s">
        <v>1749</v>
      </c>
      <c r="AA135" s="103" t="s">
        <v>1728</v>
      </c>
      <c r="AB135" s="103" t="s">
        <v>1750</v>
      </c>
      <c r="AC135" s="103"/>
      <c r="AD135" s="103"/>
      <c r="AE135" s="103"/>
      <c r="AF135" s="103"/>
      <c r="AG135" s="103"/>
      <c r="AH135" s="103"/>
      <c r="AI135" s="103"/>
      <c r="AJ135" s="103"/>
      <c r="AK135" s="103"/>
      <c r="AL135" s="104" t="s">
        <v>979</v>
      </c>
      <c r="AM135" s="104" t="s">
        <v>1727</v>
      </c>
      <c r="AN135" s="107" t="s">
        <v>1748</v>
      </c>
      <c r="AO135" s="107" t="s">
        <v>828</v>
      </c>
      <c r="AP135" s="104" t="s">
        <v>1749</v>
      </c>
      <c r="AQ135" s="107" t="s">
        <v>1728</v>
      </c>
      <c r="AR135" s="107" t="s">
        <v>1750</v>
      </c>
      <c r="AS135" s="104"/>
      <c r="AT135" s="104"/>
      <c r="AU135" s="104"/>
      <c r="AV135" s="104"/>
      <c r="AW135" s="104"/>
      <c r="AX135" s="104"/>
      <c r="AY135" s="104"/>
      <c r="AZ135" s="104"/>
      <c r="BA135" s="104"/>
      <c r="BB135" s="66"/>
      <c r="BC135" s="103" t="n">
        <v>-1</v>
      </c>
      <c r="BD135" s="103" t="n">
        <v>1</v>
      </c>
      <c r="BE135" s="103" t="n">
        <v>2</v>
      </c>
      <c r="BF135" s="103" t="n">
        <v>3</v>
      </c>
      <c r="BG135" s="103" t="n">
        <v>4</v>
      </c>
      <c r="BH135" s="103" t="n">
        <v>5</v>
      </c>
      <c r="BI135" s="103" t="n">
        <v>6</v>
      </c>
      <c r="BJ135" s="103"/>
      <c r="BK135" s="103"/>
      <c r="BL135" s="103"/>
      <c r="BM135" s="103"/>
      <c r="BN135" s="103"/>
      <c r="BO135" s="103"/>
      <c r="BP135" s="103"/>
      <c r="BQ135" s="103"/>
      <c r="BR135" s="103"/>
      <c r="BS135" s="104" t="n">
        <v>-1</v>
      </c>
      <c r="BT135" s="104" t="n">
        <v>1</v>
      </c>
      <c r="BU135" s="104" t="n">
        <v>2</v>
      </c>
      <c r="BV135" s="104" t="n">
        <v>3</v>
      </c>
      <c r="BW135" s="104" t="n">
        <v>4</v>
      </c>
      <c r="BX135" s="104" t="n">
        <v>5</v>
      </c>
      <c r="BY135" s="104" t="n">
        <v>6</v>
      </c>
      <c r="BZ135" s="104"/>
      <c r="CA135" s="104"/>
      <c r="CB135" s="104"/>
      <c r="CC135" s="104"/>
      <c r="CD135" s="104"/>
      <c r="CE135" s="104"/>
      <c r="CF135" s="104"/>
      <c r="CG135" s="104"/>
      <c r="CH135" s="104"/>
      <c r="CJ135" s="95"/>
      <c r="CK135" s="95"/>
      <c r="CL135" s="95"/>
      <c r="CM135" s="95"/>
      <c r="CN135" s="95"/>
      <c r="CO135" s="95"/>
      <c r="CP135" s="95"/>
      <c r="CQ135" s="95"/>
      <c r="CR135" s="95"/>
      <c r="CS135" s="95"/>
      <c r="CT135" s="95"/>
      <c r="CU135" s="95"/>
      <c r="CV135" s="95"/>
      <c r="CW135" s="95"/>
      <c r="CX135" s="95"/>
      <c r="CY135" s="95"/>
      <c r="CZ135" s="95"/>
      <c r="DA135" s="95"/>
      <c r="DB135" s="95"/>
      <c r="DC135" s="95"/>
      <c r="DD135" s="95"/>
      <c r="DE135" s="95"/>
      <c r="DF135" s="95"/>
      <c r="DG135" s="95"/>
      <c r="DL135" s="108"/>
      <c r="DM135" s="108"/>
      <c r="DN135" s="109" t="str">
        <f aca="false">"D6.scenario.defInput["""&amp;B135&amp;"""] = {  "&amp;E$2&amp;":"""&amp;E135&amp;""",  "&amp;C$2&amp;":"""&amp;CLEAN(SUBSTITUTE(C135,"""",""""))&amp;""",  "&amp;F$2&amp;":"""&amp;F135&amp;""",  "&amp;H$2&amp;":"""&amp;CLEAN(SUBSTITUTE(H135,"""",""""))&amp;""", "&amp;J$2&amp;":"""&amp;J135&amp;""", "&amp;L$2&amp;":"""&amp;L135&amp;""", "&amp;M$2&amp;":"""&amp;M135&amp;""", "&amp;N$2&amp;":"""&amp;N135&amp;""", "&amp;O$2&amp;":"""&amp;O135&amp;""", "&amp;P$2&amp;":"""&amp;P135&amp;""", "&amp;Q$2&amp;":"""&amp;Q135&amp;""", "&amp;R$2&amp;":"""&amp;R135&amp;""", d11t:"""&amp;CJ135&amp;""",d11p:"""&amp;CK135&amp;""",d12t:"""&amp;CL135&amp;""",d12p:"""&amp;CM135&amp;""",d13t:"""&amp;CN135&amp;""",d13p:"""&amp;CO135&amp;""",d1w:"""&amp;CP135&amp;""",d1d:"""&amp;CQ135&amp;""", d21t:"""&amp;CR135&amp;""",d21p:"""&amp;CS135&amp;""",d22t:"""&amp;CT135&amp;""",d22p:"""&amp;CU135&amp;""",d23t:"""&amp;CV135&amp;""",d23p:"""&amp;CW135&amp;""",d2w:"""&amp;CX135&amp;""",d2d:"""&amp;CY135&amp;""", d31t:"""&amp;CZ135&amp;""",d31p:"""&amp;DA135&amp;""",d32t:"""&amp;DB135&amp;""",d32p:"""&amp;DC135&amp;""",d33t:"""&amp;DD135&amp;""",d33p:"""&amp;DE135&amp;""",d3w:"""&amp;DF135&amp;""",d3d:"""&amp;DG135&amp;"""}; "</f>
        <v>D6.scenario.defInput["i512"] = {  cons:"consLI",  title:"照明の種類",  unit:"",  text:"使っている照明の種類は何ですか", inputType:"sel512", right:"", postfix:"", nodata:"", varType:"Number", min:"", max:"", defaultValue:"-1", d11t:"",d11p:"",d12t:"",d12p:"",d13t:"",d13p:"",d1w:"",d1d:"", d21t:"",d21p:"",d22t:"",d22p:"",d23t:"",d23p:"",d2w:"",d2d:"", d31t:"",d31p:"",d32t:"",d32p:"",d33t:"",d33p:"",d3w:"",d3d:""}; </v>
      </c>
      <c r="DO135" s="110"/>
      <c r="DP135" s="110"/>
      <c r="DQ135" s="111" t="str">
        <f aca="false">"D6.scenario.defSelectValue["""&amp;U135&amp;"""]= [ """&amp;CLEAN(V135)&amp;""", """&amp;CLEAN(W135)&amp;IF(X135="","",""", """&amp;CLEAN(X135))&amp;IF(Y135="","",""", """&amp;CLEAN(Y135))&amp;IF(Z135="","",""", """&amp;CLEAN(Z135))&amp;IF(AA135="","",""", """&amp;CLEAN(AA135))&amp;IF(AB135="","",""", """&amp;CLEAN(AB135))&amp;IF(AC135="","",""", """&amp;CLEAN(AC135))&amp;IF(AD135="","",""", """&amp;CLEAN(AD135))&amp;IF(AE135="","",""", """&amp;CLEAN(AE135))&amp;IF(AF135="","",""", """&amp;CLEAN(AF135))&amp;IF(AG135="","",""", """&amp;CLEAN(AG135))&amp;IF(AH135="","",""", """&amp;CLEAN(AH135))&amp;IF(AI135="","",""", """&amp;CLEAN(AI135))&amp;IF(AJ135="","",""", """&amp;CLEAN(AJ135))&amp;IF(AK135="","",""", """&amp;CLEAN(AK135))&amp;""" ];"</f>
        <v>D6.scenario.defSelectValue["sel512"]= [ "選んで下さい", "白熱電球", "電球形蛍光灯", "蛍光灯", "細管蛍光灯", "LED", "センサー式ライト" ];</v>
      </c>
      <c r="DR135" s="112"/>
      <c r="DS135" s="112"/>
      <c r="DT135" s="112" t="str">
        <f aca="false">"D6.scenario.defSelectData['"&amp;U135&amp;"']= [ '"&amp;BC135&amp;"', '"&amp;BD135&amp;"', '"&amp;BE135&amp;IF(BF135="","","', '"&amp;BF135)&amp;IF(BG135="","","', '"&amp;BG135)&amp;IF(BH135="","","', '"&amp;BH135)&amp;IF(BI135="","","', '"&amp;BI135)&amp;IF(BJ135="","","', '"&amp;BJ135)&amp;IF(BK135="","","', '"&amp;BK135)&amp;IF(BL135="","","', '"&amp;BL135)&amp;IF(BM135="","","', '"&amp;BM135)&amp;IF(BN135="","","', '"&amp;BN135)&amp;IF(BO135="","","', '"&amp;BO135)&amp;IF(BP135="","","', '"&amp;BP135)&amp;IF(BQ135="","","', '"&amp;BQ135)&amp;IF(BR135="","","', '"&amp;BR135)&amp;"' ];"</f>
        <v>D6.scenario.defSelectData['sel512']= [ '-1', '1', '2', '3', '4', '5', '6' ];</v>
      </c>
    </row>
    <row r="136" s="88" customFormat="true" ht="43.5" hidden="false" customHeight="true" outlineLevel="0" collapsed="false">
      <c r="A136" s="66"/>
      <c r="B136" s="95" t="s">
        <v>1751</v>
      </c>
      <c r="C136" s="103" t="s">
        <v>1752</v>
      </c>
      <c r="D136" s="104" t="s">
        <v>1752</v>
      </c>
      <c r="E136" s="95" t="s">
        <v>275</v>
      </c>
      <c r="F136" s="103" t="s">
        <v>1724</v>
      </c>
      <c r="G136" s="104" t="s">
        <v>1724</v>
      </c>
      <c r="H136" s="103" t="s">
        <v>1753</v>
      </c>
      <c r="I136" s="104"/>
      <c r="J136" s="103" t="str">
        <f aca="false">IF(K136="","",K136)</f>
        <v>sel513</v>
      </c>
      <c r="K136" s="104" t="str">
        <f aca="false">"sel"&amp;MID($B136,2,5)</f>
        <v>sel513</v>
      </c>
      <c r="L136" s="95" t="n">
        <v>1</v>
      </c>
      <c r="M136" s="95" t="s">
        <v>931</v>
      </c>
      <c r="N136" s="95"/>
      <c r="O136" s="95" t="s">
        <v>931</v>
      </c>
      <c r="P136" s="95"/>
      <c r="Q136" s="95"/>
      <c r="R136" s="95" t="n">
        <v>-1</v>
      </c>
      <c r="S136" s="66"/>
      <c r="T136" s="66"/>
      <c r="U136" s="106" t="str">
        <f aca="false">J136</f>
        <v>sel513</v>
      </c>
      <c r="V136" s="103" t="s">
        <v>979</v>
      </c>
      <c r="W136" s="103" t="s">
        <v>1754</v>
      </c>
      <c r="X136" s="103" t="s">
        <v>1755</v>
      </c>
      <c r="Y136" s="103" t="s">
        <v>1756</v>
      </c>
      <c r="Z136" s="103" t="s">
        <v>1757</v>
      </c>
      <c r="AA136" s="103" t="s">
        <v>1758</v>
      </c>
      <c r="AB136" s="103" t="s">
        <v>1759</v>
      </c>
      <c r="AC136" s="103" t="s">
        <v>1760</v>
      </c>
      <c r="AD136" s="103" t="s">
        <v>1761</v>
      </c>
      <c r="AE136" s="103" t="s">
        <v>1762</v>
      </c>
      <c r="AF136" s="103"/>
      <c r="AG136" s="103"/>
      <c r="AH136" s="103"/>
      <c r="AI136" s="103"/>
      <c r="AJ136" s="103"/>
      <c r="AK136" s="103"/>
      <c r="AL136" s="104" t="s">
        <v>979</v>
      </c>
      <c r="AM136" s="104" t="s">
        <v>1754</v>
      </c>
      <c r="AN136" s="104" t="s">
        <v>1755</v>
      </c>
      <c r="AO136" s="104" t="s">
        <v>1756</v>
      </c>
      <c r="AP136" s="107" t="s">
        <v>1757</v>
      </c>
      <c r="AQ136" s="107" t="s">
        <v>1758</v>
      </c>
      <c r="AR136" s="104" t="s">
        <v>1759</v>
      </c>
      <c r="AS136" s="104" t="s">
        <v>1760</v>
      </c>
      <c r="AT136" s="104" t="s">
        <v>1761</v>
      </c>
      <c r="AU136" s="104" t="s">
        <v>1762</v>
      </c>
      <c r="AV136" s="104"/>
      <c r="AW136" s="104"/>
      <c r="AX136" s="104"/>
      <c r="AY136" s="104"/>
      <c r="AZ136" s="104"/>
      <c r="BA136" s="104"/>
      <c r="BB136" s="66"/>
      <c r="BC136" s="103" t="n">
        <v>-1</v>
      </c>
      <c r="BD136" s="103" t="n">
        <v>5</v>
      </c>
      <c r="BE136" s="103" t="n">
        <v>10</v>
      </c>
      <c r="BF136" s="103" t="n">
        <v>15</v>
      </c>
      <c r="BG136" s="103" t="n">
        <v>20</v>
      </c>
      <c r="BH136" s="103" t="n">
        <v>30</v>
      </c>
      <c r="BI136" s="103" t="n">
        <v>40</v>
      </c>
      <c r="BJ136" s="103" t="n">
        <v>60</v>
      </c>
      <c r="BK136" s="103" t="n">
        <v>80</v>
      </c>
      <c r="BL136" s="103" t="n">
        <v>100</v>
      </c>
      <c r="BM136" s="103"/>
      <c r="BN136" s="103"/>
      <c r="BO136" s="103"/>
      <c r="BP136" s="103"/>
      <c r="BQ136" s="103"/>
      <c r="BR136" s="103"/>
      <c r="BS136" s="104" t="n">
        <v>-1</v>
      </c>
      <c r="BT136" s="104" t="n">
        <v>5</v>
      </c>
      <c r="BU136" s="104" t="n">
        <v>10</v>
      </c>
      <c r="BV136" s="104" t="n">
        <v>15</v>
      </c>
      <c r="BW136" s="104" t="n">
        <v>20</v>
      </c>
      <c r="BX136" s="104" t="n">
        <v>30</v>
      </c>
      <c r="BY136" s="104" t="n">
        <v>40</v>
      </c>
      <c r="BZ136" s="104" t="n">
        <v>60</v>
      </c>
      <c r="CA136" s="104" t="n">
        <v>80</v>
      </c>
      <c r="CB136" s="104" t="n">
        <v>100</v>
      </c>
      <c r="CC136" s="104"/>
      <c r="CD136" s="104"/>
      <c r="CE136" s="104"/>
      <c r="CF136" s="104"/>
      <c r="CG136" s="104"/>
      <c r="CH136" s="104"/>
      <c r="CJ136" s="95"/>
      <c r="CK136" s="95"/>
      <c r="CL136" s="95"/>
      <c r="CM136" s="95"/>
      <c r="CN136" s="95"/>
      <c r="CO136" s="95"/>
      <c r="CP136" s="95"/>
      <c r="CQ136" s="95"/>
      <c r="CR136" s="95"/>
      <c r="CS136" s="95"/>
      <c r="CT136" s="95"/>
      <c r="CU136" s="95"/>
      <c r="CV136" s="95"/>
      <c r="CW136" s="95"/>
      <c r="CX136" s="95"/>
      <c r="CY136" s="95"/>
      <c r="CZ136" s="95"/>
      <c r="DA136" s="95"/>
      <c r="DB136" s="95"/>
      <c r="DC136" s="95"/>
      <c r="DD136" s="95"/>
      <c r="DE136" s="95"/>
      <c r="DF136" s="95"/>
      <c r="DG136" s="95"/>
      <c r="DL136" s="108"/>
      <c r="DM136" s="108"/>
      <c r="DN136" s="109" t="str">
        <f aca="false">"D6.scenario.defInput["""&amp;B136&amp;"""] = {  "&amp;E$2&amp;":"""&amp;E136&amp;""",  "&amp;C$2&amp;":"""&amp;CLEAN(SUBSTITUTE(C136,"""",""""))&amp;""",  "&amp;F$2&amp;":"""&amp;F136&amp;""",  "&amp;H$2&amp;":"""&amp;CLEAN(SUBSTITUTE(H136,"""",""""))&amp;""", "&amp;J$2&amp;":"""&amp;J136&amp;""", "&amp;L$2&amp;":"""&amp;L136&amp;""", "&amp;M$2&amp;":"""&amp;M136&amp;""", "&amp;N$2&amp;":"""&amp;N136&amp;""", "&amp;O$2&amp;":"""&amp;O136&amp;""", "&amp;P$2&amp;":"""&amp;P136&amp;""", "&amp;Q$2&amp;":"""&amp;Q136&amp;""", "&amp;R$2&amp;":"""&amp;R136&amp;""", d11t:"""&amp;CJ136&amp;""",d11p:"""&amp;CK136&amp;""",d12t:"""&amp;CL136&amp;""",d12p:"""&amp;CM136&amp;""",d13t:"""&amp;CN136&amp;""",d13p:"""&amp;CO136&amp;""",d1w:"""&amp;CP136&amp;""",d1d:"""&amp;CQ136&amp;""", d21t:"""&amp;CR136&amp;""",d21p:"""&amp;CS136&amp;""",d22t:"""&amp;CT136&amp;""",d22p:"""&amp;CU136&amp;""",d23t:"""&amp;CV136&amp;""",d23p:"""&amp;CW136&amp;""",d2w:"""&amp;CX136&amp;""",d2d:"""&amp;CY136&amp;""", d31t:"""&amp;CZ136&amp;""",d31p:"""&amp;DA136&amp;""",d32t:"""&amp;DB136&amp;""",d32p:"""&amp;DC136&amp;""",d33t:"""&amp;DD136&amp;""",d33p:"""&amp;DE136&amp;""",d3w:"""&amp;DF136&amp;""",d3d:"""&amp;DG136&amp;"""}; "</f>
        <v>D6.scenario.defInput["i513"] = {  cons:"consLI",  title:"1球（本）の消費電力",  unit:"W",  text:"1球（もしくは1本）の消費電力はどれだけですか（電球なら40～60W、直管蛍光灯なら15～40W、環形蛍光灯なら30～40W程度です）", inputType:"sel513", right:"1", postfix:"Number", nodata:"", varType:"Number", min:"", max:"", defaultValue:"-1", d11t:"",d11p:"",d12t:"",d12p:"",d13t:"",d13p:"",d1w:"",d1d:"", d21t:"",d21p:"",d22t:"",d22p:"",d23t:"",d23p:"",d2w:"",d2d:"", d31t:"",d31p:"",d32t:"",d32p:"",d33t:"",d33p:"",d3w:"",d3d:""}; </v>
      </c>
      <c r="DO136" s="110"/>
      <c r="DP136" s="110"/>
      <c r="DQ136" s="111" t="str">
        <f aca="false">"D6.scenario.defSelectValue["""&amp;U136&amp;"""]= [ """&amp;CLEAN(V136)&amp;""", """&amp;CLEAN(W136)&amp;IF(X136="","",""", """&amp;CLEAN(X136))&amp;IF(Y136="","",""", """&amp;CLEAN(Y136))&amp;IF(Z136="","",""", """&amp;CLEAN(Z136))&amp;IF(AA136="","",""", """&amp;CLEAN(AA136))&amp;IF(AB136="","",""", """&amp;CLEAN(AB136))&amp;IF(AC136="","",""", """&amp;CLEAN(AC136))&amp;IF(AD136="","",""", """&amp;CLEAN(AD136))&amp;IF(AE136="","",""", """&amp;CLEAN(AE136))&amp;IF(AF136="","",""", """&amp;CLEAN(AF136))&amp;IF(AG136="","",""", """&amp;CLEAN(AG136))&amp;IF(AH136="","",""", """&amp;CLEAN(AH136))&amp;IF(AI136="","",""", """&amp;CLEAN(AI136))&amp;IF(AJ136="","",""", """&amp;CLEAN(AJ136))&amp;IF(AK136="","",""", """&amp;CLEAN(AK136))&amp;""" ];"</f>
        <v>D6.scenario.defSelectValue["sel513"]= [ "選んで下さい", "5W", "10W", "15W", "20W", "30W", "40W", "60W", "80W", "100W" ];</v>
      </c>
      <c r="DR136" s="112"/>
      <c r="DS136" s="112"/>
      <c r="DT136" s="112" t="str">
        <f aca="false">"D6.scenario.defSelectData['"&amp;U136&amp;"']= [ '"&amp;BC136&amp;"', '"&amp;BD136&amp;"', '"&amp;BE136&amp;IF(BF136="","","', '"&amp;BF136)&amp;IF(BG136="","","', '"&amp;BG136)&amp;IF(BH136="","","', '"&amp;BH136)&amp;IF(BI136="","","', '"&amp;BI136)&amp;IF(BJ136="","","', '"&amp;BJ136)&amp;IF(BK136="","","', '"&amp;BK136)&amp;IF(BL136="","","', '"&amp;BL136)&amp;IF(BM136="","","', '"&amp;BM136)&amp;IF(BN136="","","', '"&amp;BN136)&amp;IF(BO136="","","', '"&amp;BO136)&amp;IF(BP136="","","', '"&amp;BP136)&amp;IF(BQ136="","","', '"&amp;BQ136)&amp;IF(BR136="","","', '"&amp;BR136)&amp;"' ];"</f>
        <v>D6.scenario.defSelectData['sel513']= [ '-1', '5', '10', '15', '20', '30', '40', '60', '80', '100' ];</v>
      </c>
    </row>
    <row r="137" s="88" customFormat="true" ht="43.5" hidden="false" customHeight="true" outlineLevel="0" collapsed="false">
      <c r="A137" s="66"/>
      <c r="B137" s="95" t="s">
        <v>1763</v>
      </c>
      <c r="C137" s="103" t="s">
        <v>1764</v>
      </c>
      <c r="D137" s="104" t="s">
        <v>1764</v>
      </c>
      <c r="E137" s="95" t="s">
        <v>275</v>
      </c>
      <c r="F137" s="103" t="s">
        <v>1765</v>
      </c>
      <c r="G137" s="104" t="s">
        <v>1765</v>
      </c>
      <c r="H137" s="103" t="s">
        <v>1766</v>
      </c>
      <c r="I137" s="104" t="s">
        <v>1767</v>
      </c>
      <c r="J137" s="103" t="str">
        <f aca="false">IF(K137="","",K137)</f>
        <v>sel514</v>
      </c>
      <c r="K137" s="104" t="str">
        <f aca="false">"sel"&amp;MID($B137,2,5)</f>
        <v>sel514</v>
      </c>
      <c r="L137" s="95" t="n">
        <v>1</v>
      </c>
      <c r="M137" s="95" t="s">
        <v>931</v>
      </c>
      <c r="N137" s="95"/>
      <c r="O137" s="95" t="s">
        <v>931</v>
      </c>
      <c r="P137" s="95"/>
      <c r="Q137" s="95"/>
      <c r="R137" s="95" t="n">
        <v>-1</v>
      </c>
      <c r="S137" s="66"/>
      <c r="T137" s="66"/>
      <c r="U137" s="106" t="str">
        <f aca="false">J137</f>
        <v>sel514</v>
      </c>
      <c r="V137" s="103" t="s">
        <v>979</v>
      </c>
      <c r="W137" s="103" t="s">
        <v>1768</v>
      </c>
      <c r="X137" s="103" t="s">
        <v>1769</v>
      </c>
      <c r="Y137" s="103" t="s">
        <v>1770</v>
      </c>
      <c r="Z137" s="103" t="s">
        <v>1771</v>
      </c>
      <c r="AA137" s="103" t="s">
        <v>1772</v>
      </c>
      <c r="AB137" s="103" t="s">
        <v>1773</v>
      </c>
      <c r="AC137" s="103" t="s">
        <v>1774</v>
      </c>
      <c r="AD137" s="103"/>
      <c r="AE137" s="103"/>
      <c r="AF137" s="103"/>
      <c r="AG137" s="103"/>
      <c r="AH137" s="103"/>
      <c r="AI137" s="103"/>
      <c r="AJ137" s="103"/>
      <c r="AK137" s="103"/>
      <c r="AL137" s="104" t="s">
        <v>979</v>
      </c>
      <c r="AM137" s="104" t="s">
        <v>1768</v>
      </c>
      <c r="AN137" s="107" t="s">
        <v>1769</v>
      </c>
      <c r="AO137" s="107" t="s">
        <v>1770</v>
      </c>
      <c r="AP137" s="107" t="s">
        <v>1771</v>
      </c>
      <c r="AQ137" s="104" t="s">
        <v>1772</v>
      </c>
      <c r="AR137" s="104" t="s">
        <v>1773</v>
      </c>
      <c r="AS137" s="104" t="s">
        <v>1774</v>
      </c>
      <c r="AT137" s="104" t="s">
        <v>1775</v>
      </c>
      <c r="AU137" s="104" t="s">
        <v>1776</v>
      </c>
      <c r="AV137" s="104" t="s">
        <v>1777</v>
      </c>
      <c r="AW137" s="104"/>
      <c r="AX137" s="104"/>
      <c r="AY137" s="104"/>
      <c r="AZ137" s="104"/>
      <c r="BA137" s="104"/>
      <c r="BB137" s="66"/>
      <c r="BC137" s="103" t="n">
        <v>-1</v>
      </c>
      <c r="BD137" s="103" t="n">
        <v>1</v>
      </c>
      <c r="BE137" s="103" t="n">
        <v>2</v>
      </c>
      <c r="BF137" s="103" t="n">
        <v>3</v>
      </c>
      <c r="BG137" s="103" t="n">
        <v>4</v>
      </c>
      <c r="BH137" s="103" t="n">
        <v>6</v>
      </c>
      <c r="BI137" s="103" t="n">
        <v>8</v>
      </c>
      <c r="BJ137" s="103" t="n">
        <v>10</v>
      </c>
      <c r="BK137" s="103"/>
      <c r="BL137" s="103"/>
      <c r="BM137" s="103"/>
      <c r="BN137" s="103"/>
      <c r="BO137" s="103"/>
      <c r="BP137" s="103"/>
      <c r="BQ137" s="103"/>
      <c r="BR137" s="103"/>
      <c r="BS137" s="104" t="n">
        <v>-1</v>
      </c>
      <c r="BT137" s="104" t="n">
        <v>1</v>
      </c>
      <c r="BU137" s="104" t="n">
        <v>2</v>
      </c>
      <c r="BV137" s="104" t="n">
        <v>3</v>
      </c>
      <c r="BW137" s="104" t="n">
        <v>4</v>
      </c>
      <c r="BX137" s="104" t="n">
        <v>6</v>
      </c>
      <c r="BY137" s="104" t="n">
        <v>8</v>
      </c>
      <c r="BZ137" s="104" t="n">
        <v>10</v>
      </c>
      <c r="CA137" s="104" t="n">
        <v>15</v>
      </c>
      <c r="CB137" s="104" t="n">
        <v>20</v>
      </c>
      <c r="CC137" s="104" t="n">
        <v>30</v>
      </c>
      <c r="CD137" s="104"/>
      <c r="CE137" s="104"/>
      <c r="CF137" s="104"/>
      <c r="CG137" s="104"/>
      <c r="CH137" s="104"/>
      <c r="CJ137" s="95"/>
      <c r="CK137" s="95"/>
      <c r="CL137" s="95"/>
      <c r="CM137" s="95"/>
      <c r="CN137" s="95"/>
      <c r="CO137" s="95"/>
      <c r="CP137" s="95"/>
      <c r="CQ137" s="95"/>
      <c r="CR137" s="95"/>
      <c r="CS137" s="95"/>
      <c r="CT137" s="95"/>
      <c r="CU137" s="95"/>
      <c r="CV137" s="95"/>
      <c r="CW137" s="95"/>
      <c r="CX137" s="95"/>
      <c r="CY137" s="95"/>
      <c r="CZ137" s="95"/>
      <c r="DA137" s="95"/>
      <c r="DB137" s="95"/>
      <c r="DC137" s="95"/>
      <c r="DD137" s="95"/>
      <c r="DE137" s="95"/>
      <c r="DF137" s="95"/>
      <c r="DG137" s="95"/>
      <c r="DL137" s="108"/>
      <c r="DM137" s="108"/>
      <c r="DN137" s="109" t="str">
        <f aca="false">"D6.scenario.defInput["""&amp;B137&amp;"""] = {  "&amp;E$2&amp;":"""&amp;E137&amp;""",  "&amp;C$2&amp;":"""&amp;CLEAN(SUBSTITUTE(C137,"""",""""))&amp;""",  "&amp;F$2&amp;":"""&amp;F137&amp;""",  "&amp;H$2&amp;":"""&amp;CLEAN(SUBSTITUTE(H137,"""",""""))&amp;""", "&amp;J$2&amp;":"""&amp;J137&amp;""", "&amp;L$2&amp;":"""&amp;L137&amp;""", "&amp;M$2&amp;":"""&amp;M137&amp;""", "&amp;N$2&amp;":"""&amp;N137&amp;""", "&amp;O$2&amp;":"""&amp;O137&amp;""", "&amp;P$2&amp;":"""&amp;P137&amp;""", "&amp;Q$2&amp;":"""&amp;Q137&amp;""", "&amp;R$2&amp;":"""&amp;R137&amp;""", d11t:"""&amp;CJ137&amp;""",d11p:"""&amp;CK137&amp;""",d12t:"""&amp;CL137&amp;""",d12p:"""&amp;CM137&amp;""",d13t:"""&amp;CN137&amp;""",d13p:"""&amp;CO137&amp;""",d1w:"""&amp;CP137&amp;""",d1d:"""&amp;CQ137&amp;""", d21t:"""&amp;CR137&amp;""",d21p:"""&amp;CS137&amp;""",d22t:"""&amp;CT137&amp;""",d22p:"""&amp;CU137&amp;""",d23t:"""&amp;CV137&amp;""",d23p:"""&amp;CW137&amp;""",d2w:"""&amp;CX137&amp;""",d2d:"""&amp;CY137&amp;""", d31t:"""&amp;CZ137&amp;""",d31p:"""&amp;DA137&amp;""",d32t:"""&amp;DB137&amp;""",d32p:"""&amp;DC137&amp;""",d33t:"""&amp;DD137&amp;""",d33p:"""&amp;DE137&amp;""",d3w:"""&amp;DF137&amp;""",d3d:"""&amp;DG137&amp;"""}; "</f>
        <v>D6.scenario.defInput["i514"] = {  cons:"consLI",  title:"球数・本数",  unit:"球・本",  text:"器具に複数の球がある場合、何球・何本ありますか", inputType:"sel514", right:"1", postfix:"Number", nodata:"", varType:"Number", min:"", max:"", defaultValue:"-1", d11t:"",d11p:"",d12t:"",d12p:"",d13t:"",d13p:"",d1w:"",d1d:"", d21t:"",d21p:"",d22t:"",d22p:"",d23t:"",d23p:"",d2w:"",d2d:"", d31t:"",d31p:"",d32t:"",d32p:"",d33t:"",d33p:"",d3w:"",d3d:""}; </v>
      </c>
      <c r="DO137" s="110"/>
      <c r="DP137" s="110"/>
      <c r="DQ137" s="111" t="str">
        <f aca="false">"D6.scenario.defSelectValue["""&amp;U137&amp;"""]= [ """&amp;CLEAN(V137)&amp;""", """&amp;CLEAN(W137)&amp;IF(X137="","",""", """&amp;CLEAN(X137))&amp;IF(Y137="","",""", """&amp;CLEAN(Y137))&amp;IF(Z137="","",""", """&amp;CLEAN(Z137))&amp;IF(AA137="","",""", """&amp;CLEAN(AA137))&amp;IF(AB137="","",""", """&amp;CLEAN(AB137))&amp;IF(AC137="","",""", """&amp;CLEAN(AC137))&amp;IF(AD137="","",""", """&amp;CLEAN(AD137))&amp;IF(AE137="","",""", """&amp;CLEAN(AE137))&amp;IF(AF137="","",""", """&amp;CLEAN(AF137))&amp;IF(AG137="","",""", """&amp;CLEAN(AG137))&amp;IF(AH137="","",""", """&amp;CLEAN(AH137))&amp;IF(AI137="","",""", """&amp;CLEAN(AI137))&amp;IF(AJ137="","",""", """&amp;CLEAN(AJ137))&amp;IF(AK137="","",""", """&amp;CLEAN(AK137))&amp;""" ];"</f>
        <v>D6.scenario.defSelectValue["sel514"]= [ "選んで下さい", "1球・本", "2球・本", "3球・本", "4球・本", "6球・本", "8球・本", "10球・本" ];</v>
      </c>
      <c r="DR137" s="112"/>
      <c r="DS137" s="112"/>
      <c r="DT137" s="112" t="str">
        <f aca="false">"D6.scenario.defSelectData['"&amp;U137&amp;"']= [ '"&amp;BC137&amp;"', '"&amp;BD137&amp;"', '"&amp;BE137&amp;IF(BF137="","","', '"&amp;BF137)&amp;IF(BG137="","","', '"&amp;BG137)&amp;IF(BH137="","","', '"&amp;BH137)&amp;IF(BI137="","","', '"&amp;BI137)&amp;IF(BJ137="","","', '"&amp;BJ137)&amp;IF(BK137="","","', '"&amp;BK137)&amp;IF(BL137="","","', '"&amp;BL137)&amp;IF(BM137="","","', '"&amp;BM137)&amp;IF(BN137="","","', '"&amp;BN137)&amp;IF(BO137="","","', '"&amp;BO137)&amp;IF(BP137="","","', '"&amp;BP137)&amp;IF(BQ137="","","', '"&amp;BQ137)&amp;IF(BR137="","","', '"&amp;BR137)&amp;"' ];"</f>
        <v>D6.scenario.defSelectData['sel514']= [ '-1', '1', '2', '3', '4', '6', '8', '10' ];</v>
      </c>
    </row>
    <row r="138" s="88" customFormat="true" ht="43.5" hidden="false" customHeight="true" outlineLevel="0" collapsed="false">
      <c r="A138" s="66"/>
      <c r="B138" s="95" t="s">
        <v>1778</v>
      </c>
      <c r="C138" s="103" t="s">
        <v>1779</v>
      </c>
      <c r="D138" s="104" t="s">
        <v>1779</v>
      </c>
      <c r="E138" s="95" t="s">
        <v>275</v>
      </c>
      <c r="F138" s="103" t="s">
        <v>1780</v>
      </c>
      <c r="G138" s="104" t="s">
        <v>1780</v>
      </c>
      <c r="H138" s="103" t="s">
        <v>1781</v>
      </c>
      <c r="I138" s="104" t="s">
        <v>1781</v>
      </c>
      <c r="J138" s="103" t="str">
        <f aca="false">IF(K138="","",K138)</f>
        <v>sel515</v>
      </c>
      <c r="K138" s="104" t="str">
        <f aca="false">"sel"&amp;MID($B138,2,5)</f>
        <v>sel515</v>
      </c>
      <c r="L138" s="95"/>
      <c r="M138" s="95"/>
      <c r="N138" s="95"/>
      <c r="O138" s="95" t="s">
        <v>931</v>
      </c>
      <c r="P138" s="95"/>
      <c r="Q138" s="95"/>
      <c r="R138" s="95" t="n">
        <v>-1</v>
      </c>
      <c r="S138" s="66"/>
      <c r="T138" s="66"/>
      <c r="U138" s="106" t="str">
        <f aca="false">J138</f>
        <v>sel515</v>
      </c>
      <c r="V138" s="103" t="s">
        <v>979</v>
      </c>
      <c r="W138" s="103" t="s">
        <v>1170</v>
      </c>
      <c r="X138" s="103" t="s">
        <v>1400</v>
      </c>
      <c r="Y138" s="103" t="s">
        <v>1401</v>
      </c>
      <c r="Z138" s="103" t="s">
        <v>1297</v>
      </c>
      <c r="AA138" s="103" t="s">
        <v>1402</v>
      </c>
      <c r="AB138" s="103" t="s">
        <v>1298</v>
      </c>
      <c r="AC138" s="103" t="s">
        <v>1403</v>
      </c>
      <c r="AD138" s="103" t="s">
        <v>1404</v>
      </c>
      <c r="AE138" s="103" t="s">
        <v>1300</v>
      </c>
      <c r="AF138" s="103" t="s">
        <v>1301</v>
      </c>
      <c r="AG138" s="103"/>
      <c r="AH138" s="103"/>
      <c r="AI138" s="103"/>
      <c r="AJ138" s="103"/>
      <c r="AK138" s="103"/>
      <c r="AL138" s="104" t="s">
        <v>979</v>
      </c>
      <c r="AM138" s="104" t="s">
        <v>1170</v>
      </c>
      <c r="AN138" s="104" t="s">
        <v>1400</v>
      </c>
      <c r="AO138" s="104" t="s">
        <v>1401</v>
      </c>
      <c r="AP138" s="104" t="s">
        <v>1297</v>
      </c>
      <c r="AQ138" s="107" t="s">
        <v>1402</v>
      </c>
      <c r="AR138" s="107" t="s">
        <v>1298</v>
      </c>
      <c r="AS138" s="107" t="s">
        <v>1403</v>
      </c>
      <c r="AT138" s="104" t="s">
        <v>1404</v>
      </c>
      <c r="AU138" s="104" t="s">
        <v>1300</v>
      </c>
      <c r="AV138" s="104" t="s">
        <v>1301</v>
      </c>
      <c r="AW138" s="104"/>
      <c r="AX138" s="104"/>
      <c r="AY138" s="104"/>
      <c r="AZ138" s="104"/>
      <c r="BA138" s="104"/>
      <c r="BB138" s="66"/>
      <c r="BC138" s="103" t="n">
        <v>-1</v>
      </c>
      <c r="BD138" s="103" t="n">
        <v>0</v>
      </c>
      <c r="BE138" s="103" t="n">
        <v>1</v>
      </c>
      <c r="BF138" s="103" t="n">
        <v>2</v>
      </c>
      <c r="BG138" s="103" t="n">
        <v>3</v>
      </c>
      <c r="BH138" s="103" t="n">
        <v>4</v>
      </c>
      <c r="BI138" s="103" t="n">
        <v>6</v>
      </c>
      <c r="BJ138" s="103" t="n">
        <v>8</v>
      </c>
      <c r="BK138" s="103" t="n">
        <v>12</v>
      </c>
      <c r="BL138" s="103" t="n">
        <v>16</v>
      </c>
      <c r="BM138" s="103" t="n">
        <v>24</v>
      </c>
      <c r="BN138" s="103"/>
      <c r="BO138" s="103"/>
      <c r="BP138" s="103"/>
      <c r="BQ138" s="103"/>
      <c r="BR138" s="103"/>
      <c r="BS138" s="104" t="n">
        <v>-1</v>
      </c>
      <c r="BT138" s="104" t="n">
        <v>0</v>
      </c>
      <c r="BU138" s="104" t="n">
        <v>1</v>
      </c>
      <c r="BV138" s="104" t="n">
        <v>2</v>
      </c>
      <c r="BW138" s="104" t="n">
        <v>3</v>
      </c>
      <c r="BX138" s="104" t="n">
        <v>4</v>
      </c>
      <c r="BY138" s="104" t="n">
        <v>6</v>
      </c>
      <c r="BZ138" s="104" t="n">
        <v>8</v>
      </c>
      <c r="CA138" s="104" t="n">
        <v>12</v>
      </c>
      <c r="CB138" s="104" t="n">
        <v>16</v>
      </c>
      <c r="CC138" s="104" t="n">
        <v>24</v>
      </c>
      <c r="CD138" s="104"/>
      <c r="CE138" s="104"/>
      <c r="CF138" s="104"/>
      <c r="CG138" s="104"/>
      <c r="CH138" s="104"/>
      <c r="CJ138" s="95"/>
      <c r="CK138" s="95"/>
      <c r="CL138" s="95"/>
      <c r="CM138" s="95"/>
      <c r="CN138" s="95"/>
      <c r="CO138" s="95"/>
      <c r="CP138" s="95"/>
      <c r="CQ138" s="95"/>
      <c r="CR138" s="95"/>
      <c r="CS138" s="95"/>
      <c r="CT138" s="95"/>
      <c r="CU138" s="95"/>
      <c r="CV138" s="95"/>
      <c r="CW138" s="95"/>
      <c r="CX138" s="95"/>
      <c r="CY138" s="95"/>
      <c r="CZ138" s="95"/>
      <c r="DA138" s="95"/>
      <c r="DB138" s="95"/>
      <c r="DC138" s="95"/>
      <c r="DD138" s="95"/>
      <c r="DE138" s="95"/>
      <c r="DF138" s="95"/>
      <c r="DG138" s="95"/>
      <c r="DL138" s="108"/>
      <c r="DM138" s="108"/>
      <c r="DN138" s="109" t="str">
        <f aca="false">"D6.scenario.defInput["""&amp;B138&amp;"""] = {  "&amp;E$2&amp;":"""&amp;E138&amp;""",  "&amp;C$2&amp;":"""&amp;CLEAN(SUBSTITUTE(C138,"""",""""))&amp;""",  "&amp;F$2&amp;":"""&amp;F138&amp;""",  "&amp;H$2&amp;":"""&amp;CLEAN(SUBSTITUTE(H138,"""",""""))&amp;""", "&amp;J$2&amp;":"""&amp;J138&amp;""", "&amp;L$2&amp;":"""&amp;L138&amp;""", "&amp;M$2&amp;":"""&amp;M138&amp;""", "&amp;N$2&amp;":"""&amp;N138&amp;""", "&amp;O$2&amp;":"""&amp;O138&amp;""", "&amp;P$2&amp;":"""&amp;P138&amp;""", "&amp;Q$2&amp;":"""&amp;Q138&amp;""", "&amp;R$2&amp;":"""&amp;R138&amp;""", d11t:"""&amp;CJ138&amp;""",d11p:"""&amp;CK138&amp;""",d12t:"""&amp;CL138&amp;""",d12p:"""&amp;CM138&amp;""",d13t:"""&amp;CN138&amp;""",d13p:"""&amp;CO138&amp;""",d1w:"""&amp;CP138&amp;""",d1d:"""&amp;CQ138&amp;""", d21t:"""&amp;CR138&amp;""",d21p:"""&amp;CS138&amp;""",d22t:"""&amp;CT138&amp;""",d22p:"""&amp;CU138&amp;""",d23t:"""&amp;CV138&amp;""",d23p:"""&amp;CW138&amp;""",d2w:"""&amp;CX138&amp;""",d2d:"""&amp;CY138&amp;""", d31t:"""&amp;CZ138&amp;""",d31p:"""&amp;DA138&amp;""",d32t:"""&amp;DB138&amp;""",d32p:"""&amp;DC138&amp;""",d33t:"""&amp;DD138&amp;""",d33p:"""&amp;DE138&amp;""",d3w:"""&amp;DF138&amp;""",d3d:"""&amp;DG138&amp;"""}; "</f>
        <v>D6.scenario.defInput["i515"] = {  cons:"consLI",  title:"照明の使用時間",  unit:"時間/日",  text:"1日に何時間使いますか", inputType:"sel515", right:"", postfix:"", nodata:"", varType:"Number", min:"", max:"", defaultValue:"-1", d11t:"",d11p:"",d12t:"",d12p:"",d13t:"",d13p:"",d1w:"",d1d:"", d21t:"",d21p:"",d22t:"",d22p:"",d23t:"",d23p:"",d2w:"",d2d:"", d31t:"",d31p:"",d32t:"",d32p:"",d33t:"",d33p:"",d3w:"",d3d:""}; </v>
      </c>
      <c r="DO138" s="110"/>
      <c r="DP138" s="110"/>
      <c r="DQ138" s="111" t="str">
        <f aca="false">"D6.scenario.defSelectValue["""&amp;U138&amp;"""]= [ """&amp;CLEAN(V138)&amp;""", """&amp;CLEAN(W138)&amp;IF(X138="","",""", """&amp;CLEAN(X138))&amp;IF(Y138="","",""", """&amp;CLEAN(Y138))&amp;IF(Z138="","",""", """&amp;CLEAN(Z138))&amp;IF(AA138="","",""", """&amp;CLEAN(AA138))&amp;IF(AB138="","",""", """&amp;CLEAN(AB138))&amp;IF(AC138="","",""", """&amp;CLEAN(AC138))&amp;IF(AD138="","",""", """&amp;CLEAN(AD138))&amp;IF(AE138="","",""", """&amp;CLEAN(AE138))&amp;IF(AF138="","",""", """&amp;CLEAN(AF138))&amp;IF(AG138="","",""", """&amp;CLEAN(AG138))&amp;IF(AH138="","",""", """&amp;CLEAN(AH138))&amp;IF(AI138="","",""", """&amp;CLEAN(AI138))&amp;IF(AJ138="","",""", """&amp;CLEAN(AJ138))&amp;IF(AK138="","",""", """&amp;CLEAN(AK138))&amp;""" ];"</f>
        <v>D6.scenario.defSelectValue["sel515"]= [ "選んで下さい", "使わない", "1時間", "2時間", "3時間", "4時間", "6時間", "8時間", "12時間", "16時間", "24時間" ];</v>
      </c>
      <c r="DR138" s="112"/>
      <c r="DS138" s="112"/>
      <c r="DT138" s="112" t="str">
        <f aca="false">"D6.scenario.defSelectData['"&amp;U138&amp;"']= [ '"&amp;BC138&amp;"', '"&amp;BD138&amp;"', '"&amp;BE138&amp;IF(BF138="","","', '"&amp;BF138)&amp;IF(BG138="","","', '"&amp;BG138)&amp;IF(BH138="","","', '"&amp;BH138)&amp;IF(BI138="","","', '"&amp;BI138)&amp;IF(BJ138="","","', '"&amp;BJ138)&amp;IF(BK138="","","', '"&amp;BK138)&amp;IF(BL138="","","', '"&amp;BL138)&amp;IF(BM138="","","', '"&amp;BM138)&amp;IF(BN138="","","', '"&amp;BN138)&amp;IF(BO138="","","', '"&amp;BO138)&amp;IF(BP138="","","', '"&amp;BP138)&amp;IF(BQ138="","","', '"&amp;BQ138)&amp;IF(BR138="","","', '"&amp;BR138)&amp;"' ];"</f>
        <v>D6.scenario.defSelectData['sel515']= [ '-1', '0', '1', '2', '3', '4', '6', '8', '12', '16', '24' ];</v>
      </c>
    </row>
    <row r="139" s="88" customFormat="true" ht="43.5" hidden="false" customHeight="true" outlineLevel="0" collapsed="false">
      <c r="A139" s="66"/>
      <c r="B139" s="105" t="s">
        <v>1782</v>
      </c>
      <c r="C139" s="103" t="s">
        <v>1783</v>
      </c>
      <c r="D139" s="104" t="s">
        <v>1783</v>
      </c>
      <c r="E139" s="95" t="s">
        <v>276</v>
      </c>
      <c r="F139" s="103" t="s">
        <v>1295</v>
      </c>
      <c r="G139" s="104" t="s">
        <v>1295</v>
      </c>
      <c r="H139" s="103" t="s">
        <v>1784</v>
      </c>
      <c r="I139" s="104" t="s">
        <v>1784</v>
      </c>
      <c r="J139" s="103" t="str">
        <f aca="false">IF(K139="","",K139)</f>
        <v>sel601</v>
      </c>
      <c r="K139" s="104" t="str">
        <f aca="false">"sel"&amp;MID($B139,2,5)</f>
        <v>sel601</v>
      </c>
      <c r="L139" s="105"/>
      <c r="M139" s="105"/>
      <c r="N139" s="105"/>
      <c r="O139" s="95" t="s">
        <v>931</v>
      </c>
      <c r="P139" s="105"/>
      <c r="Q139" s="105"/>
      <c r="R139" s="95" t="n">
        <v>-1</v>
      </c>
      <c r="S139" s="66"/>
      <c r="T139" s="66"/>
      <c r="U139" s="106" t="str">
        <f aca="false">J139</f>
        <v>sel601</v>
      </c>
      <c r="V139" s="103" t="s">
        <v>979</v>
      </c>
      <c r="W139" s="103" t="s">
        <v>1170</v>
      </c>
      <c r="X139" s="103" t="s">
        <v>1401</v>
      </c>
      <c r="Y139" s="103" t="s">
        <v>1402</v>
      </c>
      <c r="Z139" s="103" t="s">
        <v>1298</v>
      </c>
      <c r="AA139" s="103" t="s">
        <v>1403</v>
      </c>
      <c r="AB139" s="103" t="s">
        <v>1404</v>
      </c>
      <c r="AC139" s="103" t="s">
        <v>1300</v>
      </c>
      <c r="AD139" s="103" t="s">
        <v>1301</v>
      </c>
      <c r="AE139" s="103" t="s">
        <v>1785</v>
      </c>
      <c r="AF139" s="103" t="s">
        <v>1786</v>
      </c>
      <c r="AG139" s="103"/>
      <c r="AH139" s="103"/>
      <c r="AI139" s="103"/>
      <c r="AJ139" s="103"/>
      <c r="AK139" s="103"/>
      <c r="AL139" s="104" t="s">
        <v>979</v>
      </c>
      <c r="AM139" s="104" t="s">
        <v>1170</v>
      </c>
      <c r="AN139" s="104" t="s">
        <v>1401</v>
      </c>
      <c r="AO139" s="107" t="s">
        <v>1402</v>
      </c>
      <c r="AP139" s="107" t="s">
        <v>1298</v>
      </c>
      <c r="AQ139" s="107" t="s">
        <v>1403</v>
      </c>
      <c r="AR139" s="107" t="s">
        <v>1404</v>
      </c>
      <c r="AS139" s="104" t="s">
        <v>1300</v>
      </c>
      <c r="AT139" s="104" t="s">
        <v>1301</v>
      </c>
      <c r="AU139" s="104" t="s">
        <v>1785</v>
      </c>
      <c r="AV139" s="104" t="s">
        <v>1786</v>
      </c>
      <c r="AW139" s="104"/>
      <c r="AX139" s="104"/>
      <c r="AY139" s="104"/>
      <c r="AZ139" s="104"/>
      <c r="BA139" s="104"/>
      <c r="BB139" s="66"/>
      <c r="BC139" s="103" t="n">
        <v>-1</v>
      </c>
      <c r="BD139" s="103" t="n">
        <v>0</v>
      </c>
      <c r="BE139" s="103" t="n">
        <v>2</v>
      </c>
      <c r="BF139" s="103" t="n">
        <v>4</v>
      </c>
      <c r="BG139" s="103" t="n">
        <v>6</v>
      </c>
      <c r="BH139" s="103" t="n">
        <v>8</v>
      </c>
      <c r="BI139" s="103" t="n">
        <v>12</v>
      </c>
      <c r="BJ139" s="103" t="n">
        <v>16</v>
      </c>
      <c r="BK139" s="103" t="n">
        <v>24</v>
      </c>
      <c r="BL139" s="103" t="n">
        <v>32</v>
      </c>
      <c r="BM139" s="103" t="n">
        <v>40</v>
      </c>
      <c r="BN139" s="103"/>
      <c r="BO139" s="103"/>
      <c r="BP139" s="103"/>
      <c r="BQ139" s="103"/>
      <c r="BR139" s="103"/>
      <c r="BS139" s="104" t="n">
        <v>-1</v>
      </c>
      <c r="BT139" s="104" t="n">
        <v>0</v>
      </c>
      <c r="BU139" s="104" t="n">
        <v>2</v>
      </c>
      <c r="BV139" s="104" t="n">
        <v>4</v>
      </c>
      <c r="BW139" s="104" t="n">
        <v>6</v>
      </c>
      <c r="BX139" s="104" t="n">
        <v>8</v>
      </c>
      <c r="BY139" s="104" t="n">
        <v>12</v>
      </c>
      <c r="BZ139" s="104" t="n">
        <v>16</v>
      </c>
      <c r="CA139" s="104" t="n">
        <v>24</v>
      </c>
      <c r="CB139" s="104" t="n">
        <v>32</v>
      </c>
      <c r="CC139" s="104" t="n">
        <v>40</v>
      </c>
      <c r="CD139" s="104"/>
      <c r="CE139" s="104"/>
      <c r="CF139" s="104"/>
      <c r="CG139" s="104"/>
      <c r="CH139" s="104"/>
      <c r="CJ139" s="95"/>
      <c r="CK139" s="95"/>
      <c r="CL139" s="95"/>
      <c r="CM139" s="95"/>
      <c r="CN139" s="95"/>
      <c r="CO139" s="95"/>
      <c r="CP139" s="95"/>
      <c r="CQ139" s="95"/>
      <c r="CR139" s="95"/>
      <c r="CS139" s="95"/>
      <c r="CT139" s="95"/>
      <c r="CU139" s="95"/>
      <c r="CV139" s="95"/>
      <c r="CW139" s="95"/>
      <c r="CX139" s="95"/>
      <c r="CY139" s="95"/>
      <c r="CZ139" s="95"/>
      <c r="DA139" s="95"/>
      <c r="DB139" s="95"/>
      <c r="DC139" s="95"/>
      <c r="DD139" s="95"/>
      <c r="DE139" s="95"/>
      <c r="DF139" s="95"/>
      <c r="DG139" s="95"/>
      <c r="DL139" s="108"/>
      <c r="DM139" s="108"/>
      <c r="DN139" s="109" t="str">
        <f aca="false">"D6.scenario.defInput["""&amp;B139&amp;"""] = {  "&amp;E$2&amp;":"""&amp;E139&amp;""",  "&amp;C$2&amp;":"""&amp;CLEAN(SUBSTITUTE(C139,"""",""""))&amp;""",  "&amp;F$2&amp;":"""&amp;F139&amp;""",  "&amp;H$2&amp;":"""&amp;CLEAN(SUBSTITUTE(H139,"""",""""))&amp;""", "&amp;J$2&amp;":"""&amp;J139&amp;""", "&amp;L$2&amp;":"""&amp;L139&amp;""", "&amp;M$2&amp;":"""&amp;M139&amp;""", "&amp;N$2&amp;":"""&amp;N139&amp;""", "&amp;O$2&amp;":"""&amp;O139&amp;""", "&amp;P$2&amp;":"""&amp;P139&amp;""", "&amp;Q$2&amp;":"""&amp;Q139&amp;""", "&amp;R$2&amp;":"""&amp;R139&amp;""", d11t:"""&amp;CJ139&amp;""",d11p:"""&amp;CK139&amp;""",d12t:"""&amp;CL139&amp;""",d12p:"""&amp;CM139&amp;""",d13t:"""&amp;CN139&amp;""",d13p:"""&amp;CO139&amp;""",d1w:"""&amp;CP139&amp;""",d1d:"""&amp;CQ139&amp;""", d21t:"""&amp;CR139&amp;""",d21p:"""&amp;CS139&amp;""",d22t:"""&amp;CT139&amp;""",d22p:"""&amp;CU139&amp;""",d23t:"""&amp;CV139&amp;""",d23p:"""&amp;CW139&amp;""",d2w:"""&amp;CX139&amp;""",d2d:"""&amp;CY139&amp;""", d31t:"""&amp;CZ139&amp;""",d31p:"""&amp;DA139&amp;""",d32t:"""&amp;DB139&amp;""",d32p:"""&amp;DC139&amp;""",d33t:"""&amp;DD139&amp;""",d33p:"""&amp;DE139&amp;""",d3w:"""&amp;DF139&amp;""",d3d:"""&amp;DG139&amp;"""}; "</f>
        <v>D6.scenario.defInput["i601"] = {  cons:"consTVsum",  title:"テレビの時間",  unit:"時間",  text:"家にある全てのテレビの合計で、１日に何時間点けていますか。テレビゲームの時間も含めて下さい。", inputType:"sel601", right:"", postfix:"", nodata:"", varType:"Number", min:"", max:"", defaultValue:"-1", d11t:"",d11p:"",d12t:"",d12p:"",d13t:"",d13p:"",d1w:"",d1d:"", d21t:"",d21p:"",d22t:"",d22p:"",d23t:"",d23p:"",d2w:"",d2d:"", d31t:"",d31p:"",d32t:"",d32p:"",d33t:"",d33p:"",d3w:"",d3d:""}; </v>
      </c>
      <c r="DO139" s="110"/>
      <c r="DP139" s="110"/>
      <c r="DQ139" s="111" t="str">
        <f aca="false">"D6.scenario.defSelectValue["""&amp;U139&amp;"""]= [ """&amp;CLEAN(V139)&amp;""", """&amp;CLEAN(W139)&amp;IF(X139="","",""", """&amp;CLEAN(X139))&amp;IF(Y139="","",""", """&amp;CLEAN(Y139))&amp;IF(Z139="","",""", """&amp;CLEAN(Z139))&amp;IF(AA139="","",""", """&amp;CLEAN(AA139))&amp;IF(AB139="","",""", """&amp;CLEAN(AB139))&amp;IF(AC139="","",""", """&amp;CLEAN(AC139))&amp;IF(AD139="","",""", """&amp;CLEAN(AD139))&amp;IF(AE139="","",""", """&amp;CLEAN(AE139))&amp;IF(AF139="","",""", """&amp;CLEAN(AF139))&amp;IF(AG139="","",""", """&amp;CLEAN(AG139))&amp;IF(AH139="","",""", """&amp;CLEAN(AH139))&amp;IF(AI139="","",""", """&amp;CLEAN(AI139))&amp;IF(AJ139="","",""", """&amp;CLEAN(AJ139))&amp;IF(AK139="","",""", """&amp;CLEAN(AK139))&amp;""" ];"</f>
        <v>D6.scenario.defSelectValue["sel601"]= [ "選んで下さい", "使わない", "2時間", "4時間", "6時間", "8時間", "12時間", "16時間", "24時間", "32時間", "40時間" ];</v>
      </c>
      <c r="DR139" s="112"/>
      <c r="DS139" s="112"/>
      <c r="DT139" s="112" t="str">
        <f aca="false">"D6.scenario.defSelectData['"&amp;U139&amp;"']= [ '"&amp;BC139&amp;"', '"&amp;BD139&amp;"', '"&amp;BE139&amp;IF(BF139="","","', '"&amp;BF139)&amp;IF(BG139="","","', '"&amp;BG139)&amp;IF(BH139="","","', '"&amp;BH139)&amp;IF(BI139="","","', '"&amp;BI139)&amp;IF(BJ139="","","', '"&amp;BJ139)&amp;IF(BK139="","","', '"&amp;BK139)&amp;IF(BL139="","","', '"&amp;BL139)&amp;IF(BM139="","","', '"&amp;BM139)&amp;IF(BN139="","","', '"&amp;BN139)&amp;IF(BO139="","","', '"&amp;BO139)&amp;IF(BP139="","","', '"&amp;BP139)&amp;IF(BQ139="","","', '"&amp;BQ139)&amp;IF(BR139="","","', '"&amp;BR139)&amp;"' ];"</f>
        <v>D6.scenario.defSelectData['sel601']= [ '-1', '0', '2', '4', '6', '8', '12', '16', '24', '32', '40' ];</v>
      </c>
    </row>
    <row r="140" s="88" customFormat="true" ht="43.5" hidden="false" customHeight="true" outlineLevel="0" collapsed="false">
      <c r="A140" s="66"/>
      <c r="B140" s="105" t="s">
        <v>1787</v>
      </c>
      <c r="C140" s="103" t="s">
        <v>1788</v>
      </c>
      <c r="D140" s="104" t="s">
        <v>1788</v>
      </c>
      <c r="E140" s="95" t="s">
        <v>278</v>
      </c>
      <c r="F140" s="103" t="s">
        <v>1789</v>
      </c>
      <c r="G140" s="104" t="s">
        <v>1789</v>
      </c>
      <c r="H140" s="103" t="s">
        <v>1790</v>
      </c>
      <c r="I140" s="104" t="s">
        <v>1788</v>
      </c>
      <c r="J140" s="103" t="str">
        <f aca="false">IF(K140="","",K140)</f>
        <v>sel631</v>
      </c>
      <c r="K140" s="104" t="str">
        <f aca="false">"sel"&amp;MID($B140,2,5)</f>
        <v>sel631</v>
      </c>
      <c r="L140" s="105"/>
      <c r="M140" s="105"/>
      <c r="N140" s="105"/>
      <c r="O140" s="95" t="s">
        <v>931</v>
      </c>
      <c r="P140" s="105"/>
      <c r="Q140" s="105"/>
      <c r="R140" s="95" t="n">
        <v>-1</v>
      </c>
      <c r="S140" s="66"/>
      <c r="T140" s="66"/>
      <c r="U140" s="106" t="str">
        <f aca="false">J140</f>
        <v>sel631</v>
      </c>
      <c r="V140" s="103" t="s">
        <v>979</v>
      </c>
      <c r="W140" s="103" t="s">
        <v>1459</v>
      </c>
      <c r="X140" s="103" t="s">
        <v>1791</v>
      </c>
      <c r="Y140" s="103" t="s">
        <v>1792</v>
      </c>
      <c r="Z140" s="103" t="s">
        <v>1793</v>
      </c>
      <c r="AA140" s="103" t="s">
        <v>1794</v>
      </c>
      <c r="AB140" s="103" t="s">
        <v>1795</v>
      </c>
      <c r="AC140" s="103" t="s">
        <v>1796</v>
      </c>
      <c r="AD140" s="103"/>
      <c r="AE140" s="103"/>
      <c r="AF140" s="103"/>
      <c r="AG140" s="103"/>
      <c r="AH140" s="103"/>
      <c r="AI140" s="103"/>
      <c r="AJ140" s="103"/>
      <c r="AK140" s="103"/>
      <c r="AL140" s="104" t="s">
        <v>979</v>
      </c>
      <c r="AM140" s="104" t="s">
        <v>1459</v>
      </c>
      <c r="AN140" s="104" t="s">
        <v>1791</v>
      </c>
      <c r="AO140" s="107" t="s">
        <v>1792</v>
      </c>
      <c r="AP140" s="107" t="s">
        <v>1793</v>
      </c>
      <c r="AQ140" s="107" t="s">
        <v>1794</v>
      </c>
      <c r="AR140" s="104" t="s">
        <v>1795</v>
      </c>
      <c r="AS140" s="104" t="s">
        <v>1796</v>
      </c>
      <c r="AT140" s="104"/>
      <c r="AU140" s="104"/>
      <c r="AV140" s="104"/>
      <c r="AW140" s="104"/>
      <c r="AX140" s="104"/>
      <c r="AY140" s="104"/>
      <c r="AZ140" s="104"/>
      <c r="BA140" s="104"/>
      <c r="BB140" s="66"/>
      <c r="BC140" s="103" t="n">
        <v>-1</v>
      </c>
      <c r="BD140" s="103" t="n">
        <v>0</v>
      </c>
      <c r="BE140" s="103" t="n">
        <v>18</v>
      </c>
      <c r="BF140" s="103" t="n">
        <v>25</v>
      </c>
      <c r="BG140" s="103" t="n">
        <v>35</v>
      </c>
      <c r="BH140" s="103" t="n">
        <v>45</v>
      </c>
      <c r="BI140" s="103" t="n">
        <v>60</v>
      </c>
      <c r="BJ140" s="103" t="n">
        <v>70</v>
      </c>
      <c r="BK140" s="103"/>
      <c r="BL140" s="103"/>
      <c r="BM140" s="103"/>
      <c r="BN140" s="103"/>
      <c r="BO140" s="103"/>
      <c r="BP140" s="103"/>
      <c r="BQ140" s="103"/>
      <c r="BR140" s="103"/>
      <c r="BS140" s="104" t="n">
        <v>-1</v>
      </c>
      <c r="BT140" s="104" t="n">
        <v>0</v>
      </c>
      <c r="BU140" s="104" t="n">
        <v>18</v>
      </c>
      <c r="BV140" s="104" t="n">
        <v>25</v>
      </c>
      <c r="BW140" s="104" t="n">
        <v>35</v>
      </c>
      <c r="BX140" s="104" t="n">
        <v>45</v>
      </c>
      <c r="BY140" s="104" t="n">
        <v>60</v>
      </c>
      <c r="BZ140" s="104" t="n">
        <v>70</v>
      </c>
      <c r="CA140" s="104"/>
      <c r="CB140" s="104"/>
      <c r="CC140" s="104"/>
      <c r="CD140" s="104"/>
      <c r="CE140" s="104"/>
      <c r="CF140" s="104"/>
      <c r="CG140" s="104"/>
      <c r="CH140" s="104"/>
      <c r="CJ140" s="95"/>
      <c r="CK140" s="95"/>
      <c r="CL140" s="95"/>
      <c r="CM140" s="95"/>
      <c r="CN140" s="95"/>
      <c r="CO140" s="95"/>
      <c r="CP140" s="95"/>
      <c r="CQ140" s="95"/>
      <c r="CR140" s="95"/>
      <c r="CS140" s="95"/>
      <c r="CT140" s="95"/>
      <c r="CU140" s="95"/>
      <c r="CV140" s="95"/>
      <c r="CW140" s="95"/>
      <c r="CX140" s="95"/>
      <c r="CY140" s="95"/>
      <c r="CZ140" s="95"/>
      <c r="DA140" s="95"/>
      <c r="DB140" s="95"/>
      <c r="DC140" s="95"/>
      <c r="DD140" s="95"/>
      <c r="DE140" s="95"/>
      <c r="DF140" s="95"/>
      <c r="DG140" s="95"/>
      <c r="DL140" s="108"/>
      <c r="DM140" s="108"/>
      <c r="DN140" s="109" t="str">
        <f aca="false">"D6.scenario.defInput["""&amp;B140&amp;"""] = {  "&amp;E$2&amp;":"""&amp;E140&amp;""",  "&amp;C$2&amp;":"""&amp;CLEAN(SUBSTITUTE(C140,"""",""""))&amp;""",  "&amp;F$2&amp;":"""&amp;F140&amp;""",  "&amp;H$2&amp;":"""&amp;CLEAN(SUBSTITUTE(H140,"""",""""))&amp;""", "&amp;J$2&amp;":"""&amp;J140&amp;""", "&amp;L$2&amp;":"""&amp;L140&amp;""", "&amp;M$2&amp;":"""&amp;M140&amp;""", "&amp;N$2&amp;":"""&amp;N140&amp;""", "&amp;O$2&amp;":"""&amp;O140&amp;""", "&amp;P$2&amp;":"""&amp;P140&amp;""", "&amp;Q$2&amp;":"""&amp;Q140&amp;""", "&amp;R$2&amp;":"""&amp;R140&amp;""", d11t:"""&amp;CJ140&amp;""",d11p:"""&amp;CK140&amp;""",d12t:"""&amp;CL140&amp;""",d12p:"""&amp;CM140&amp;""",d13t:"""&amp;CN140&amp;""",d13p:"""&amp;CO140&amp;""",d1w:"""&amp;CP140&amp;""",d1d:"""&amp;CQ140&amp;""", d21t:"""&amp;CR140&amp;""",d21p:"""&amp;CS140&amp;""",d22t:"""&amp;CT140&amp;""",d22p:"""&amp;CU140&amp;""",d23t:"""&amp;CV140&amp;""",d23p:"""&amp;CW140&amp;""",d2w:"""&amp;CX140&amp;""",d2d:"""&amp;CY140&amp;""", d31t:"""&amp;CZ140&amp;""",d31p:"""&amp;DA140&amp;""",d32t:"""&amp;DB140&amp;""",d32p:"""&amp;DC140&amp;""",d33t:"""&amp;DD140&amp;""",d33p:"""&amp;DE140&amp;""",d3w:"""&amp;DF140&amp;""",d3d:"""&amp;DG140&amp;"""}; "</f>
        <v>D6.scenario.defInput["i631"] = {  cons:"consTV",  title:"テレビのサイズ",  unit:"インチ",  text:"テレビのサイズはどのくらいですか", inputType:"sel631", right:"", postfix:"", nodata:"", varType:"Number", min:"", max:"", defaultValue:"-1", d11t:"",d11p:"",d12t:"",d12p:"",d13t:"",d13p:"",d1w:"",d1d:"", d21t:"",d21p:"",d22t:"",d22p:"",d23t:"",d23p:"",d2w:"",d2d:"", d31t:"",d31p:"",d32t:"",d32p:"",d33t:"",d33p:"",d3w:"",d3d:""}; </v>
      </c>
      <c r="DO140" s="110"/>
      <c r="DP140" s="110"/>
      <c r="DQ140" s="111" t="str">
        <f aca="false">"D6.scenario.defSelectValue["""&amp;U140&amp;"""]= [ """&amp;CLEAN(V140)&amp;""", """&amp;CLEAN(W140)&amp;IF(X140="","",""", """&amp;CLEAN(X140))&amp;IF(Y140="","",""", """&amp;CLEAN(Y140))&amp;IF(Z140="","",""", """&amp;CLEAN(Z140))&amp;IF(AA140="","",""", """&amp;CLEAN(AA140))&amp;IF(AB140="","",""", """&amp;CLEAN(AB140))&amp;IF(AC140="","",""", """&amp;CLEAN(AC140))&amp;IF(AD140="","",""", """&amp;CLEAN(AD140))&amp;IF(AE140="","",""", """&amp;CLEAN(AE140))&amp;IF(AF140="","",""", """&amp;CLEAN(AF140))&amp;IF(AG140="","",""", """&amp;CLEAN(AG140))&amp;IF(AH140="","",""", """&amp;CLEAN(AH140))&amp;IF(AI140="","",""", """&amp;CLEAN(AI140))&amp;IF(AJ140="","",""", """&amp;CLEAN(AJ140))&amp;IF(AK140="","",""", """&amp;CLEAN(AK140))&amp;""" ];"</f>
        <v>D6.scenario.defSelectValue["sel631"]= [ "選んで下さい", "持っていない", "20インチ未満", "20～30インチ", "30～40インチ", "40～50インチ", "50～65インチ", "65インチ以上" ];</v>
      </c>
      <c r="DR140" s="112"/>
      <c r="DS140" s="112"/>
      <c r="DT140" s="112" t="str">
        <f aca="false">"D6.scenario.defSelectData['"&amp;U140&amp;"']= [ '"&amp;BC140&amp;"', '"&amp;BD140&amp;"', '"&amp;BE140&amp;IF(BF140="","","', '"&amp;BF140)&amp;IF(BG140="","","', '"&amp;BG140)&amp;IF(BH140="","","', '"&amp;BH140)&amp;IF(BI140="","","', '"&amp;BI140)&amp;IF(BJ140="","","', '"&amp;BJ140)&amp;IF(BK140="","","', '"&amp;BK140)&amp;IF(BL140="","","', '"&amp;BL140)&amp;IF(BM140="","","', '"&amp;BM140)&amp;IF(BN140="","","', '"&amp;BN140)&amp;IF(BO140="","","', '"&amp;BO140)&amp;IF(BP140="","","', '"&amp;BP140)&amp;IF(BQ140="","","', '"&amp;BQ140)&amp;IF(BR140="","","', '"&amp;BR140)&amp;"' ];"</f>
        <v>D6.scenario.defSelectData['sel631']= [ '-1', '0', '18', '25', '35', '45', '60', '70' ];</v>
      </c>
    </row>
    <row r="141" s="88" customFormat="true" ht="43.5" hidden="false" customHeight="true" outlineLevel="0" collapsed="false">
      <c r="A141" s="66"/>
      <c r="B141" s="105" t="s">
        <v>1797</v>
      </c>
      <c r="C141" s="103" t="s">
        <v>1798</v>
      </c>
      <c r="D141" s="104" t="s">
        <v>1798</v>
      </c>
      <c r="E141" s="95" t="s">
        <v>278</v>
      </c>
      <c r="F141" s="103" t="s">
        <v>1055</v>
      </c>
      <c r="G141" s="104" t="s">
        <v>1055</v>
      </c>
      <c r="H141" s="103" t="s">
        <v>1799</v>
      </c>
      <c r="I141" s="104" t="s">
        <v>1798</v>
      </c>
      <c r="J141" s="103" t="str">
        <f aca="false">IF(K141="","",K141)</f>
        <v>sel632</v>
      </c>
      <c r="K141" s="104" t="str">
        <f aca="false">"sel"&amp;MID($B141,2,5)</f>
        <v>sel632</v>
      </c>
      <c r="L141" s="105"/>
      <c r="M141" s="105"/>
      <c r="N141" s="105"/>
      <c r="O141" s="95" t="s">
        <v>931</v>
      </c>
      <c r="P141" s="105"/>
      <c r="Q141" s="105"/>
      <c r="R141" s="95" t="n">
        <v>-1</v>
      </c>
      <c r="S141" s="66"/>
      <c r="T141" s="66"/>
      <c r="U141" s="106" t="str">
        <f aca="false">J141</f>
        <v>sel632</v>
      </c>
      <c r="V141" s="103" t="s">
        <v>979</v>
      </c>
      <c r="W141" s="103" t="s">
        <v>1459</v>
      </c>
      <c r="X141" s="116" t="s">
        <v>1460</v>
      </c>
      <c r="Y141" s="103" t="s">
        <v>1461</v>
      </c>
      <c r="Z141" s="103" t="s">
        <v>1058</v>
      </c>
      <c r="AA141" s="103" t="s">
        <v>1462</v>
      </c>
      <c r="AB141" s="103" t="s">
        <v>1463</v>
      </c>
      <c r="AC141" s="103" t="s">
        <v>1464</v>
      </c>
      <c r="AD141" s="103" t="s">
        <v>1465</v>
      </c>
      <c r="AE141" s="103" t="s">
        <v>1061</v>
      </c>
      <c r="AF141" s="103"/>
      <c r="AG141" s="103"/>
      <c r="AH141" s="103"/>
      <c r="AI141" s="103"/>
      <c r="AJ141" s="103"/>
      <c r="AK141" s="103"/>
      <c r="AL141" s="104" t="s">
        <v>979</v>
      </c>
      <c r="AM141" s="104" t="s">
        <v>1459</v>
      </c>
      <c r="AN141" s="117" t="s">
        <v>1460</v>
      </c>
      <c r="AO141" s="107" t="s">
        <v>1461</v>
      </c>
      <c r="AP141" s="107" t="s">
        <v>1058</v>
      </c>
      <c r="AQ141" s="107" t="s">
        <v>1462</v>
      </c>
      <c r="AR141" s="104" t="s">
        <v>1463</v>
      </c>
      <c r="AS141" s="104" t="s">
        <v>1464</v>
      </c>
      <c r="AT141" s="104" t="s">
        <v>1465</v>
      </c>
      <c r="AU141" s="104" t="s">
        <v>1061</v>
      </c>
      <c r="AV141" s="104"/>
      <c r="AW141" s="104"/>
      <c r="AX141" s="104"/>
      <c r="AY141" s="104"/>
      <c r="AZ141" s="104"/>
      <c r="BA141" s="104"/>
      <c r="BB141" s="66"/>
      <c r="BC141" s="103" t="n">
        <v>-1</v>
      </c>
      <c r="BD141" s="103" t="n">
        <v>0</v>
      </c>
      <c r="BE141" s="103" t="n">
        <v>1</v>
      </c>
      <c r="BF141" s="103" t="n">
        <v>2</v>
      </c>
      <c r="BG141" s="103" t="n">
        <v>4</v>
      </c>
      <c r="BH141" s="103" t="n">
        <v>6</v>
      </c>
      <c r="BI141" s="103" t="n">
        <v>9</v>
      </c>
      <c r="BJ141" s="103" t="n">
        <v>13</v>
      </c>
      <c r="BK141" s="103" t="n">
        <v>18</v>
      </c>
      <c r="BL141" s="103" t="n">
        <v>25</v>
      </c>
      <c r="BM141" s="103"/>
      <c r="BN141" s="103"/>
      <c r="BO141" s="103"/>
      <c r="BP141" s="103"/>
      <c r="BQ141" s="103"/>
      <c r="BR141" s="103"/>
      <c r="BS141" s="104" t="n">
        <v>-1</v>
      </c>
      <c r="BT141" s="104" t="n">
        <v>0</v>
      </c>
      <c r="BU141" s="104" t="n">
        <v>1</v>
      </c>
      <c r="BV141" s="104" t="n">
        <v>2</v>
      </c>
      <c r="BW141" s="104" t="n">
        <v>4</v>
      </c>
      <c r="BX141" s="104" t="n">
        <v>6</v>
      </c>
      <c r="BY141" s="104" t="n">
        <v>9</v>
      </c>
      <c r="BZ141" s="104" t="n">
        <v>13</v>
      </c>
      <c r="CA141" s="104" t="n">
        <v>18</v>
      </c>
      <c r="CB141" s="104" t="n">
        <v>25</v>
      </c>
      <c r="CC141" s="104"/>
      <c r="CD141" s="104"/>
      <c r="CE141" s="104"/>
      <c r="CF141" s="104"/>
      <c r="CG141" s="104"/>
      <c r="CH141" s="104"/>
      <c r="CJ141" s="95"/>
      <c r="CK141" s="95"/>
      <c r="CL141" s="95"/>
      <c r="CM141" s="95"/>
      <c r="CN141" s="95"/>
      <c r="CO141" s="95"/>
      <c r="CP141" s="95"/>
      <c r="CQ141" s="95"/>
      <c r="CR141" s="95"/>
      <c r="CS141" s="95"/>
      <c r="CT141" s="95"/>
      <c r="CU141" s="95"/>
      <c r="CV141" s="95"/>
      <c r="CW141" s="95"/>
      <c r="CX141" s="95"/>
      <c r="CY141" s="95"/>
      <c r="CZ141" s="95"/>
      <c r="DA141" s="95"/>
      <c r="DB141" s="95"/>
      <c r="DC141" s="95"/>
      <c r="DD141" s="95"/>
      <c r="DE141" s="95"/>
      <c r="DF141" s="95"/>
      <c r="DG141" s="95"/>
      <c r="DL141" s="108"/>
      <c r="DM141" s="108"/>
      <c r="DN141" s="109" t="str">
        <f aca="false">"D6.scenario.defInput["""&amp;B141&amp;"""] = {  "&amp;E$2&amp;":"""&amp;E141&amp;""",  "&amp;C$2&amp;":"""&amp;CLEAN(SUBSTITUTE(C141,"""",""""))&amp;""",  "&amp;F$2&amp;":"""&amp;F141&amp;""",  "&amp;H$2&amp;":"""&amp;CLEAN(SUBSTITUTE(H141,"""",""""))&amp;""", "&amp;J$2&amp;":"""&amp;J141&amp;""", "&amp;L$2&amp;":"""&amp;L141&amp;""", "&amp;M$2&amp;":"""&amp;M141&amp;""", "&amp;N$2&amp;":"""&amp;N141&amp;""", "&amp;O$2&amp;":"""&amp;O141&amp;""", "&amp;P$2&amp;":"""&amp;P141&amp;""", "&amp;Q$2&amp;":"""&amp;Q141&amp;""", "&amp;R$2&amp;":"""&amp;R141&amp;""", d11t:"""&amp;CJ141&amp;""",d11p:"""&amp;CK141&amp;""",d12t:"""&amp;CL141&amp;""",d12p:"""&amp;CM141&amp;""",d13t:"""&amp;CN141&amp;""",d13p:"""&amp;CO141&amp;""",d1w:"""&amp;CP141&amp;""",d1d:"""&amp;CQ141&amp;""", d21t:"""&amp;CR141&amp;""",d21p:"""&amp;CS141&amp;""",d22t:"""&amp;CT141&amp;""",d22p:"""&amp;CU141&amp;""",d23t:"""&amp;CV141&amp;""",d23p:"""&amp;CW141&amp;""",d2w:"""&amp;CX141&amp;""",d2d:"""&amp;CY141&amp;""", d31t:"""&amp;CZ141&amp;""",d31p:"""&amp;DA141&amp;""",d32t:"""&amp;DB141&amp;""",d32p:"""&amp;DC141&amp;""",d33t:"""&amp;DD141&amp;""",d33p:"""&amp;DE141&amp;""",d3w:"""&amp;DF141&amp;""",d3d:"""&amp;DG141&amp;"""}; "</f>
        <v>D6.scenario.defInput["i632"] = {  cons:"consTV",  title:"テレビの使用年数",  unit:"年",  text:"テレビをおよそ何年使用していますか", inputType:"sel632", right:"", postfix:"", nodata:"", varType:"Number", min:"", max:"", defaultValue:"-1", d11t:"",d11p:"",d12t:"",d12p:"",d13t:"",d13p:"",d1w:"",d1d:"", d21t:"",d21p:"",d22t:"",d22p:"",d23t:"",d23p:"",d2w:"",d2d:"", d31t:"",d31p:"",d32t:"",d32p:"",d33t:"",d33p:"",d3w:"",d3d:""}; </v>
      </c>
      <c r="DO141" s="110"/>
      <c r="DP141" s="110"/>
      <c r="DQ141" s="111" t="str">
        <f aca="false">"D6.scenario.defSelectValue["""&amp;U141&amp;"""]= [ """&amp;CLEAN(V141)&amp;""", """&amp;CLEAN(W141)&amp;IF(X141="","",""", """&amp;CLEAN(X141))&amp;IF(Y141="","",""", """&amp;CLEAN(Y141))&amp;IF(Z141="","",""", """&amp;CLEAN(Z141))&amp;IF(AA141="","",""", """&amp;CLEAN(AA141))&amp;IF(AB141="","",""", """&amp;CLEAN(AB141))&amp;IF(AC141="","",""", """&amp;CLEAN(AC141))&amp;IF(AD141="","",""", """&amp;CLEAN(AD141))&amp;IF(AE141="","",""", """&amp;CLEAN(AE141))&amp;IF(AF141="","",""", """&amp;CLEAN(AF141))&amp;IF(AG141="","",""", """&amp;CLEAN(AG141))&amp;IF(AH141="","",""", """&amp;CLEAN(AH141))&amp;IF(AI141="","",""", """&amp;CLEAN(AI141))&amp;IF(AJ141="","",""", """&amp;CLEAN(AJ141))&amp;IF(AK141="","",""", """&amp;CLEAN(AK141))&amp;""" ];"</f>
        <v>D6.scenario.defSelectValue["sel632"]= [ "選んで下さい", "持っていない", "1年未満", "3年未満", "5年未満", "7年未満", "10年未満", "15年未満", "20年未満", "20年以上" ];</v>
      </c>
      <c r="DR141" s="112"/>
      <c r="DS141" s="112"/>
      <c r="DT141" s="112" t="str">
        <f aca="false">"D6.scenario.defSelectData['"&amp;U141&amp;"']= [ '"&amp;BC141&amp;"', '"&amp;BD141&amp;"', '"&amp;BE141&amp;IF(BF141="","","', '"&amp;BF141)&amp;IF(BG141="","","', '"&amp;BG141)&amp;IF(BH141="","","', '"&amp;BH141)&amp;IF(BI141="","","', '"&amp;BI141)&amp;IF(BJ141="","","', '"&amp;BJ141)&amp;IF(BK141="","","', '"&amp;BK141)&amp;IF(BL141="","","', '"&amp;BL141)&amp;IF(BM141="","","', '"&amp;BM141)&amp;IF(BN141="","","', '"&amp;BN141)&amp;IF(BO141="","","', '"&amp;BO141)&amp;IF(BP141="","","', '"&amp;BP141)&amp;IF(BQ141="","","', '"&amp;BQ141)&amp;IF(BR141="","","', '"&amp;BR141)&amp;"' ];"</f>
        <v>D6.scenario.defSelectData['sel632']= [ '-1', '0', '1', '2', '4', '6', '9', '13', '18', '25' ];</v>
      </c>
    </row>
    <row r="142" s="88" customFormat="true" ht="43.5" hidden="false" customHeight="true" outlineLevel="0" collapsed="false">
      <c r="A142" s="66"/>
      <c r="B142" s="105" t="s">
        <v>1800</v>
      </c>
      <c r="C142" s="103" t="s">
        <v>1783</v>
      </c>
      <c r="D142" s="104" t="s">
        <v>1783</v>
      </c>
      <c r="E142" s="95" t="s">
        <v>278</v>
      </c>
      <c r="F142" s="103" t="s">
        <v>1055</v>
      </c>
      <c r="G142" s="104" t="s">
        <v>1055</v>
      </c>
      <c r="H142" s="103" t="s">
        <v>1801</v>
      </c>
      <c r="I142" s="104" t="s">
        <v>1783</v>
      </c>
      <c r="J142" s="103" t="str">
        <f aca="false">IF(K142="","",K142)</f>
        <v>sel633</v>
      </c>
      <c r="K142" s="104" t="str">
        <f aca="false">"sel"&amp;MID($B142,2,5)</f>
        <v>sel633</v>
      </c>
      <c r="L142" s="105"/>
      <c r="M142" s="105"/>
      <c r="N142" s="105"/>
      <c r="O142" s="95" t="s">
        <v>931</v>
      </c>
      <c r="P142" s="105"/>
      <c r="Q142" s="105"/>
      <c r="R142" s="95" t="n">
        <v>-1</v>
      </c>
      <c r="S142" s="66"/>
      <c r="T142" s="66"/>
      <c r="U142" s="106" t="str">
        <f aca="false">J142</f>
        <v>sel633</v>
      </c>
      <c r="V142" s="103" t="s">
        <v>979</v>
      </c>
      <c r="W142" s="103" t="s">
        <v>1170</v>
      </c>
      <c r="X142" s="103" t="s">
        <v>1401</v>
      </c>
      <c r="Y142" s="103" t="s">
        <v>1402</v>
      </c>
      <c r="Z142" s="103" t="s">
        <v>1298</v>
      </c>
      <c r="AA142" s="103" t="s">
        <v>1403</v>
      </c>
      <c r="AB142" s="103" t="s">
        <v>1404</v>
      </c>
      <c r="AC142" s="103" t="s">
        <v>1300</v>
      </c>
      <c r="AD142" s="103" t="s">
        <v>1301</v>
      </c>
      <c r="AE142" s="103"/>
      <c r="AF142" s="103"/>
      <c r="AG142" s="103"/>
      <c r="AH142" s="103"/>
      <c r="AI142" s="103"/>
      <c r="AJ142" s="103"/>
      <c r="AK142" s="103"/>
      <c r="AL142" s="104" t="s">
        <v>979</v>
      </c>
      <c r="AM142" s="104" t="s">
        <v>1170</v>
      </c>
      <c r="AN142" s="104" t="s">
        <v>1401</v>
      </c>
      <c r="AO142" s="107" t="s">
        <v>1402</v>
      </c>
      <c r="AP142" s="107" t="s">
        <v>1298</v>
      </c>
      <c r="AQ142" s="107" t="s">
        <v>1403</v>
      </c>
      <c r="AR142" s="104" t="s">
        <v>1404</v>
      </c>
      <c r="AS142" s="104" t="s">
        <v>1300</v>
      </c>
      <c r="AT142" s="104" t="s">
        <v>1301</v>
      </c>
      <c r="AU142" s="104"/>
      <c r="AV142" s="104"/>
      <c r="AW142" s="104"/>
      <c r="AX142" s="104"/>
      <c r="AY142" s="104"/>
      <c r="AZ142" s="104"/>
      <c r="BA142" s="104"/>
      <c r="BB142" s="66"/>
      <c r="BC142" s="103" t="n">
        <v>-1</v>
      </c>
      <c r="BD142" s="103" t="n">
        <v>0</v>
      </c>
      <c r="BE142" s="103" t="n">
        <v>2</v>
      </c>
      <c r="BF142" s="103" t="n">
        <v>4</v>
      </c>
      <c r="BG142" s="103" t="n">
        <v>6</v>
      </c>
      <c r="BH142" s="103" t="n">
        <v>8</v>
      </c>
      <c r="BI142" s="103" t="n">
        <v>12</v>
      </c>
      <c r="BJ142" s="103" t="n">
        <v>16</v>
      </c>
      <c r="BK142" s="103" t="n">
        <v>24</v>
      </c>
      <c r="BL142" s="103"/>
      <c r="BM142" s="103"/>
      <c r="BN142" s="103"/>
      <c r="BO142" s="103"/>
      <c r="BP142" s="103"/>
      <c r="BQ142" s="103"/>
      <c r="BR142" s="103"/>
      <c r="BS142" s="104" t="n">
        <v>-1</v>
      </c>
      <c r="BT142" s="104" t="n">
        <v>0</v>
      </c>
      <c r="BU142" s="104" t="n">
        <v>2</v>
      </c>
      <c r="BV142" s="104" t="n">
        <v>4</v>
      </c>
      <c r="BW142" s="104" t="n">
        <v>6</v>
      </c>
      <c r="BX142" s="104" t="n">
        <v>8</v>
      </c>
      <c r="BY142" s="104" t="n">
        <v>12</v>
      </c>
      <c r="BZ142" s="104" t="n">
        <v>16</v>
      </c>
      <c r="CA142" s="104" t="n">
        <v>24</v>
      </c>
      <c r="CB142" s="104"/>
      <c r="CC142" s="104"/>
      <c r="CD142" s="104"/>
      <c r="CE142" s="104"/>
      <c r="CF142" s="104"/>
      <c r="CG142" s="104"/>
      <c r="CH142" s="104"/>
      <c r="CJ142" s="95"/>
      <c r="CK142" s="95"/>
      <c r="CL142" s="95"/>
      <c r="CM142" s="95"/>
      <c r="CN142" s="95"/>
      <c r="CO142" s="95"/>
      <c r="CP142" s="95"/>
      <c r="CQ142" s="95"/>
      <c r="CR142" s="95"/>
      <c r="CS142" s="95"/>
      <c r="CT142" s="95"/>
      <c r="CU142" s="95"/>
      <c r="CV142" s="95"/>
      <c r="CW142" s="95"/>
      <c r="CX142" s="95"/>
      <c r="CY142" s="95"/>
      <c r="CZ142" s="95"/>
      <c r="DA142" s="95"/>
      <c r="DB142" s="95"/>
      <c r="DC142" s="95"/>
      <c r="DD142" s="95"/>
      <c r="DE142" s="95"/>
      <c r="DF142" s="95"/>
      <c r="DG142" s="95"/>
      <c r="DL142" s="108"/>
      <c r="DM142" s="108"/>
      <c r="DN142" s="109" t="str">
        <f aca="false">"D6.scenario.defInput["""&amp;B142&amp;"""] = {  "&amp;E$2&amp;":"""&amp;E142&amp;""",  "&amp;C$2&amp;":"""&amp;CLEAN(SUBSTITUTE(C142,"""",""""))&amp;""",  "&amp;F$2&amp;":"""&amp;F142&amp;""",  "&amp;H$2&amp;":"""&amp;CLEAN(SUBSTITUTE(H142,"""",""""))&amp;""", "&amp;J$2&amp;":"""&amp;J142&amp;""", "&amp;L$2&amp;":"""&amp;L142&amp;""", "&amp;M$2&amp;":"""&amp;M142&amp;""", "&amp;N$2&amp;":"""&amp;N142&amp;""", "&amp;O$2&amp;":"""&amp;O142&amp;""", "&amp;P$2&amp;":"""&amp;P142&amp;""", "&amp;Q$2&amp;":"""&amp;Q142&amp;""", "&amp;R$2&amp;":"""&amp;R142&amp;""", d11t:"""&amp;CJ142&amp;""",d11p:"""&amp;CK142&amp;""",d12t:"""&amp;CL142&amp;""",d12p:"""&amp;CM142&amp;""",d13t:"""&amp;CN142&amp;""",d13p:"""&amp;CO142&amp;""",d1w:"""&amp;CP142&amp;""",d1d:"""&amp;CQ142&amp;""", d21t:"""&amp;CR142&amp;""",d21p:"""&amp;CS142&amp;""",d22t:"""&amp;CT142&amp;""",d22p:"""&amp;CU142&amp;""",d23t:"""&amp;CV142&amp;""",d23p:"""&amp;CW142&amp;""",d2w:"""&amp;CX142&amp;""",d2d:"""&amp;CY142&amp;""", d31t:"""&amp;CZ142&amp;""",d31p:"""&amp;DA142&amp;""",d32t:"""&amp;DB142&amp;""",d32p:"""&amp;DC142&amp;""",d33t:"""&amp;DD142&amp;""",d33p:"""&amp;DE142&amp;""",d3w:"""&amp;DF142&amp;""",d3d:"""&amp;DG142&amp;"""}; "</f>
        <v>D6.scenario.defInput["i633"] = {  cons:"consTV",  title:"テレビの時間",  unit:"年",  text:"テレビをつける時間はどのくらいですか", inputType:"sel633", right:"", postfix:"", nodata:"", varType:"Number", min:"", max:"", defaultValue:"-1", d11t:"",d11p:"",d12t:"",d12p:"",d13t:"",d13p:"",d1w:"",d1d:"", d21t:"",d21p:"",d22t:"",d22p:"",d23t:"",d23p:"",d2w:"",d2d:"", d31t:"",d31p:"",d32t:"",d32p:"",d33t:"",d33p:"",d3w:"",d3d:""}; </v>
      </c>
      <c r="DO142" s="110"/>
      <c r="DP142" s="110"/>
      <c r="DQ142" s="111" t="str">
        <f aca="false">"D6.scenario.defSelectValue["""&amp;U142&amp;"""]= [ """&amp;CLEAN(V142)&amp;""", """&amp;CLEAN(W142)&amp;IF(X142="","",""", """&amp;CLEAN(X142))&amp;IF(Y142="","",""", """&amp;CLEAN(Y142))&amp;IF(Z142="","",""", """&amp;CLEAN(Z142))&amp;IF(AA142="","",""", """&amp;CLEAN(AA142))&amp;IF(AB142="","",""", """&amp;CLEAN(AB142))&amp;IF(AC142="","",""", """&amp;CLEAN(AC142))&amp;IF(AD142="","",""", """&amp;CLEAN(AD142))&amp;IF(AE142="","",""", """&amp;CLEAN(AE142))&amp;IF(AF142="","",""", """&amp;CLEAN(AF142))&amp;IF(AG142="","",""", """&amp;CLEAN(AG142))&amp;IF(AH142="","",""", """&amp;CLEAN(AH142))&amp;IF(AI142="","",""", """&amp;CLEAN(AI142))&amp;IF(AJ142="","",""", """&amp;CLEAN(AJ142))&amp;IF(AK142="","",""", """&amp;CLEAN(AK142))&amp;""" ];"</f>
        <v>D6.scenario.defSelectValue["sel633"]= [ "選んで下さい", "使わない", "2時間", "4時間", "6時間", "8時間", "12時間", "16時間", "24時間" ];</v>
      </c>
      <c r="DR142" s="112"/>
      <c r="DS142" s="112"/>
      <c r="DT142" s="112" t="str">
        <f aca="false">"D6.scenario.defSelectData['"&amp;U142&amp;"']= [ '"&amp;BC142&amp;"', '"&amp;BD142&amp;"', '"&amp;BE142&amp;IF(BF142="","","', '"&amp;BF142)&amp;IF(BG142="","","', '"&amp;BG142)&amp;IF(BH142="","","', '"&amp;BH142)&amp;IF(BI142="","","', '"&amp;BI142)&amp;IF(BJ142="","","', '"&amp;BJ142)&amp;IF(BK142="","","', '"&amp;BK142)&amp;IF(BL142="","","', '"&amp;BL142)&amp;IF(BM142="","","', '"&amp;BM142)&amp;IF(BN142="","","', '"&amp;BN142)&amp;IF(BO142="","","', '"&amp;BO142)&amp;IF(BP142="","","', '"&amp;BP142)&amp;IF(BQ142="","","', '"&amp;BQ142)&amp;IF(BR142="","","', '"&amp;BR142)&amp;"' ];"</f>
        <v>D6.scenario.defSelectData['sel633']= [ '-1', '0', '2', '4', '6', '8', '12', '16', '24' ];</v>
      </c>
    </row>
    <row r="143" s="88" customFormat="true" ht="43.5" hidden="false" customHeight="true" outlineLevel="0" collapsed="false">
      <c r="A143" s="66"/>
      <c r="B143" s="105" t="s">
        <v>1802</v>
      </c>
      <c r="C143" s="103" t="s">
        <v>1803</v>
      </c>
      <c r="D143" s="104" t="s">
        <v>1803</v>
      </c>
      <c r="E143" s="95" t="s">
        <v>253</v>
      </c>
      <c r="F143" s="103" t="s">
        <v>1804</v>
      </c>
      <c r="G143" s="104" t="s">
        <v>1804</v>
      </c>
      <c r="H143" s="103" t="s">
        <v>1805</v>
      </c>
      <c r="I143" s="104" t="s">
        <v>1805</v>
      </c>
      <c r="J143" s="103" t="str">
        <f aca="false">IF(K143="","",K143)</f>
        <v>sel701</v>
      </c>
      <c r="K143" s="104" t="str">
        <f aca="false">"sel"&amp;MID($B143,2,5)</f>
        <v>sel701</v>
      </c>
      <c r="L143" s="105"/>
      <c r="M143" s="105"/>
      <c r="N143" s="105"/>
      <c r="O143" s="95" t="s">
        <v>931</v>
      </c>
      <c r="P143" s="105"/>
      <c r="Q143" s="105"/>
      <c r="R143" s="95" t="n">
        <v>-1</v>
      </c>
      <c r="S143" s="66"/>
      <c r="T143" s="66"/>
      <c r="U143" s="106" t="str">
        <f aca="false">J143</f>
        <v>sel701</v>
      </c>
      <c r="V143" s="103" t="s">
        <v>979</v>
      </c>
      <c r="W143" s="103" t="s">
        <v>1459</v>
      </c>
      <c r="X143" s="103" t="s">
        <v>1806</v>
      </c>
      <c r="Y143" s="103" t="s">
        <v>1807</v>
      </c>
      <c r="Z143" s="103" t="s">
        <v>1808</v>
      </c>
      <c r="AA143" s="103" t="s">
        <v>1809</v>
      </c>
      <c r="AB143" s="103" t="s">
        <v>1810</v>
      </c>
      <c r="AC143" s="103"/>
      <c r="AD143" s="103"/>
      <c r="AE143" s="103"/>
      <c r="AF143" s="103"/>
      <c r="AG143" s="103"/>
      <c r="AH143" s="103"/>
      <c r="AI143" s="103"/>
      <c r="AJ143" s="103"/>
      <c r="AK143" s="103"/>
      <c r="AL143" s="104" t="s">
        <v>979</v>
      </c>
      <c r="AM143" s="104" t="s">
        <v>1459</v>
      </c>
      <c r="AN143" s="107" t="s">
        <v>1806</v>
      </c>
      <c r="AO143" s="107" t="s">
        <v>1807</v>
      </c>
      <c r="AP143" s="104" t="s">
        <v>1808</v>
      </c>
      <c r="AQ143" s="104" t="s">
        <v>1809</v>
      </c>
      <c r="AR143" s="104" t="s">
        <v>1810</v>
      </c>
      <c r="AS143" s="104"/>
      <c r="AT143" s="104"/>
      <c r="AU143" s="104"/>
      <c r="AV143" s="104"/>
      <c r="AW143" s="104"/>
      <c r="AX143" s="104"/>
      <c r="AY143" s="104"/>
      <c r="AZ143" s="104"/>
      <c r="BA143" s="104"/>
      <c r="BB143" s="66"/>
      <c r="BC143" s="103" t="n">
        <v>-1</v>
      </c>
      <c r="BD143" s="103" t="n">
        <v>0</v>
      </c>
      <c r="BE143" s="103" t="n">
        <v>1</v>
      </c>
      <c r="BF143" s="103" t="n">
        <v>2</v>
      </c>
      <c r="BG143" s="103" t="n">
        <v>3</v>
      </c>
      <c r="BH143" s="103" t="n">
        <v>4</v>
      </c>
      <c r="BI143" s="103" t="n">
        <v>5</v>
      </c>
      <c r="BJ143" s="103"/>
      <c r="BK143" s="103"/>
      <c r="BL143" s="103"/>
      <c r="BM143" s="103"/>
      <c r="BN143" s="103"/>
      <c r="BO143" s="103"/>
      <c r="BP143" s="103"/>
      <c r="BQ143" s="103"/>
      <c r="BR143" s="103"/>
      <c r="BS143" s="104" t="n">
        <v>-1</v>
      </c>
      <c r="BT143" s="104" t="n">
        <v>0</v>
      </c>
      <c r="BU143" s="104" t="n">
        <v>1</v>
      </c>
      <c r="BV143" s="104" t="n">
        <v>2</v>
      </c>
      <c r="BW143" s="104" t="n">
        <v>3</v>
      </c>
      <c r="BX143" s="104" t="n">
        <v>4</v>
      </c>
      <c r="BY143" s="104" t="n">
        <v>5</v>
      </c>
      <c r="BZ143" s="104"/>
      <c r="CA143" s="104"/>
      <c r="CB143" s="104"/>
      <c r="CC143" s="104"/>
      <c r="CD143" s="104"/>
      <c r="CE143" s="104"/>
      <c r="CF143" s="104"/>
      <c r="CG143" s="104"/>
      <c r="CH143" s="104"/>
      <c r="CJ143" s="95" t="n">
        <v>2</v>
      </c>
      <c r="CK143" s="95" t="n">
        <v>0</v>
      </c>
      <c r="CL143" s="95" t="n">
        <v>0</v>
      </c>
      <c r="CM143" s="95" t="n">
        <v>2</v>
      </c>
      <c r="CN143" s="95"/>
      <c r="CO143" s="95"/>
      <c r="CP143" s="95" t="n">
        <v>1</v>
      </c>
      <c r="CQ143" s="95" t="n">
        <v>2</v>
      </c>
      <c r="CR143" s="95"/>
      <c r="CS143" s="95"/>
      <c r="CT143" s="95"/>
      <c r="CU143" s="95"/>
      <c r="CV143" s="95"/>
      <c r="CW143" s="95"/>
      <c r="CX143" s="95"/>
      <c r="CY143" s="95"/>
      <c r="CZ143" s="95" t="n">
        <v>2</v>
      </c>
      <c r="DA143" s="95" t="n">
        <v>0</v>
      </c>
      <c r="DB143" s="95" t="n">
        <v>0</v>
      </c>
      <c r="DC143" s="95" t="n">
        <v>2</v>
      </c>
      <c r="DD143" s="95"/>
      <c r="DE143" s="95"/>
      <c r="DF143" s="95" t="n">
        <v>1</v>
      </c>
      <c r="DG143" s="95" t="n">
        <v>2</v>
      </c>
      <c r="DL143" s="108"/>
      <c r="DM143" s="108"/>
      <c r="DN143" s="109" t="str">
        <f aca="false">"D6.scenario.defInput["""&amp;B143&amp;"""] = {  "&amp;E$2&amp;":"""&amp;E143&amp;""",  "&amp;C$2&amp;":"""&amp;CLEAN(SUBSTITUTE(C143,"""",""""))&amp;""",  "&amp;F$2&amp;":"""&amp;F143&amp;""",  "&amp;H$2&amp;":"""&amp;CLEAN(SUBSTITUTE(H143,"""",""""))&amp;""", "&amp;J$2&amp;":"""&amp;J143&amp;""", "&amp;L$2&amp;":"""&amp;L143&amp;""", "&amp;M$2&amp;":"""&amp;M143&amp;""", "&amp;N$2&amp;":"""&amp;N143&amp;""", "&amp;O$2&amp;":"""&amp;O143&amp;""", "&amp;P$2&amp;":"""&amp;P143&amp;""", "&amp;Q$2&amp;":"""&amp;Q143&amp;""", "&amp;R$2&amp;":"""&amp;R143&amp;""", d11t:"""&amp;CJ143&amp;""",d11p:"""&amp;CK143&amp;""",d12t:"""&amp;CL143&amp;""",d12p:"""&amp;CM143&amp;""",d13t:"""&amp;CN143&amp;""",d13p:"""&amp;CO143&amp;""",d1w:"""&amp;CP143&amp;""",d1d:"""&amp;CQ143&amp;""", d21t:"""&amp;CR143&amp;""",d21p:"""&amp;CS143&amp;""",d22t:"""&amp;CT143&amp;""",d22p:"""&amp;CU143&amp;""",d23t:"""&amp;CV143&amp;""",d23p:"""&amp;CW143&amp;""",d2w:"""&amp;CX143&amp;""",d2d:"""&amp;CY143&amp;""", d31t:"""&amp;CZ143&amp;""",d31p:"""&amp;DA143&amp;""",d32t:"""&amp;DB143&amp;""",d32p:"""&amp;DC143&amp;""",d33t:"""&amp;DD143&amp;""",d33p:"""&amp;DE143&amp;""",d3w:"""&amp;DF143&amp;""",d3d:"""&amp;DG143&amp;"""}; "</f>
        <v>D6.scenario.defInput["i701"] = {  cons:"consRFsum",  title:"冷蔵庫の台数",  unit:"台",  text:"冷蔵庫を何台使っていますか。ストッカー（冷凍庫）も1台と数えて下さい。", inputType:"sel701", right:"", postfix:"", nodata:"", varType:"Number", min:"", max:"", defaultValue:"-1", d11t:"2",d11p:"0",d12t:"0",d12p:"2",d13t:"",d13p:"",d1w:"1",d1d:"2", d21t:"",d21p:"",d22t:"",d22p:"",d23t:"",d23p:"",d2w:"",d2d:"", d31t:"2",d31p:"0",d32t:"0",d32p:"2",d33t:"",d33p:"",d3w:"1",d3d:"2"}; </v>
      </c>
      <c r="DO143" s="110"/>
      <c r="DP143" s="110"/>
      <c r="DQ143" s="111" t="str">
        <f aca="false">"D6.scenario.defSelectValue["""&amp;U143&amp;"""]= [ """&amp;CLEAN(V143)&amp;""", """&amp;CLEAN(W143)&amp;IF(X143="","",""", """&amp;CLEAN(X143))&amp;IF(Y143="","",""", """&amp;CLEAN(Y143))&amp;IF(Z143="","",""", """&amp;CLEAN(Z143))&amp;IF(AA143="","",""", """&amp;CLEAN(AA143))&amp;IF(AB143="","",""", """&amp;CLEAN(AB143))&amp;IF(AC143="","",""", """&amp;CLEAN(AC143))&amp;IF(AD143="","",""", """&amp;CLEAN(AD143))&amp;IF(AE143="","",""", """&amp;CLEAN(AE143))&amp;IF(AF143="","",""", """&amp;CLEAN(AF143))&amp;IF(AG143="","",""", """&amp;CLEAN(AG143))&amp;IF(AH143="","",""", """&amp;CLEAN(AH143))&amp;IF(AI143="","",""", """&amp;CLEAN(AI143))&amp;IF(AJ143="","",""", """&amp;CLEAN(AJ143))&amp;IF(AK143="","",""", """&amp;CLEAN(AK143))&amp;""" ];"</f>
        <v>D6.scenario.defSelectValue["sel701"]= [ "選んで下さい", "持っていない", "1台", "2台", "3台", "4台", "5台" ];</v>
      </c>
      <c r="DR143" s="112"/>
      <c r="DS143" s="112"/>
      <c r="DT143" s="112" t="str">
        <f aca="false">"D6.scenario.defSelectData['"&amp;U143&amp;"']= [ '"&amp;BC143&amp;"', '"&amp;BD143&amp;"', '"&amp;BE143&amp;IF(BF143="","","', '"&amp;BF143)&amp;IF(BG143="","","', '"&amp;BG143)&amp;IF(BH143="","","', '"&amp;BH143)&amp;IF(BI143="","","', '"&amp;BI143)&amp;IF(BJ143="","","', '"&amp;BJ143)&amp;IF(BK143="","","', '"&amp;BK143)&amp;IF(BL143="","","', '"&amp;BL143)&amp;IF(BM143="","","', '"&amp;BM143)&amp;IF(BN143="","","', '"&amp;BN143)&amp;IF(BO143="","","', '"&amp;BO143)&amp;IF(BP143="","","', '"&amp;BP143)&amp;IF(BQ143="","","', '"&amp;BQ143)&amp;IF(BR143="","","', '"&amp;BR143)&amp;"' ];"</f>
        <v>D6.scenario.defSelectData['sel701']= [ '-1', '0', '1', '2', '3', '4', '5' ];</v>
      </c>
    </row>
    <row r="144" s="88" customFormat="true" ht="43.5" hidden="false" customHeight="true" outlineLevel="0" collapsed="false">
      <c r="A144" s="66"/>
      <c r="B144" s="105" t="s">
        <v>1811</v>
      </c>
      <c r="C144" s="103" t="s">
        <v>1812</v>
      </c>
      <c r="D144" s="104" t="s">
        <v>1812</v>
      </c>
      <c r="E144" s="95" t="s">
        <v>256</v>
      </c>
      <c r="F144" s="103" t="s">
        <v>1055</v>
      </c>
      <c r="G144" s="104" t="s">
        <v>1055</v>
      </c>
      <c r="H144" s="103" t="s">
        <v>1813</v>
      </c>
      <c r="I144" s="104" t="s">
        <v>1812</v>
      </c>
      <c r="J144" s="103" t="str">
        <f aca="false">IF(K144="","",K144)</f>
        <v>sel711</v>
      </c>
      <c r="K144" s="104" t="str">
        <f aca="false">"sel"&amp;MID($B144,2,5)</f>
        <v>sel711</v>
      </c>
      <c r="L144" s="105"/>
      <c r="M144" s="105"/>
      <c r="N144" s="105"/>
      <c r="O144" s="95" t="s">
        <v>931</v>
      </c>
      <c r="P144" s="105"/>
      <c r="Q144" s="105"/>
      <c r="R144" s="95" t="n">
        <v>-1</v>
      </c>
      <c r="S144" s="66"/>
      <c r="T144" s="66"/>
      <c r="U144" s="106" t="str">
        <f aca="false">J144</f>
        <v>sel711</v>
      </c>
      <c r="V144" s="103" t="s">
        <v>979</v>
      </c>
      <c r="W144" s="103" t="s">
        <v>1459</v>
      </c>
      <c r="X144" s="103" t="s">
        <v>1460</v>
      </c>
      <c r="Y144" s="103" t="s">
        <v>1461</v>
      </c>
      <c r="Z144" s="103" t="s">
        <v>1058</v>
      </c>
      <c r="AA144" s="103" t="s">
        <v>1462</v>
      </c>
      <c r="AB144" s="103" t="s">
        <v>1463</v>
      </c>
      <c r="AC144" s="103" t="s">
        <v>1464</v>
      </c>
      <c r="AD144" s="103" t="s">
        <v>1465</v>
      </c>
      <c r="AE144" s="103" t="s">
        <v>1061</v>
      </c>
      <c r="AF144" s="103"/>
      <c r="AG144" s="103"/>
      <c r="AH144" s="103"/>
      <c r="AI144" s="103"/>
      <c r="AJ144" s="103"/>
      <c r="AK144" s="103"/>
      <c r="AL144" s="104" t="s">
        <v>979</v>
      </c>
      <c r="AM144" s="104" t="s">
        <v>1459</v>
      </c>
      <c r="AN144" s="107" t="s">
        <v>1460</v>
      </c>
      <c r="AO144" s="107" t="s">
        <v>1461</v>
      </c>
      <c r="AP144" s="107" t="s">
        <v>1058</v>
      </c>
      <c r="AQ144" s="107" t="s">
        <v>1462</v>
      </c>
      <c r="AR144" s="107" t="s">
        <v>1463</v>
      </c>
      <c r="AS144" s="107" t="s">
        <v>1464</v>
      </c>
      <c r="AT144" s="107" t="s">
        <v>1465</v>
      </c>
      <c r="AU144" s="104" t="s">
        <v>1061</v>
      </c>
      <c r="AV144" s="104"/>
      <c r="AW144" s="104"/>
      <c r="AX144" s="104"/>
      <c r="AY144" s="104"/>
      <c r="AZ144" s="104"/>
      <c r="BA144" s="104"/>
      <c r="BB144" s="66"/>
      <c r="BC144" s="103" t="n">
        <v>-1</v>
      </c>
      <c r="BD144" s="103" t="n">
        <v>0</v>
      </c>
      <c r="BE144" s="103" t="n">
        <v>1</v>
      </c>
      <c r="BF144" s="103" t="n">
        <v>2</v>
      </c>
      <c r="BG144" s="103" t="n">
        <v>4</v>
      </c>
      <c r="BH144" s="103" t="n">
        <v>6</v>
      </c>
      <c r="BI144" s="103" t="n">
        <v>8</v>
      </c>
      <c r="BJ144" s="103" t="n">
        <v>12</v>
      </c>
      <c r="BK144" s="103" t="n">
        <v>17</v>
      </c>
      <c r="BL144" s="103" t="n">
        <v>25</v>
      </c>
      <c r="BM144" s="103"/>
      <c r="BN144" s="103"/>
      <c r="BO144" s="103"/>
      <c r="BP144" s="103"/>
      <c r="BQ144" s="103"/>
      <c r="BR144" s="103"/>
      <c r="BS144" s="104" t="n">
        <v>-1</v>
      </c>
      <c r="BT144" s="104" t="n">
        <v>0</v>
      </c>
      <c r="BU144" s="104" t="n">
        <v>0</v>
      </c>
      <c r="BV144" s="104" t="n">
        <v>2</v>
      </c>
      <c r="BW144" s="104" t="n">
        <v>4</v>
      </c>
      <c r="BX144" s="104" t="n">
        <v>6</v>
      </c>
      <c r="BY144" s="104" t="n">
        <v>8</v>
      </c>
      <c r="BZ144" s="104" t="n">
        <v>12</v>
      </c>
      <c r="CA144" s="104" t="n">
        <v>17</v>
      </c>
      <c r="CB144" s="104" t="n">
        <v>25</v>
      </c>
      <c r="CC144" s="104"/>
      <c r="CD144" s="104"/>
      <c r="CE144" s="104"/>
      <c r="CF144" s="104"/>
      <c r="CG144" s="104"/>
      <c r="CH144" s="104"/>
      <c r="CJ144" s="95"/>
      <c r="CK144" s="95"/>
      <c r="CL144" s="95"/>
      <c r="CM144" s="95"/>
      <c r="CN144" s="95"/>
      <c r="CO144" s="95"/>
      <c r="CP144" s="95"/>
      <c r="CQ144" s="95"/>
      <c r="CR144" s="95"/>
      <c r="CS144" s="95"/>
      <c r="CT144" s="95"/>
      <c r="CU144" s="95"/>
      <c r="CV144" s="95"/>
      <c r="CW144" s="95"/>
      <c r="CX144" s="95"/>
      <c r="CY144" s="95"/>
      <c r="CZ144" s="95"/>
      <c r="DA144" s="95"/>
      <c r="DB144" s="95"/>
      <c r="DC144" s="95"/>
      <c r="DD144" s="95"/>
      <c r="DE144" s="95"/>
      <c r="DF144" s="95"/>
      <c r="DG144" s="95"/>
      <c r="DL144" s="108"/>
      <c r="DM144" s="108"/>
      <c r="DN144" s="109" t="str">
        <f aca="false">"D6.scenario.defInput["""&amp;B144&amp;"""] = {  "&amp;E$2&amp;":"""&amp;E144&amp;""",  "&amp;C$2&amp;":"""&amp;CLEAN(SUBSTITUTE(C144,"""",""""))&amp;""",  "&amp;F$2&amp;":"""&amp;F144&amp;""",  "&amp;H$2&amp;":"""&amp;CLEAN(SUBSTITUTE(H144,"""",""""))&amp;""", "&amp;J$2&amp;":"""&amp;J144&amp;""", "&amp;L$2&amp;":"""&amp;L144&amp;""", "&amp;M$2&amp;":"""&amp;M144&amp;""", "&amp;N$2&amp;":"""&amp;N144&amp;""", "&amp;O$2&amp;":"""&amp;O144&amp;""", "&amp;P$2&amp;":"""&amp;P144&amp;""", "&amp;Q$2&amp;":"""&amp;Q144&amp;""", "&amp;R$2&amp;":"""&amp;R144&amp;""", d11t:"""&amp;CJ144&amp;""",d11p:"""&amp;CK144&amp;""",d12t:"""&amp;CL144&amp;""",d12p:"""&amp;CM144&amp;""",d13t:"""&amp;CN144&amp;""",d13p:"""&amp;CO144&amp;""",d1w:"""&amp;CP144&amp;""",d1d:"""&amp;CQ144&amp;""", d21t:"""&amp;CR144&amp;""",d21p:"""&amp;CS144&amp;""",d22t:"""&amp;CT144&amp;""",d22p:"""&amp;CU144&amp;""",d23t:"""&amp;CV144&amp;""",d23p:"""&amp;CW144&amp;""",d2w:"""&amp;CX144&amp;""",d2d:"""&amp;CY144&amp;""", d31t:"""&amp;CZ144&amp;""",d31p:"""&amp;DA144&amp;""",d32t:"""&amp;DB144&amp;""",d32p:"""&amp;DC144&amp;""",d33t:"""&amp;DD144&amp;""",d33p:"""&amp;DE144&amp;""",d3w:"""&amp;DF144&amp;""",d3d:"""&amp;DG144&amp;"""}; "</f>
        <v>D6.scenario.defInput["i711"] = {  cons:"consRF",  title:"冷蔵庫の使用年数",  unit:"年",  text:"冷蔵庫は何年使用していますか", inputType:"sel711", right:"", postfix:"", nodata:"", varType:"Number", min:"", max:"", defaultValue:"-1", d11t:"",d11p:"",d12t:"",d12p:"",d13t:"",d13p:"",d1w:"",d1d:"", d21t:"",d21p:"",d22t:"",d22p:"",d23t:"",d23p:"",d2w:"",d2d:"", d31t:"",d31p:"",d32t:"",d32p:"",d33t:"",d33p:"",d3w:"",d3d:""}; </v>
      </c>
      <c r="DO144" s="110"/>
      <c r="DP144" s="110"/>
      <c r="DQ144" s="111" t="str">
        <f aca="false">"D6.scenario.defSelectValue["""&amp;U144&amp;"""]= [ """&amp;CLEAN(V144)&amp;""", """&amp;CLEAN(W144)&amp;IF(X144="","",""", """&amp;CLEAN(X144))&amp;IF(Y144="","",""", """&amp;CLEAN(Y144))&amp;IF(Z144="","",""", """&amp;CLEAN(Z144))&amp;IF(AA144="","",""", """&amp;CLEAN(AA144))&amp;IF(AB144="","",""", """&amp;CLEAN(AB144))&amp;IF(AC144="","",""", """&amp;CLEAN(AC144))&amp;IF(AD144="","",""", """&amp;CLEAN(AD144))&amp;IF(AE144="","",""", """&amp;CLEAN(AE144))&amp;IF(AF144="","",""", """&amp;CLEAN(AF144))&amp;IF(AG144="","",""", """&amp;CLEAN(AG144))&amp;IF(AH144="","",""", """&amp;CLEAN(AH144))&amp;IF(AI144="","",""", """&amp;CLEAN(AI144))&amp;IF(AJ144="","",""", """&amp;CLEAN(AJ144))&amp;IF(AK144="","",""", """&amp;CLEAN(AK144))&amp;""" ];"</f>
        <v>D6.scenario.defSelectValue["sel711"]= [ "選んで下さい", "持っていない", "1年未満", "3年未満", "5年未満", "7年未満", "10年未満", "15年未満", "20年未満", "20年以上" ];</v>
      </c>
      <c r="DR144" s="112"/>
      <c r="DS144" s="112"/>
      <c r="DT144" s="112" t="str">
        <f aca="false">"D6.scenario.defSelectData['"&amp;U144&amp;"']= [ '"&amp;BC144&amp;"', '"&amp;BD144&amp;"', '"&amp;BE144&amp;IF(BF144="","","', '"&amp;BF144)&amp;IF(BG144="","","', '"&amp;BG144)&amp;IF(BH144="","","', '"&amp;BH144)&amp;IF(BI144="","","', '"&amp;BI144)&amp;IF(BJ144="","","', '"&amp;BJ144)&amp;IF(BK144="","","', '"&amp;BK144)&amp;IF(BL144="","","', '"&amp;BL144)&amp;IF(BM144="","","', '"&amp;BM144)&amp;IF(BN144="","","', '"&amp;BN144)&amp;IF(BO144="","","', '"&amp;BO144)&amp;IF(BP144="","","', '"&amp;BP144)&amp;IF(BQ144="","","', '"&amp;BQ144)&amp;IF(BR144="","","', '"&amp;BR144)&amp;"' ];"</f>
        <v>D6.scenario.defSelectData['sel711']= [ '-1', '0', '1', '2', '4', '6', '8', '12', '17', '25' ];</v>
      </c>
    </row>
    <row r="145" s="88" customFormat="true" ht="43.5" hidden="false" customHeight="true" outlineLevel="0" collapsed="false">
      <c r="A145" s="66"/>
      <c r="B145" s="105" t="s">
        <v>1814</v>
      </c>
      <c r="C145" s="103" t="s">
        <v>1815</v>
      </c>
      <c r="D145" s="104" t="s">
        <v>1815</v>
      </c>
      <c r="E145" s="95" t="s">
        <v>256</v>
      </c>
      <c r="F145" s="103"/>
      <c r="G145" s="104"/>
      <c r="H145" s="103" t="s">
        <v>1816</v>
      </c>
      <c r="I145" s="104" t="s">
        <v>1815</v>
      </c>
      <c r="J145" s="103" t="str">
        <f aca="false">IF(K145="","",K145)</f>
        <v>sel712</v>
      </c>
      <c r="K145" s="104" t="str">
        <f aca="false">"sel"&amp;MID($B145,2,5)</f>
        <v>sel712</v>
      </c>
      <c r="L145" s="105"/>
      <c r="M145" s="105"/>
      <c r="N145" s="105"/>
      <c r="O145" s="95" t="s">
        <v>931</v>
      </c>
      <c r="P145" s="105"/>
      <c r="Q145" s="105"/>
      <c r="R145" s="95" t="n">
        <v>-1</v>
      </c>
      <c r="S145" s="66"/>
      <c r="U145" s="106" t="str">
        <f aca="false">J145</f>
        <v>sel712</v>
      </c>
      <c r="V145" s="103" t="s">
        <v>979</v>
      </c>
      <c r="W145" s="103" t="s">
        <v>1817</v>
      </c>
      <c r="X145" s="103" t="s">
        <v>1818</v>
      </c>
      <c r="Y145" s="103"/>
      <c r="Z145" s="103"/>
      <c r="AA145" s="103"/>
      <c r="AB145" s="103"/>
      <c r="AC145" s="103"/>
      <c r="AD145" s="103"/>
      <c r="AE145" s="103"/>
      <c r="AF145" s="103"/>
      <c r="AG145" s="103"/>
      <c r="AH145" s="103"/>
      <c r="AI145" s="103"/>
      <c r="AJ145" s="103"/>
      <c r="AK145" s="103"/>
      <c r="AL145" s="104" t="s">
        <v>979</v>
      </c>
      <c r="AM145" s="107" t="s">
        <v>1817</v>
      </c>
      <c r="AN145" s="104" t="s">
        <v>1818</v>
      </c>
      <c r="AO145" s="104"/>
      <c r="AP145" s="104"/>
      <c r="AQ145" s="104"/>
      <c r="AR145" s="104"/>
      <c r="AS145" s="104"/>
      <c r="AT145" s="104"/>
      <c r="AU145" s="104"/>
      <c r="AV145" s="104"/>
      <c r="AW145" s="104"/>
      <c r="AX145" s="104"/>
      <c r="AY145" s="104"/>
      <c r="AZ145" s="104"/>
      <c r="BA145" s="104"/>
      <c r="BB145" s="66"/>
      <c r="BC145" s="103" t="n">
        <v>-1</v>
      </c>
      <c r="BD145" s="103" t="n">
        <v>1</v>
      </c>
      <c r="BE145" s="103" t="n">
        <v>2</v>
      </c>
      <c r="BF145" s="103"/>
      <c r="BG145" s="103"/>
      <c r="BH145" s="103"/>
      <c r="BI145" s="103"/>
      <c r="BJ145" s="103"/>
      <c r="BK145" s="103"/>
      <c r="BL145" s="103"/>
      <c r="BM145" s="103"/>
      <c r="BN145" s="103"/>
      <c r="BO145" s="103"/>
      <c r="BP145" s="103"/>
      <c r="BQ145" s="103"/>
      <c r="BR145" s="103"/>
      <c r="BS145" s="104" t="n">
        <v>-1</v>
      </c>
      <c r="BT145" s="104" t="n">
        <v>1</v>
      </c>
      <c r="BU145" s="104" t="n">
        <v>2</v>
      </c>
      <c r="BV145" s="104"/>
      <c r="BW145" s="104"/>
      <c r="BX145" s="104"/>
      <c r="BY145" s="104"/>
      <c r="BZ145" s="104"/>
      <c r="CA145" s="104"/>
      <c r="CB145" s="104"/>
      <c r="CC145" s="104"/>
      <c r="CD145" s="104"/>
      <c r="CE145" s="104"/>
      <c r="CF145" s="104"/>
      <c r="CG145" s="104"/>
      <c r="CH145" s="104"/>
      <c r="CJ145" s="95"/>
      <c r="CK145" s="95"/>
      <c r="CL145" s="95"/>
      <c r="CM145" s="95"/>
      <c r="CN145" s="95"/>
      <c r="CO145" s="95"/>
      <c r="CP145" s="95"/>
      <c r="CQ145" s="95"/>
      <c r="CR145" s="95"/>
      <c r="CS145" s="95"/>
      <c r="CT145" s="95"/>
      <c r="CU145" s="95"/>
      <c r="CV145" s="95"/>
      <c r="CW145" s="95"/>
      <c r="CX145" s="95"/>
      <c r="CY145" s="95"/>
      <c r="CZ145" s="95"/>
      <c r="DA145" s="95"/>
      <c r="DB145" s="95"/>
      <c r="DC145" s="95"/>
      <c r="DD145" s="95"/>
      <c r="DE145" s="95"/>
      <c r="DF145" s="95"/>
      <c r="DG145" s="95"/>
      <c r="DL145" s="108"/>
      <c r="DM145" s="108"/>
      <c r="DN145" s="109" t="str">
        <f aca="false">"D6.scenario.defInput["""&amp;B145&amp;"""] = {  "&amp;E$2&amp;":"""&amp;E145&amp;""",  "&amp;C$2&amp;":"""&amp;CLEAN(SUBSTITUTE(C145,"""",""""))&amp;""",  "&amp;F$2&amp;":"""&amp;F145&amp;""",  "&amp;H$2&amp;":"""&amp;CLEAN(SUBSTITUTE(H145,"""",""""))&amp;""", "&amp;J$2&amp;":"""&amp;J145&amp;""", "&amp;L$2&amp;":"""&amp;L145&amp;""", "&amp;M$2&amp;":"""&amp;M145&amp;""", "&amp;N$2&amp;":"""&amp;N145&amp;""", "&amp;O$2&amp;":"""&amp;O145&amp;""", "&amp;P$2&amp;":"""&amp;P145&amp;""", "&amp;Q$2&amp;":"""&amp;Q145&amp;""", "&amp;R$2&amp;":"""&amp;R145&amp;""", d11t:"""&amp;CJ145&amp;""",d11p:"""&amp;CK145&amp;""",d12t:"""&amp;CL145&amp;""",d12p:"""&amp;CM145&amp;""",d13t:"""&amp;CN145&amp;""",d13p:"""&amp;CO145&amp;""",d1w:"""&amp;CP145&amp;""",d1d:"""&amp;CQ145&amp;""", d21t:"""&amp;CR145&amp;""",d21p:"""&amp;CS145&amp;""",d22t:"""&amp;CT145&amp;""",d22p:"""&amp;CU145&amp;""",d23t:"""&amp;CV145&amp;""",d23p:"""&amp;CW145&amp;""",d2w:"""&amp;CX145&amp;""",d2d:"""&amp;CY145&amp;""", d31t:"""&amp;CZ145&amp;""",d31p:"""&amp;DA145&amp;""",d32t:"""&amp;DB145&amp;""",d32p:"""&amp;DC145&amp;""",d33t:"""&amp;DD145&amp;""",d33p:"""&amp;DE145&amp;""",d3w:"""&amp;DF145&amp;""",d3d:"""&amp;DG145&amp;"""}; "</f>
        <v>D6.scenario.defInput["i712"] = {  cons:"consRF",  title:"冷蔵庫の種類",  unit:"",  text:"冷蔵庫の種類はどれですか", inputType:"sel712", right:"", postfix:"", nodata:"", varType:"Number", min:"", max:"", defaultValue:"-1", d11t:"",d11p:"",d12t:"",d12p:"",d13t:"",d13p:"",d1w:"",d1d:"", d21t:"",d21p:"",d22t:"",d22p:"",d23t:"",d23p:"",d2w:"",d2d:"", d31t:"",d31p:"",d32t:"",d32p:"",d33t:"",d33p:"",d3w:"",d3d:""}; </v>
      </c>
      <c r="DO145" s="110"/>
      <c r="DP145" s="110"/>
      <c r="DQ145" s="111" t="str">
        <f aca="false">"D6.scenario.defSelectValue["""&amp;U145&amp;"""]= [ """&amp;CLEAN(V145)&amp;""", """&amp;CLEAN(W145)&amp;IF(X145="","",""", """&amp;CLEAN(X145))&amp;IF(Y145="","",""", """&amp;CLEAN(Y145))&amp;IF(Z145="","",""", """&amp;CLEAN(Z145))&amp;IF(AA145="","",""", """&amp;CLEAN(AA145))&amp;IF(AB145="","",""", """&amp;CLEAN(AB145))&amp;IF(AC145="","",""", """&amp;CLEAN(AC145))&amp;IF(AD145="","",""", """&amp;CLEAN(AD145))&amp;IF(AE145="","",""", """&amp;CLEAN(AE145))&amp;IF(AF145="","",""", """&amp;CLEAN(AF145))&amp;IF(AG145="","",""", """&amp;CLEAN(AG145))&amp;IF(AH145="","",""", """&amp;CLEAN(AH145))&amp;IF(AI145="","",""", """&amp;CLEAN(AI145))&amp;IF(AJ145="","",""", """&amp;CLEAN(AJ145))&amp;IF(AK145="","",""", """&amp;CLEAN(AK145))&amp;""" ];"</f>
        <v>D6.scenario.defSelectValue["sel712"]= [ "選んで下さい", "冷凍冷蔵庫", "冷凍庫（ストッカー）" ];</v>
      </c>
      <c r="DR145" s="112"/>
      <c r="DS145" s="112"/>
      <c r="DT145" s="112" t="str">
        <f aca="false">"D6.scenario.defSelectData['"&amp;U145&amp;"']= [ '"&amp;BC145&amp;"', '"&amp;BD145&amp;"', '"&amp;BE145&amp;IF(BF145="","","', '"&amp;BF145)&amp;IF(BG145="","","', '"&amp;BG145)&amp;IF(BH145="","","', '"&amp;BH145)&amp;IF(BI145="","","', '"&amp;BI145)&amp;IF(BJ145="","","', '"&amp;BJ145)&amp;IF(BK145="","","', '"&amp;BK145)&amp;IF(BL145="","","', '"&amp;BL145)&amp;IF(BM145="","","', '"&amp;BM145)&amp;IF(BN145="","","', '"&amp;BN145)&amp;IF(BO145="","","', '"&amp;BO145)&amp;IF(BP145="","","', '"&amp;BP145)&amp;IF(BQ145="","","', '"&amp;BQ145)&amp;IF(BR145="","","', '"&amp;BR145)&amp;"' ];"</f>
        <v>D6.scenario.defSelectData['sel712']= [ '-1', '1', '2' ];</v>
      </c>
    </row>
    <row r="146" s="88" customFormat="true" ht="43.5" hidden="false" customHeight="true" outlineLevel="0" collapsed="false">
      <c r="A146" s="66"/>
      <c r="B146" s="105" t="s">
        <v>1819</v>
      </c>
      <c r="C146" s="103" t="s">
        <v>1820</v>
      </c>
      <c r="D146" s="104" t="s">
        <v>1820</v>
      </c>
      <c r="E146" s="95" t="s">
        <v>256</v>
      </c>
      <c r="F146" s="103"/>
      <c r="G146" s="104"/>
      <c r="H146" s="103" t="s">
        <v>1821</v>
      </c>
      <c r="I146" s="104" t="s">
        <v>1820</v>
      </c>
      <c r="J146" s="103" t="str">
        <f aca="false">IF(K146="","",K146)</f>
        <v>sel713</v>
      </c>
      <c r="K146" s="104" t="str">
        <f aca="false">"sel"&amp;MID($B146,2,5)</f>
        <v>sel713</v>
      </c>
      <c r="L146" s="105"/>
      <c r="M146" s="105"/>
      <c r="N146" s="105"/>
      <c r="O146" s="95" t="s">
        <v>931</v>
      </c>
      <c r="P146" s="105"/>
      <c r="Q146" s="105"/>
      <c r="R146" s="95" t="n">
        <v>-1</v>
      </c>
      <c r="S146" s="66"/>
      <c r="U146" s="106" t="str">
        <f aca="false">J146</f>
        <v>sel713</v>
      </c>
      <c r="V146" s="103" t="s">
        <v>979</v>
      </c>
      <c r="W146" s="103" t="s">
        <v>1822</v>
      </c>
      <c r="X146" s="103" t="s">
        <v>1823</v>
      </c>
      <c r="Y146" s="103" t="s">
        <v>1824</v>
      </c>
      <c r="Z146" s="103" t="s">
        <v>1825</v>
      </c>
      <c r="AA146" s="103" t="s">
        <v>1826</v>
      </c>
      <c r="AB146" s="103" t="s">
        <v>1827</v>
      </c>
      <c r="AC146" s="103"/>
      <c r="AD146" s="103"/>
      <c r="AE146" s="103"/>
      <c r="AF146" s="103"/>
      <c r="AG146" s="103"/>
      <c r="AH146" s="103"/>
      <c r="AI146" s="103"/>
      <c r="AJ146" s="103"/>
      <c r="AK146" s="103"/>
      <c r="AL146" s="104" t="s">
        <v>979</v>
      </c>
      <c r="AM146" s="107" t="s">
        <v>1822</v>
      </c>
      <c r="AN146" s="104" t="s">
        <v>1823</v>
      </c>
      <c r="AO146" s="104" t="s">
        <v>1824</v>
      </c>
      <c r="AP146" s="104" t="s">
        <v>1825</v>
      </c>
      <c r="AQ146" s="107" t="s">
        <v>1826</v>
      </c>
      <c r="AR146" s="107" t="s">
        <v>1827</v>
      </c>
      <c r="AS146" s="104"/>
      <c r="AT146" s="104"/>
      <c r="AU146" s="104"/>
      <c r="AV146" s="104"/>
      <c r="AW146" s="104"/>
      <c r="AX146" s="104"/>
      <c r="AY146" s="104"/>
      <c r="AZ146" s="104"/>
      <c r="BA146" s="104"/>
      <c r="BB146" s="66"/>
      <c r="BC146" s="103" t="n">
        <v>-1</v>
      </c>
      <c r="BD146" s="103" t="n">
        <v>80</v>
      </c>
      <c r="BE146" s="103" t="n">
        <v>150</v>
      </c>
      <c r="BF146" s="103" t="n">
        <v>250</v>
      </c>
      <c r="BG146" s="103" t="n">
        <v>350</v>
      </c>
      <c r="BH146" s="103" t="n">
        <v>450</v>
      </c>
      <c r="BI146" s="103" t="n">
        <v>550</v>
      </c>
      <c r="BJ146" s="103"/>
      <c r="BK146" s="103"/>
      <c r="BL146" s="103"/>
      <c r="BM146" s="103"/>
      <c r="BN146" s="103"/>
      <c r="BO146" s="103"/>
      <c r="BP146" s="103"/>
      <c r="BQ146" s="103"/>
      <c r="BR146" s="103"/>
      <c r="BS146" s="104" t="n">
        <v>-1</v>
      </c>
      <c r="BT146" s="104" t="n">
        <v>80</v>
      </c>
      <c r="BU146" s="104" t="n">
        <v>150</v>
      </c>
      <c r="BV146" s="104" t="n">
        <v>250</v>
      </c>
      <c r="BW146" s="104" t="n">
        <v>350</v>
      </c>
      <c r="BX146" s="104" t="n">
        <v>450</v>
      </c>
      <c r="BY146" s="104" t="n">
        <v>550</v>
      </c>
      <c r="BZ146" s="104"/>
      <c r="CA146" s="104"/>
      <c r="CB146" s="104"/>
      <c r="CC146" s="104"/>
      <c r="CD146" s="104"/>
      <c r="CE146" s="104"/>
      <c r="CF146" s="104"/>
      <c r="CG146" s="104"/>
      <c r="CH146" s="104"/>
      <c r="CJ146" s="95"/>
      <c r="CK146" s="95"/>
      <c r="CL146" s="95"/>
      <c r="CM146" s="95"/>
      <c r="CN146" s="95"/>
      <c r="CO146" s="95"/>
      <c r="CP146" s="95"/>
      <c r="CQ146" s="95"/>
      <c r="CR146" s="95"/>
      <c r="CS146" s="95"/>
      <c r="CT146" s="95"/>
      <c r="CU146" s="95"/>
      <c r="CV146" s="95"/>
      <c r="CW146" s="95"/>
      <c r="CX146" s="95"/>
      <c r="CY146" s="95"/>
      <c r="CZ146" s="95"/>
      <c r="DA146" s="95"/>
      <c r="DB146" s="95"/>
      <c r="DC146" s="95"/>
      <c r="DD146" s="95"/>
      <c r="DE146" s="95"/>
      <c r="DF146" s="95"/>
      <c r="DG146" s="95"/>
      <c r="DL146" s="108"/>
      <c r="DM146" s="108"/>
      <c r="DN146" s="109" t="str">
        <f aca="false">"D6.scenario.defInput["""&amp;B146&amp;"""] = {  "&amp;E$2&amp;":"""&amp;E146&amp;""",  "&amp;C$2&amp;":"""&amp;CLEAN(SUBSTITUTE(C146,"""",""""))&amp;""",  "&amp;F$2&amp;":"""&amp;F146&amp;""",  "&amp;H$2&amp;":"""&amp;CLEAN(SUBSTITUTE(H146,"""",""""))&amp;""", "&amp;J$2&amp;":"""&amp;J146&amp;""", "&amp;L$2&amp;":"""&amp;L146&amp;""", "&amp;M$2&amp;":"""&amp;M146&amp;""", "&amp;N$2&amp;":"""&amp;N146&amp;""", "&amp;O$2&amp;":"""&amp;O146&amp;""", "&amp;P$2&amp;":"""&amp;P146&amp;""", "&amp;Q$2&amp;":"""&amp;Q146&amp;""", "&amp;R$2&amp;":"""&amp;R146&amp;""", d11t:"""&amp;CJ146&amp;""",d11p:"""&amp;CK146&amp;""",d12t:"""&amp;CL146&amp;""",d12p:"""&amp;CM146&amp;""",d13t:"""&amp;CN146&amp;""",d13p:"""&amp;CO146&amp;""",d1w:"""&amp;CP146&amp;""",d1d:"""&amp;CQ146&amp;""", d21t:"""&amp;CR146&amp;""",d21p:"""&amp;CS146&amp;""",d22t:"""&amp;CT146&amp;""",d22p:"""&amp;CU146&amp;""",d23t:"""&amp;CV146&amp;""",d23p:"""&amp;CW146&amp;""",d2w:"""&amp;CX146&amp;""",d2d:"""&amp;CY146&amp;""", d31t:"""&amp;CZ146&amp;""",d31p:"""&amp;DA146&amp;""",d32t:"""&amp;DB146&amp;""",d32p:"""&amp;DC146&amp;""",d33t:"""&amp;DD146&amp;""",d33p:"""&amp;DE146&amp;""",d3w:"""&amp;DF146&amp;""",d3d:"""&amp;DG146&amp;"""}; "</f>
        <v>D6.scenario.defInput["i713"] = {  cons:"consRF",  title:"定格内容量",  unit:"",  text:"定格内容量はどのくらいですか", inputType:"sel713", right:"", postfix:"", nodata:"", varType:"Number", min:"", max:"", defaultValue:"-1", d11t:"",d11p:"",d12t:"",d12p:"",d13t:"",d13p:"",d1w:"",d1d:"", d21t:"",d21p:"",d22t:"",d22p:"",d23t:"",d23p:"",d2w:"",d2d:"", d31t:"",d31p:"",d32t:"",d32p:"",d33t:"",d33p:"",d3w:"",d3d:""}; </v>
      </c>
      <c r="DO146" s="110"/>
      <c r="DP146" s="110"/>
      <c r="DQ146" s="111" t="str">
        <f aca="false">"D6.scenario.defSelectValue["""&amp;U146&amp;"""]= [ """&amp;CLEAN(V146)&amp;""", """&amp;CLEAN(W146)&amp;IF(X146="","",""", """&amp;CLEAN(X146))&amp;IF(Y146="","",""", """&amp;CLEAN(Y146))&amp;IF(Z146="","",""", """&amp;CLEAN(Z146))&amp;IF(AA146="","",""", """&amp;CLEAN(AA146))&amp;IF(AB146="","",""", """&amp;CLEAN(AB146))&amp;IF(AC146="","",""", """&amp;CLEAN(AC146))&amp;IF(AD146="","",""", """&amp;CLEAN(AD146))&amp;IF(AE146="","",""", """&amp;CLEAN(AE146))&amp;IF(AF146="","",""", """&amp;CLEAN(AF146))&amp;IF(AG146="","",""", """&amp;CLEAN(AG146))&amp;IF(AH146="","",""", """&amp;CLEAN(AH146))&amp;IF(AI146="","",""", """&amp;CLEAN(AI146))&amp;IF(AJ146="","",""", """&amp;CLEAN(AJ146))&amp;IF(AK146="","",""", """&amp;CLEAN(AK146))&amp;""" ];"</f>
        <v>D6.scenario.defSelectValue["sel713"]= [ "選んで下さい", "100L未満", "101-200リットル", "201-300リットル", "301-400リットル", "401-500リットル", "501リットル以上" ];</v>
      </c>
      <c r="DR146" s="112"/>
      <c r="DS146" s="112"/>
      <c r="DT146" s="112" t="str">
        <f aca="false">"D6.scenario.defSelectData['"&amp;U146&amp;"']= [ '"&amp;BC146&amp;"', '"&amp;BD146&amp;"', '"&amp;BE146&amp;IF(BF146="","","', '"&amp;BF146)&amp;IF(BG146="","","', '"&amp;BG146)&amp;IF(BH146="","","', '"&amp;BH146)&amp;IF(BI146="","","', '"&amp;BI146)&amp;IF(BJ146="","","', '"&amp;BJ146)&amp;IF(BK146="","","', '"&amp;BK146)&amp;IF(BL146="","","', '"&amp;BL146)&amp;IF(BM146="","","', '"&amp;BM146)&amp;IF(BN146="","","', '"&amp;BN146)&amp;IF(BO146="","","', '"&amp;BO146)&amp;IF(BP146="","","', '"&amp;BP146)&amp;IF(BQ146="","","', '"&amp;BQ146)&amp;IF(BR146="","","', '"&amp;BR146)&amp;"' ];"</f>
        <v>D6.scenario.defSelectData['sel713']= [ '-1', '80', '150', '250', '350', '450', '550' ];</v>
      </c>
    </row>
    <row r="147" s="88" customFormat="true" ht="43.5" hidden="false" customHeight="true" outlineLevel="0" collapsed="false">
      <c r="A147" s="66"/>
      <c r="B147" s="105" t="s">
        <v>1828</v>
      </c>
      <c r="C147" s="103" t="s">
        <v>1829</v>
      </c>
      <c r="D147" s="104" t="s">
        <v>1829</v>
      </c>
      <c r="E147" s="95" t="s">
        <v>256</v>
      </c>
      <c r="F147" s="103"/>
      <c r="G147" s="104"/>
      <c r="H147" s="103" t="s">
        <v>1830</v>
      </c>
      <c r="I147" s="104" t="s">
        <v>1830</v>
      </c>
      <c r="J147" s="103" t="str">
        <f aca="false">IF(K147="","",K147)</f>
        <v>sel714</v>
      </c>
      <c r="K147" s="104" t="str">
        <f aca="false">"sel"&amp;MID($B147,2,5)</f>
        <v>sel714</v>
      </c>
      <c r="L147" s="105"/>
      <c r="M147" s="105"/>
      <c r="N147" s="105"/>
      <c r="O147" s="95" t="s">
        <v>931</v>
      </c>
      <c r="P147" s="105"/>
      <c r="Q147" s="105"/>
      <c r="R147" s="95" t="n">
        <v>-1</v>
      </c>
      <c r="S147" s="66"/>
      <c r="U147" s="106" t="str">
        <f aca="false">J147</f>
        <v>sel714</v>
      </c>
      <c r="V147" s="103" t="s">
        <v>979</v>
      </c>
      <c r="W147" s="103" t="s">
        <v>1831</v>
      </c>
      <c r="X147" s="103" t="s">
        <v>1832</v>
      </c>
      <c r="Y147" s="103" t="s">
        <v>1833</v>
      </c>
      <c r="Z147" s="103" t="s">
        <v>1062</v>
      </c>
      <c r="AA147" s="103"/>
      <c r="AB147" s="103"/>
      <c r="AC147" s="103"/>
      <c r="AD147" s="103"/>
      <c r="AE147" s="103"/>
      <c r="AF147" s="103"/>
      <c r="AG147" s="103"/>
      <c r="AH147" s="103"/>
      <c r="AI147" s="103"/>
      <c r="AJ147" s="103"/>
      <c r="AK147" s="103"/>
      <c r="AL147" s="104" t="s">
        <v>979</v>
      </c>
      <c r="AM147" s="104" t="s">
        <v>1831</v>
      </c>
      <c r="AN147" s="107" t="s">
        <v>1832</v>
      </c>
      <c r="AO147" s="107" t="s">
        <v>1833</v>
      </c>
      <c r="AP147" s="107" t="s">
        <v>1062</v>
      </c>
      <c r="AQ147" s="104"/>
      <c r="AR147" s="104"/>
      <c r="AS147" s="104"/>
      <c r="AT147" s="104"/>
      <c r="AU147" s="104"/>
      <c r="AV147" s="104"/>
      <c r="AW147" s="104"/>
      <c r="AX147" s="104"/>
      <c r="AY147" s="104"/>
      <c r="AZ147" s="104"/>
      <c r="BA147" s="104"/>
      <c r="BB147" s="66"/>
      <c r="BC147" s="103" t="n">
        <v>-1</v>
      </c>
      <c r="BD147" s="103" t="n">
        <v>1</v>
      </c>
      <c r="BE147" s="103" t="n">
        <v>2</v>
      </c>
      <c r="BF147" s="103" t="n">
        <v>3</v>
      </c>
      <c r="BG147" s="103" t="n">
        <v>4</v>
      </c>
      <c r="BH147" s="103"/>
      <c r="BI147" s="103"/>
      <c r="BJ147" s="103"/>
      <c r="BK147" s="103"/>
      <c r="BL147" s="103"/>
      <c r="BM147" s="103"/>
      <c r="BN147" s="103"/>
      <c r="BO147" s="103"/>
      <c r="BP147" s="103"/>
      <c r="BQ147" s="103"/>
      <c r="BR147" s="103"/>
      <c r="BS147" s="104" t="n">
        <v>-1</v>
      </c>
      <c r="BT147" s="104" t="n">
        <v>1</v>
      </c>
      <c r="BU147" s="104" t="n">
        <v>2</v>
      </c>
      <c r="BV147" s="104" t="n">
        <v>3</v>
      </c>
      <c r="BW147" s="104" t="n">
        <v>4</v>
      </c>
      <c r="BX147" s="104"/>
      <c r="BY147" s="104"/>
      <c r="BZ147" s="104"/>
      <c r="CA147" s="104"/>
      <c r="CB147" s="104"/>
      <c r="CC147" s="104"/>
      <c r="CD147" s="104"/>
      <c r="CE147" s="104"/>
      <c r="CF147" s="104"/>
      <c r="CG147" s="104"/>
      <c r="CH147" s="104"/>
      <c r="CJ147" s="95"/>
      <c r="CK147" s="95"/>
      <c r="CL147" s="95"/>
      <c r="CM147" s="95"/>
      <c r="CN147" s="95"/>
      <c r="CO147" s="95"/>
      <c r="CP147" s="95"/>
      <c r="CQ147" s="95"/>
      <c r="CR147" s="95"/>
      <c r="CS147" s="95"/>
      <c r="CT147" s="95"/>
      <c r="CU147" s="95"/>
      <c r="CV147" s="95"/>
      <c r="CW147" s="95"/>
      <c r="CX147" s="95"/>
      <c r="CY147" s="95"/>
      <c r="CZ147" s="95" t="n">
        <v>4</v>
      </c>
      <c r="DA147" s="95" t="n">
        <v>1</v>
      </c>
      <c r="DB147" s="95" t="n">
        <v>3</v>
      </c>
      <c r="DC147" s="95" t="n">
        <v>2</v>
      </c>
      <c r="DD147" s="95" t="n">
        <v>0</v>
      </c>
      <c r="DE147" s="95" t="n">
        <v>1</v>
      </c>
      <c r="DF147" s="95" t="n">
        <v>1</v>
      </c>
      <c r="DG147" s="95" t="n">
        <v>1</v>
      </c>
      <c r="DL147" s="108"/>
      <c r="DM147" s="108"/>
      <c r="DN147" s="109" t="str">
        <f aca="false">"D6.scenario.defInput["""&amp;B147&amp;"""] = {  "&amp;E$2&amp;":"""&amp;E147&amp;""",  "&amp;C$2&amp;":"""&amp;CLEAN(SUBSTITUTE(C147,"""",""""))&amp;""",  "&amp;F$2&amp;":"""&amp;F147&amp;""",  "&amp;H$2&amp;":"""&amp;CLEAN(SUBSTITUTE(H147,"""",""""))&amp;""", "&amp;J$2&amp;":"""&amp;J147&amp;""", "&amp;L$2&amp;":"""&amp;L147&amp;""", "&amp;M$2&amp;":"""&amp;M147&amp;""", "&amp;N$2&amp;":"""&amp;N147&amp;""", "&amp;O$2&amp;":"""&amp;O147&amp;""", "&amp;P$2&amp;":"""&amp;P147&amp;""", "&amp;Q$2&amp;":"""&amp;Q147&amp;""", "&amp;R$2&amp;":"""&amp;R147&amp;""", d11t:"""&amp;CJ147&amp;""",d11p:"""&amp;CK147&amp;""",d12t:"""&amp;CL147&amp;""",d12p:"""&amp;CM147&amp;""",d13t:"""&amp;CN147&amp;""",d13p:"""&amp;CO147&amp;""",d1w:"""&amp;CP147&amp;""",d1d:"""&amp;CQ147&amp;""", d21t:"""&amp;CR147&amp;""",d21p:"""&amp;CS147&amp;""",d22t:"""&amp;CT147&amp;""",d22p:"""&amp;CU147&amp;""",d23t:"""&amp;CV147&amp;""",d23p:"""&amp;CW147&amp;""",d2w:"""&amp;CX147&amp;""",d2d:"""&amp;CY147&amp;""", d31t:"""&amp;CZ147&amp;""",d31p:"""&amp;DA147&amp;""",d32t:"""&amp;DB147&amp;""",d32p:"""&amp;DC147&amp;""",d33t:"""&amp;DD147&amp;""",d33p:"""&amp;DE147&amp;""",d3w:"""&amp;DF147&amp;""",d3d:"""&amp;DG147&amp;"""}; "</f>
        <v>D6.scenario.defInput["i714"] = {  cons:"consRF",  title:"冷蔵庫温度設定",  unit:"",  text:"温度設定はどうしていますか", inputType:"sel714", right:"", postfix:"", nodata:"", varType:"Number", min:"", max:"", defaultValue:"-1", d11t:"",d11p:"",d12t:"",d12p:"",d13t:"",d13p:"",d1w:"",d1d:"", d21t:"",d21p:"",d22t:"",d22p:"",d23t:"",d23p:"",d2w:"",d2d:"", d31t:"4",d31p:"1",d32t:"3",d32p:"2",d33t:"0",d33p:"1",d3w:"1",d3d:"1"}; </v>
      </c>
      <c r="DO147" s="110"/>
      <c r="DP147" s="110"/>
      <c r="DQ147" s="111" t="str">
        <f aca="false">"D6.scenario.defSelectValue["""&amp;U147&amp;"""]= [ """&amp;CLEAN(V147)&amp;""", """&amp;CLEAN(W147)&amp;IF(X147="","",""", """&amp;CLEAN(X147))&amp;IF(Y147="","",""", """&amp;CLEAN(Y147))&amp;IF(Z147="","",""", """&amp;CLEAN(Z147))&amp;IF(AA147="","",""", """&amp;CLEAN(AA147))&amp;IF(AB147="","",""", """&amp;CLEAN(AB147))&amp;IF(AC147="","",""", """&amp;CLEAN(AC147))&amp;IF(AD147="","",""", """&amp;CLEAN(AD147))&amp;IF(AE147="","",""", """&amp;CLEAN(AE147))&amp;IF(AF147="","",""", """&amp;CLEAN(AF147))&amp;IF(AG147="","",""", """&amp;CLEAN(AG147))&amp;IF(AH147="","",""", """&amp;CLEAN(AH147))&amp;IF(AI147="","",""", """&amp;CLEAN(AI147))&amp;IF(AJ147="","",""", """&amp;CLEAN(AJ147))&amp;IF(AK147="","",""", """&amp;CLEAN(AK147))&amp;""" ];"</f>
        <v>D6.scenario.defSelectValue["sel714"]= [ "選んで下さい", "強", "中", "弱", "わからない" ];</v>
      </c>
      <c r="DR147" s="112"/>
      <c r="DS147" s="112"/>
      <c r="DT147" s="112" t="str">
        <f aca="false">"D6.scenario.defSelectData['"&amp;U147&amp;"']= [ '"&amp;BC147&amp;"', '"&amp;BD147&amp;"', '"&amp;BE147&amp;IF(BF147="","","', '"&amp;BF147)&amp;IF(BG147="","","', '"&amp;BG147)&amp;IF(BH147="","","', '"&amp;BH147)&amp;IF(BI147="","","', '"&amp;BI147)&amp;IF(BJ147="","","', '"&amp;BJ147)&amp;IF(BK147="","","', '"&amp;BK147)&amp;IF(BL147="","","', '"&amp;BL147)&amp;IF(BM147="","","', '"&amp;BM147)&amp;IF(BN147="","","', '"&amp;BN147)&amp;IF(BO147="","","', '"&amp;BO147)&amp;IF(BP147="","","', '"&amp;BP147)&amp;IF(BQ147="","","', '"&amp;BQ147)&amp;IF(BR147="","","', '"&amp;BR147)&amp;"' ];"</f>
        <v>D6.scenario.defSelectData['sel714']= [ '-1', '1', '2', '3', '4' ];</v>
      </c>
    </row>
    <row r="148" s="88" customFormat="true" ht="43.5" hidden="false" customHeight="true" outlineLevel="0" collapsed="false">
      <c r="A148" s="66"/>
      <c r="B148" s="105" t="s">
        <v>1834</v>
      </c>
      <c r="C148" s="103" t="s">
        <v>1835</v>
      </c>
      <c r="D148" s="104" t="s">
        <v>1835</v>
      </c>
      <c r="E148" s="95" t="s">
        <v>256</v>
      </c>
      <c r="F148" s="103"/>
      <c r="G148" s="104"/>
      <c r="H148" s="103" t="s">
        <v>1836</v>
      </c>
      <c r="I148" s="104" t="s">
        <v>1836</v>
      </c>
      <c r="J148" s="103" t="str">
        <f aca="false">IF(K148="","",K148)</f>
        <v>sel715</v>
      </c>
      <c r="K148" s="104" t="str">
        <f aca="false">"sel"&amp;MID($B148,2,5)</f>
        <v>sel715</v>
      </c>
      <c r="L148" s="105"/>
      <c r="M148" s="105"/>
      <c r="N148" s="105"/>
      <c r="O148" s="95" t="s">
        <v>931</v>
      </c>
      <c r="P148" s="105"/>
      <c r="Q148" s="105"/>
      <c r="R148" s="95" t="n">
        <v>-1</v>
      </c>
      <c r="S148" s="66"/>
      <c r="U148" s="106" t="str">
        <f aca="false">J148</f>
        <v>sel715</v>
      </c>
      <c r="V148" s="103" t="s">
        <v>979</v>
      </c>
      <c r="W148" s="103" t="s">
        <v>1837</v>
      </c>
      <c r="X148" s="103" t="s">
        <v>1838</v>
      </c>
      <c r="Y148" s="103" t="s">
        <v>1839</v>
      </c>
      <c r="Z148" s="103" t="s">
        <v>1062</v>
      </c>
      <c r="AA148" s="103"/>
      <c r="AB148" s="103"/>
      <c r="AC148" s="103"/>
      <c r="AD148" s="103"/>
      <c r="AE148" s="103"/>
      <c r="AF148" s="103"/>
      <c r="AG148" s="103"/>
      <c r="AH148" s="103"/>
      <c r="AI148" s="103"/>
      <c r="AJ148" s="103"/>
      <c r="AK148" s="103"/>
      <c r="AL148" s="104" t="s">
        <v>979</v>
      </c>
      <c r="AM148" s="107" t="s">
        <v>1837</v>
      </c>
      <c r="AN148" s="107" t="s">
        <v>1838</v>
      </c>
      <c r="AO148" s="107" t="s">
        <v>1839</v>
      </c>
      <c r="AP148" s="107" t="s">
        <v>1062</v>
      </c>
      <c r="AQ148" s="104"/>
      <c r="AR148" s="104"/>
      <c r="AS148" s="104"/>
      <c r="AT148" s="104"/>
      <c r="AU148" s="104"/>
      <c r="AV148" s="104"/>
      <c r="AW148" s="104"/>
      <c r="AX148" s="104"/>
      <c r="AY148" s="104"/>
      <c r="AZ148" s="104"/>
      <c r="BA148" s="104"/>
      <c r="BB148" s="66"/>
      <c r="BC148" s="103" t="n">
        <v>-1</v>
      </c>
      <c r="BD148" s="103" t="n">
        <v>1</v>
      </c>
      <c r="BE148" s="103" t="n">
        <v>2</v>
      </c>
      <c r="BF148" s="103" t="n">
        <v>3</v>
      </c>
      <c r="BG148" s="103" t="n">
        <v>4</v>
      </c>
      <c r="BH148" s="103"/>
      <c r="BI148" s="103"/>
      <c r="BJ148" s="103"/>
      <c r="BK148" s="103"/>
      <c r="BL148" s="103"/>
      <c r="BM148" s="103"/>
      <c r="BN148" s="103"/>
      <c r="BO148" s="103"/>
      <c r="BP148" s="103"/>
      <c r="BQ148" s="103"/>
      <c r="BR148" s="103"/>
      <c r="BS148" s="104" t="n">
        <v>-1</v>
      </c>
      <c r="BT148" s="104" t="n">
        <v>1</v>
      </c>
      <c r="BU148" s="104" t="n">
        <v>2</v>
      </c>
      <c r="BV148" s="104" t="n">
        <v>3</v>
      </c>
      <c r="BW148" s="104" t="n">
        <v>4</v>
      </c>
      <c r="BX148" s="104"/>
      <c r="BY148" s="104"/>
      <c r="BZ148" s="104"/>
      <c r="CA148" s="104"/>
      <c r="CB148" s="104"/>
      <c r="CC148" s="104"/>
      <c r="CD148" s="104"/>
      <c r="CE148" s="104"/>
      <c r="CF148" s="104"/>
      <c r="CG148" s="104"/>
      <c r="CH148" s="104"/>
      <c r="CJ148" s="95"/>
      <c r="CK148" s="95"/>
      <c r="CL148" s="95"/>
      <c r="CM148" s="95"/>
      <c r="CN148" s="95"/>
      <c r="CO148" s="95"/>
      <c r="CP148" s="95"/>
      <c r="CQ148" s="95"/>
      <c r="CR148" s="95"/>
      <c r="CS148" s="95"/>
      <c r="CT148" s="95"/>
      <c r="CU148" s="95"/>
      <c r="CV148" s="95"/>
      <c r="CW148" s="95"/>
      <c r="CX148" s="95"/>
      <c r="CY148" s="95"/>
      <c r="CZ148" s="95"/>
      <c r="DA148" s="95"/>
      <c r="DB148" s="95"/>
      <c r="DC148" s="95"/>
      <c r="DD148" s="95"/>
      <c r="DE148" s="95"/>
      <c r="DF148" s="95"/>
      <c r="DG148" s="95"/>
      <c r="DL148" s="108"/>
      <c r="DM148" s="108"/>
      <c r="DN148" s="109" t="str">
        <f aca="false">"D6.scenario.defInput["""&amp;B148&amp;"""] = {  "&amp;E$2&amp;":"""&amp;E148&amp;""",  "&amp;C$2&amp;":"""&amp;CLEAN(SUBSTITUTE(C148,"""",""""))&amp;""",  "&amp;F$2&amp;":"""&amp;F148&amp;""",  "&amp;H$2&amp;":"""&amp;CLEAN(SUBSTITUTE(H148,"""",""""))&amp;""", "&amp;J$2&amp;":"""&amp;J148&amp;""", "&amp;L$2&amp;":"""&amp;L148&amp;""", "&amp;M$2&amp;":"""&amp;M148&amp;""", "&amp;N$2&amp;":"""&amp;N148&amp;""", "&amp;O$2&amp;":"""&amp;O148&amp;""", "&amp;P$2&amp;":"""&amp;P148&amp;""", "&amp;Q$2&amp;":"""&amp;Q148&amp;""", "&amp;R$2&amp;":"""&amp;R148&amp;""", d11t:"""&amp;CJ148&amp;""",d11p:"""&amp;CK148&amp;""",d12t:"""&amp;CL148&amp;""",d12p:"""&amp;CM148&amp;""",d13t:"""&amp;CN148&amp;""",d13p:"""&amp;CO148&amp;""",d1w:"""&amp;CP148&amp;""",d1d:"""&amp;CQ148&amp;""", d21t:"""&amp;CR148&amp;""",d21p:"""&amp;CS148&amp;""",d22t:"""&amp;CT148&amp;""",d22p:"""&amp;CU148&amp;""",d23t:"""&amp;CV148&amp;""",d23p:"""&amp;CW148&amp;""",d2w:"""&amp;CX148&amp;""",d2d:"""&amp;CY148&amp;""", d31t:"""&amp;CZ148&amp;""",d31p:"""&amp;DA148&amp;""",d32t:"""&amp;DB148&amp;""",d32p:"""&amp;DC148&amp;""",d33t:"""&amp;DD148&amp;""",d33p:"""&amp;DE148&amp;""",d3w:"""&amp;DF148&amp;""",d3d:"""&amp;DG148&amp;"""}; "</f>
        <v>D6.scenario.defInput["i715"] = {  cons:"consRF",  title:"中身のつめすぎ",  unit:"",  text:"つめすぎないように心がけていますか", inputType:"sel715", right:"", postfix:"", nodata:"", varType:"Number", min:"", max:"", defaultValue:"-1", d11t:"",d11p:"",d12t:"",d12p:"",d13t:"",d13p:"",d1w:"",d1d:"", d21t:"",d21p:"",d22t:"",d22p:"",d23t:"",d23p:"",d2w:"",d2d:"", d31t:"",d31p:"",d32t:"",d32p:"",d33t:"",d33p:"",d3w:"",d3d:""}; </v>
      </c>
      <c r="DO148" s="110"/>
      <c r="DP148" s="110"/>
      <c r="DQ148" s="111" t="str">
        <f aca="false">"D6.scenario.defSelectValue["""&amp;U148&amp;"""]= [ """&amp;CLEAN(V148)&amp;""", """&amp;CLEAN(W148)&amp;IF(X148="","",""", """&amp;CLEAN(X148))&amp;IF(Y148="","",""", """&amp;CLEAN(Y148))&amp;IF(Z148="","",""", """&amp;CLEAN(Z148))&amp;IF(AA148="","",""", """&amp;CLEAN(AA148))&amp;IF(AB148="","",""", """&amp;CLEAN(AB148))&amp;IF(AC148="","",""", """&amp;CLEAN(AC148))&amp;IF(AD148="","",""", """&amp;CLEAN(AD148))&amp;IF(AE148="","",""", """&amp;CLEAN(AE148))&amp;IF(AF148="","",""", """&amp;CLEAN(AF148))&amp;IF(AG148="","",""", """&amp;CLEAN(AG148))&amp;IF(AH148="","",""", """&amp;CLEAN(AH148))&amp;IF(AI148="","",""", """&amp;CLEAN(AI148))&amp;IF(AJ148="","",""", """&amp;CLEAN(AJ148))&amp;IF(AK148="","",""", """&amp;CLEAN(AK148))&amp;""" ];"</f>
        <v>D6.scenario.defSelectValue["sel715"]= [ "選んで下さい", "気をつけている", "あまりできていない", "できていない", "わからない" ];</v>
      </c>
      <c r="DR148" s="112"/>
      <c r="DS148" s="112"/>
      <c r="DT148" s="112" t="str">
        <f aca="false">"D6.scenario.defSelectData['"&amp;U148&amp;"']= [ '"&amp;BC148&amp;"', '"&amp;BD148&amp;"', '"&amp;BE148&amp;IF(BF148="","","', '"&amp;BF148)&amp;IF(BG148="","","', '"&amp;BG148)&amp;IF(BH148="","","', '"&amp;BH148)&amp;IF(BI148="","","', '"&amp;BI148)&amp;IF(BJ148="","","', '"&amp;BJ148)&amp;IF(BK148="","","', '"&amp;BK148)&amp;IF(BL148="","","', '"&amp;BL148)&amp;IF(BM148="","","', '"&amp;BM148)&amp;IF(BN148="","","', '"&amp;BN148)&amp;IF(BO148="","","', '"&amp;BO148)&amp;IF(BP148="","","', '"&amp;BP148)&amp;IF(BQ148="","","', '"&amp;BQ148)&amp;IF(BR148="","","', '"&amp;BR148)&amp;"' ];"</f>
        <v>D6.scenario.defSelectData['sel715']= [ '-1', '1', '2', '3', '4' ];</v>
      </c>
    </row>
    <row r="149" s="88" customFormat="true" ht="43.5" hidden="false" customHeight="true" outlineLevel="0" collapsed="false">
      <c r="A149" s="66"/>
      <c r="B149" s="105" t="s">
        <v>1840</v>
      </c>
      <c r="C149" s="103" t="s">
        <v>1841</v>
      </c>
      <c r="D149" s="104" t="s">
        <v>1841</v>
      </c>
      <c r="E149" s="95" t="s">
        <v>256</v>
      </c>
      <c r="F149" s="103"/>
      <c r="G149" s="104"/>
      <c r="H149" s="103" t="s">
        <v>1842</v>
      </c>
      <c r="I149" s="104" t="s">
        <v>1842</v>
      </c>
      <c r="J149" s="103" t="str">
        <f aca="false">IF(K149="","",K149)</f>
        <v>sel716</v>
      </c>
      <c r="K149" s="104" t="str">
        <f aca="false">"sel"&amp;MID($B149,2,5)</f>
        <v>sel716</v>
      </c>
      <c r="L149" s="105"/>
      <c r="M149" s="105"/>
      <c r="N149" s="105"/>
      <c r="O149" s="95" t="s">
        <v>931</v>
      </c>
      <c r="P149" s="105"/>
      <c r="Q149" s="105"/>
      <c r="R149" s="95" t="n">
        <v>-1</v>
      </c>
      <c r="S149" s="66"/>
      <c r="U149" s="106" t="str">
        <f aca="false">J149</f>
        <v>sel716</v>
      </c>
      <c r="V149" s="103" t="s">
        <v>979</v>
      </c>
      <c r="W149" s="103" t="s">
        <v>1843</v>
      </c>
      <c r="X149" s="103" t="s">
        <v>1839</v>
      </c>
      <c r="Y149" s="103" t="s">
        <v>1062</v>
      </c>
      <c r="Z149" s="103"/>
      <c r="AA149" s="103"/>
      <c r="AB149" s="103"/>
      <c r="AC149" s="103"/>
      <c r="AD149" s="103"/>
      <c r="AE149" s="103"/>
      <c r="AF149" s="103"/>
      <c r="AG149" s="103"/>
      <c r="AH149" s="103"/>
      <c r="AI149" s="103"/>
      <c r="AJ149" s="103"/>
      <c r="AK149" s="103"/>
      <c r="AL149" s="104" t="s">
        <v>979</v>
      </c>
      <c r="AM149" s="107" t="s">
        <v>1843</v>
      </c>
      <c r="AN149" s="107" t="s">
        <v>1839</v>
      </c>
      <c r="AO149" s="107" t="s">
        <v>1062</v>
      </c>
      <c r="AP149" s="104"/>
      <c r="AQ149" s="104"/>
      <c r="AR149" s="104"/>
      <c r="AS149" s="104"/>
      <c r="AT149" s="104"/>
      <c r="AU149" s="104"/>
      <c r="AV149" s="104"/>
      <c r="AW149" s="104"/>
      <c r="AX149" s="104"/>
      <c r="AY149" s="104"/>
      <c r="AZ149" s="104"/>
      <c r="BA149" s="104"/>
      <c r="BB149" s="66"/>
      <c r="BC149" s="103" t="n">
        <v>-1</v>
      </c>
      <c r="BD149" s="103" t="n">
        <v>1</v>
      </c>
      <c r="BE149" s="103" t="n">
        <v>2</v>
      </c>
      <c r="BF149" s="103" t="n">
        <v>3</v>
      </c>
      <c r="BG149" s="103"/>
      <c r="BH149" s="103"/>
      <c r="BI149" s="103"/>
      <c r="BJ149" s="103"/>
      <c r="BK149" s="103"/>
      <c r="BL149" s="103"/>
      <c r="BM149" s="103"/>
      <c r="BN149" s="103"/>
      <c r="BO149" s="103"/>
      <c r="BP149" s="103"/>
      <c r="BQ149" s="103"/>
      <c r="BR149" s="103"/>
      <c r="BS149" s="104" t="n">
        <v>-1</v>
      </c>
      <c r="BT149" s="104" t="n">
        <v>1</v>
      </c>
      <c r="BU149" s="104" t="n">
        <v>2</v>
      </c>
      <c r="BV149" s="104" t="n">
        <v>3</v>
      </c>
      <c r="BW149" s="104"/>
      <c r="BX149" s="104"/>
      <c r="BY149" s="104"/>
      <c r="BZ149" s="104"/>
      <c r="CA149" s="104"/>
      <c r="CB149" s="104"/>
      <c r="CC149" s="104"/>
      <c r="CD149" s="104"/>
      <c r="CE149" s="104"/>
      <c r="CF149" s="104"/>
      <c r="CG149" s="104"/>
      <c r="CH149" s="104"/>
      <c r="CJ149" s="95"/>
      <c r="CK149" s="95"/>
      <c r="CL149" s="95"/>
      <c r="CM149" s="95"/>
      <c r="CN149" s="95"/>
      <c r="CO149" s="95"/>
      <c r="CP149" s="95"/>
      <c r="CQ149" s="95"/>
      <c r="CR149" s="95"/>
      <c r="CS149" s="95"/>
      <c r="CT149" s="95"/>
      <c r="CU149" s="95"/>
      <c r="CV149" s="95"/>
      <c r="CW149" s="95"/>
      <c r="CX149" s="95"/>
      <c r="CY149" s="95"/>
      <c r="CZ149" s="95"/>
      <c r="DA149" s="95"/>
      <c r="DB149" s="95"/>
      <c r="DC149" s="95"/>
      <c r="DD149" s="95"/>
      <c r="DE149" s="95"/>
      <c r="DF149" s="95"/>
      <c r="DG149" s="95"/>
      <c r="DL149" s="108"/>
      <c r="DM149" s="108"/>
      <c r="DN149" s="109" t="str">
        <f aca="false">"D6.scenario.defInput["""&amp;B149&amp;"""] = {  "&amp;E$2&amp;":"""&amp;E149&amp;""",  "&amp;C$2&amp;":"""&amp;CLEAN(SUBSTITUTE(C149,"""",""""))&amp;""",  "&amp;F$2&amp;":"""&amp;F149&amp;""",  "&amp;H$2&amp;":"""&amp;CLEAN(SUBSTITUTE(H149,"""",""""))&amp;""", "&amp;J$2&amp;":"""&amp;J149&amp;""", "&amp;L$2&amp;":"""&amp;L149&amp;""", "&amp;M$2&amp;":"""&amp;M149&amp;""", "&amp;N$2&amp;":"""&amp;N149&amp;""", "&amp;O$2&amp;":"""&amp;O149&amp;""", "&amp;P$2&amp;":"""&amp;P149&amp;""", "&amp;Q$2&amp;":"""&amp;Q149&amp;""", "&amp;R$2&amp;":"""&amp;R149&amp;""", d11t:"""&amp;CJ149&amp;""",d11p:"""&amp;CK149&amp;""",d12t:"""&amp;CL149&amp;""",d12p:"""&amp;CM149&amp;""",d13t:"""&amp;CN149&amp;""",d13p:"""&amp;CO149&amp;""",d1w:"""&amp;CP149&amp;""",d1d:"""&amp;CQ149&amp;""", d21t:"""&amp;CR149&amp;""",d21p:"""&amp;CS149&amp;""",d22t:"""&amp;CT149&amp;""",d22p:"""&amp;CU149&amp;""",d23t:"""&amp;CV149&amp;""",d23p:"""&amp;CW149&amp;""",d2w:"""&amp;CX149&amp;""",d2d:"""&amp;CY149&amp;""", d31t:"""&amp;CZ149&amp;""",d31p:"""&amp;DA149&amp;""",d32t:"""&amp;DB149&amp;""",d32p:"""&amp;DC149&amp;""",d33t:"""&amp;DD149&amp;""",d33p:"""&amp;DE149&amp;""",d3w:"""&amp;DF149&amp;""",d3d:"""&amp;DG149&amp;"""}; "</f>
        <v>D6.scenario.defInput["i716"] = {  cons:"consRF",  title:"壁からすきまを開けた設置",  unit:"",  text:"側面・裏面に5cm程度のすきまをあけていますか", inputType:"sel716", right:"", postfix:"", nodata:"", varType:"Number", min:"", max:"", defaultValue:"-1", d11t:"",d11p:"",d12t:"",d12p:"",d13t:"",d13p:"",d1w:"",d1d:"", d21t:"",d21p:"",d22t:"",d22p:"",d23t:"",d23p:"",d2w:"",d2d:"", d31t:"",d31p:"",d32t:"",d32p:"",d33t:"",d33p:"",d3w:"",d3d:""}; </v>
      </c>
      <c r="DO149" s="110"/>
      <c r="DP149" s="110"/>
      <c r="DQ149" s="111" t="str">
        <f aca="false">"D6.scenario.defSelectValue["""&amp;U149&amp;"""]= [ """&amp;CLEAN(V149)&amp;""", """&amp;CLEAN(W149)&amp;IF(X149="","",""", """&amp;CLEAN(X149))&amp;IF(Y149="","",""", """&amp;CLEAN(Y149))&amp;IF(Z149="","",""", """&amp;CLEAN(Z149))&amp;IF(AA149="","",""", """&amp;CLEAN(AA149))&amp;IF(AB149="","",""", """&amp;CLEAN(AB149))&amp;IF(AC149="","",""", """&amp;CLEAN(AC149))&amp;IF(AD149="","",""", """&amp;CLEAN(AD149))&amp;IF(AE149="","",""", """&amp;CLEAN(AE149))&amp;IF(AF149="","",""", """&amp;CLEAN(AF149))&amp;IF(AG149="","",""", """&amp;CLEAN(AG149))&amp;IF(AH149="","",""", """&amp;CLEAN(AH149))&amp;IF(AI149="","",""", """&amp;CLEAN(AI149))&amp;IF(AJ149="","",""", """&amp;CLEAN(AJ149))&amp;IF(AK149="","",""", """&amp;CLEAN(AK149))&amp;""" ];"</f>
        <v>D6.scenario.defSelectValue["sel716"]= [ "選んで下さい", "できている", "できていない", "わからない" ];</v>
      </c>
      <c r="DR149" s="112"/>
      <c r="DS149" s="112"/>
      <c r="DT149" s="112" t="str">
        <f aca="false">"D6.scenario.defSelectData['"&amp;U149&amp;"']= [ '"&amp;BC149&amp;"', '"&amp;BD149&amp;"', '"&amp;BE149&amp;IF(BF149="","","', '"&amp;BF149)&amp;IF(BG149="","","', '"&amp;BG149)&amp;IF(BH149="","","', '"&amp;BH149)&amp;IF(BI149="","","', '"&amp;BI149)&amp;IF(BJ149="","","', '"&amp;BJ149)&amp;IF(BK149="","","', '"&amp;BK149)&amp;IF(BL149="","","', '"&amp;BL149)&amp;IF(BM149="","","', '"&amp;BM149)&amp;IF(BN149="","","', '"&amp;BN149)&amp;IF(BO149="","","', '"&amp;BO149)&amp;IF(BP149="","","', '"&amp;BP149)&amp;IF(BQ149="","","', '"&amp;BQ149)&amp;IF(BR149="","","', '"&amp;BR149)&amp;"' ];"</f>
        <v>D6.scenario.defSelectData['sel716']= [ '-1', '1', '2', '3' ];</v>
      </c>
    </row>
    <row r="150" s="88" customFormat="true" ht="43.5" hidden="false" customHeight="true" outlineLevel="0" collapsed="false">
      <c r="A150" s="66"/>
      <c r="B150" s="105" t="s">
        <v>1844</v>
      </c>
      <c r="C150" s="103" t="s">
        <v>1845</v>
      </c>
      <c r="D150" s="104" t="s">
        <v>1845</v>
      </c>
      <c r="E150" s="95" t="s">
        <v>259</v>
      </c>
      <c r="F150" s="103"/>
      <c r="G150" s="104"/>
      <c r="H150" s="103" t="s">
        <v>1846</v>
      </c>
      <c r="I150" s="104" t="s">
        <v>1847</v>
      </c>
      <c r="J150" s="103" t="str">
        <f aca="false">IF(K150="","",K150)</f>
        <v>sel801</v>
      </c>
      <c r="K150" s="104" t="str">
        <f aca="false">"sel"&amp;MID($B150,2,5)</f>
        <v>sel801</v>
      </c>
      <c r="L150" s="105"/>
      <c r="M150" s="105"/>
      <c r="N150" s="105"/>
      <c r="O150" s="95" t="s">
        <v>931</v>
      </c>
      <c r="P150" s="105"/>
      <c r="Q150" s="105"/>
      <c r="R150" s="95" t="n">
        <v>-1</v>
      </c>
      <c r="S150" s="66"/>
      <c r="U150" s="106" t="str">
        <f aca="false">J150</f>
        <v>sel801</v>
      </c>
      <c r="V150" s="103" t="s">
        <v>979</v>
      </c>
      <c r="W150" s="103" t="s">
        <v>1390</v>
      </c>
      <c r="X150" s="103" t="s">
        <v>1848</v>
      </c>
      <c r="Y150" s="103" t="s">
        <v>1062</v>
      </c>
      <c r="Z150" s="103"/>
      <c r="AA150" s="103"/>
      <c r="AB150" s="103"/>
      <c r="AC150" s="103"/>
      <c r="AD150" s="103"/>
      <c r="AE150" s="103"/>
      <c r="AF150" s="103"/>
      <c r="AG150" s="103"/>
      <c r="AH150" s="103"/>
      <c r="AI150" s="103"/>
      <c r="AJ150" s="103"/>
      <c r="AK150" s="103"/>
      <c r="AL150" s="104" t="s">
        <v>979</v>
      </c>
      <c r="AM150" s="107" t="s">
        <v>1390</v>
      </c>
      <c r="AN150" s="107" t="s">
        <v>1848</v>
      </c>
      <c r="AO150" s="104" t="s">
        <v>1062</v>
      </c>
      <c r="AP150" s="104"/>
      <c r="AQ150" s="104"/>
      <c r="AR150" s="104"/>
      <c r="AS150" s="104"/>
      <c r="AT150" s="104"/>
      <c r="AU150" s="104"/>
      <c r="AV150" s="104"/>
      <c r="AW150" s="104"/>
      <c r="AX150" s="104"/>
      <c r="AY150" s="104"/>
      <c r="AZ150" s="104"/>
      <c r="BA150" s="104"/>
      <c r="BB150" s="66"/>
      <c r="BC150" s="103" t="n">
        <v>-1</v>
      </c>
      <c r="BD150" s="103" t="n">
        <v>1</v>
      </c>
      <c r="BE150" s="103" t="n">
        <v>2</v>
      </c>
      <c r="BF150" s="103" t="n">
        <v>3</v>
      </c>
      <c r="BG150" s="103"/>
      <c r="BH150" s="103"/>
      <c r="BI150" s="103"/>
      <c r="BJ150" s="103"/>
      <c r="BK150" s="103"/>
      <c r="BL150" s="103"/>
      <c r="BM150" s="103"/>
      <c r="BN150" s="103"/>
      <c r="BO150" s="103"/>
      <c r="BP150" s="103"/>
      <c r="BQ150" s="103"/>
      <c r="BR150" s="103"/>
      <c r="BS150" s="104" t="n">
        <v>-1</v>
      </c>
      <c r="BT150" s="104" t="n">
        <v>1</v>
      </c>
      <c r="BU150" s="104" t="n">
        <v>2</v>
      </c>
      <c r="BV150" s="104" t="n">
        <v>3</v>
      </c>
      <c r="BW150" s="104"/>
      <c r="BX150" s="104"/>
      <c r="BY150" s="104"/>
      <c r="BZ150" s="104"/>
      <c r="CA150" s="104"/>
      <c r="CB150" s="104"/>
      <c r="CC150" s="104"/>
      <c r="CD150" s="104"/>
      <c r="CE150" s="104"/>
      <c r="CF150" s="104"/>
      <c r="CG150" s="104"/>
      <c r="CH150" s="104"/>
      <c r="CJ150" s="95"/>
      <c r="CK150" s="95"/>
      <c r="CL150" s="95"/>
      <c r="CM150" s="95"/>
      <c r="CN150" s="95"/>
      <c r="CO150" s="95"/>
      <c r="CP150" s="95"/>
      <c r="CQ150" s="95"/>
      <c r="CR150" s="95"/>
      <c r="CS150" s="95"/>
      <c r="CT150" s="95"/>
      <c r="CU150" s="95"/>
      <c r="CV150" s="95"/>
      <c r="CW150" s="95"/>
      <c r="CX150" s="95"/>
      <c r="CY150" s="95"/>
      <c r="CZ150" s="95"/>
      <c r="DA150" s="95"/>
      <c r="DB150" s="95"/>
      <c r="DC150" s="95"/>
      <c r="DD150" s="95"/>
      <c r="DE150" s="95"/>
      <c r="DF150" s="95"/>
      <c r="DG150" s="95"/>
      <c r="DL150" s="108"/>
      <c r="DM150" s="108"/>
      <c r="DN150" s="109" t="str">
        <f aca="false">"D6.scenario.defInput["""&amp;B150&amp;"""] = {  "&amp;E$2&amp;":"""&amp;E150&amp;""",  "&amp;C$2&amp;":"""&amp;CLEAN(SUBSTITUTE(C150,"""",""""))&amp;""",  "&amp;F$2&amp;":"""&amp;F150&amp;""",  "&amp;H$2&amp;":"""&amp;CLEAN(SUBSTITUTE(H150,"""",""""))&amp;""", "&amp;J$2&amp;":"""&amp;J150&amp;""", "&amp;L$2&amp;":"""&amp;L150&amp;""", "&amp;M$2&amp;":"""&amp;M150&amp;""", "&amp;N$2&amp;":"""&amp;N150&amp;""", "&amp;O$2&amp;":"""&amp;O150&amp;""", "&amp;P$2&amp;":"""&amp;P150&amp;""", "&amp;Q$2&amp;":"""&amp;Q150&amp;""", "&amp;R$2&amp;":"""&amp;R150&amp;""", d11t:"""&amp;CJ150&amp;""",d11p:"""&amp;CK150&amp;""",d12t:"""&amp;CL150&amp;""",d12p:"""&amp;CM150&amp;""",d13t:"""&amp;CN150&amp;""",d13p:"""&amp;CO150&amp;""",d1w:"""&amp;CP150&amp;""",d1d:"""&amp;CQ150&amp;""", d21t:"""&amp;CR150&amp;""",d21p:"""&amp;CS150&amp;""",d22t:"""&amp;CT150&amp;""",d22p:"""&amp;CU150&amp;""",d23t:"""&amp;CV150&amp;""",d23p:"""&amp;CW150&amp;""",d2w:"""&amp;CX150&amp;""",d2d:"""&amp;CY150&amp;""", d31t:"""&amp;CZ150&amp;""",d31p:"""&amp;DA150&amp;""",d32t:"""&amp;DB150&amp;""",d32p:"""&amp;DC150&amp;""",d33t:"""&amp;DD150&amp;""",d33p:"""&amp;DE150&amp;""",d3w:"""&amp;DF150&amp;""",d3d:"""&amp;DG150&amp;"""}; "</f>
        <v>D6.scenario.defInput["i801"] = {  cons:"consCKcook",  title:"コンロの熱源",  unit:"",  text:"コンロの熱源は何ですか", inputType:"sel801", right:"", postfix:"", nodata:"", varType:"Number", min:"", max:"", defaultValue:"-1", d11t:"",d11p:"",d12t:"",d12p:"",d13t:"",d13p:"",d1w:"",d1d:"", d21t:"",d21p:"",d22t:"",d22p:"",d23t:"",d23p:"",d2w:"",d2d:"", d31t:"",d31p:"",d32t:"",d32p:"",d33t:"",d33p:"",d3w:"",d3d:""}; </v>
      </c>
      <c r="DO150" s="110"/>
      <c r="DP150" s="110"/>
      <c r="DQ150" s="111" t="str">
        <f aca="false">"D6.scenario.defSelectValue["""&amp;U150&amp;"""]= [ """&amp;CLEAN(V150)&amp;""", """&amp;CLEAN(W150)&amp;IF(X150="","",""", """&amp;CLEAN(X150))&amp;IF(Y150="","",""", """&amp;CLEAN(Y150))&amp;IF(Z150="","",""", """&amp;CLEAN(Z150))&amp;IF(AA150="","",""", """&amp;CLEAN(AA150))&amp;IF(AB150="","",""", """&amp;CLEAN(AB150))&amp;IF(AC150="","",""", """&amp;CLEAN(AC150))&amp;IF(AD150="","",""", """&amp;CLEAN(AD150))&amp;IF(AE150="","",""", """&amp;CLEAN(AE150))&amp;IF(AF150="","",""", """&amp;CLEAN(AF150))&amp;IF(AG150="","",""", """&amp;CLEAN(AG150))&amp;IF(AH150="","",""", """&amp;CLEAN(AH150))&amp;IF(AI150="","",""", """&amp;CLEAN(AI150))&amp;IF(AJ150="","",""", """&amp;CLEAN(AJ150))&amp;IF(AK150="","",""", """&amp;CLEAN(AK150))&amp;""" ];"</f>
        <v>D6.scenario.defSelectValue["sel801"]= [ "選んで下さい", "ガス", "電気(IHなど）", "わからない" ];</v>
      </c>
      <c r="DR150" s="112"/>
      <c r="DS150" s="112"/>
      <c r="DT150" s="112" t="str">
        <f aca="false">"D6.scenario.defSelectData['"&amp;U150&amp;"']= [ '"&amp;BC150&amp;"', '"&amp;BD150&amp;"', '"&amp;BE150&amp;IF(BF150="","","', '"&amp;BF150)&amp;IF(BG150="","","', '"&amp;BG150)&amp;IF(BH150="","","', '"&amp;BH150)&amp;IF(BI150="","","', '"&amp;BI150)&amp;IF(BJ150="","","', '"&amp;BJ150)&amp;IF(BK150="","","', '"&amp;BK150)&amp;IF(BL150="","","', '"&amp;BL150)&amp;IF(BM150="","","', '"&amp;BM150)&amp;IF(BN150="","","', '"&amp;BN150)&amp;IF(BO150="","","', '"&amp;BO150)&amp;IF(BP150="","","', '"&amp;BP150)&amp;IF(BQ150="","","', '"&amp;BQ150)&amp;IF(BR150="","","', '"&amp;BR150)&amp;"' ];"</f>
        <v>D6.scenario.defSelectData['sel801']= [ '-1', '1', '2', '3' ];</v>
      </c>
    </row>
    <row r="151" s="88" customFormat="true" ht="43.5" hidden="false" customHeight="true" outlineLevel="0" collapsed="false">
      <c r="A151" s="66"/>
      <c r="B151" s="105" t="s">
        <v>1849</v>
      </c>
      <c r="C151" s="103" t="s">
        <v>1850</v>
      </c>
      <c r="D151" s="104" t="s">
        <v>1850</v>
      </c>
      <c r="E151" s="95" t="s">
        <v>259</v>
      </c>
      <c r="F151" s="103" t="s">
        <v>1310</v>
      </c>
      <c r="G151" s="104" t="s">
        <v>1310</v>
      </c>
      <c r="H151" s="103" t="s">
        <v>1851</v>
      </c>
      <c r="I151" s="104" t="s">
        <v>1850</v>
      </c>
      <c r="J151" s="103" t="str">
        <f aca="false">IF(K151="","",K151)</f>
        <v>sel802</v>
      </c>
      <c r="K151" s="104" t="str">
        <f aca="false">"sel"&amp;MID($B151,2,5)</f>
        <v>sel802</v>
      </c>
      <c r="L151" s="105"/>
      <c r="M151" s="105"/>
      <c r="N151" s="105"/>
      <c r="O151" s="95" t="s">
        <v>931</v>
      </c>
      <c r="P151" s="105"/>
      <c r="Q151" s="105"/>
      <c r="R151" s="95" t="n">
        <v>-1</v>
      </c>
      <c r="S151" s="66"/>
      <c r="U151" s="106" t="str">
        <f aca="false">J151</f>
        <v>sel802</v>
      </c>
      <c r="V151" s="103" t="s">
        <v>979</v>
      </c>
      <c r="W151" s="103" t="s">
        <v>1852</v>
      </c>
      <c r="X151" s="103" t="s">
        <v>1853</v>
      </c>
      <c r="Y151" s="103" t="s">
        <v>1854</v>
      </c>
      <c r="Z151" s="103" t="s">
        <v>1855</v>
      </c>
      <c r="AA151" s="103" t="s">
        <v>1856</v>
      </c>
      <c r="AB151" s="103" t="s">
        <v>1857</v>
      </c>
      <c r="AC151" s="103"/>
      <c r="AD151" s="103"/>
      <c r="AE151" s="103"/>
      <c r="AF151" s="103"/>
      <c r="AG151" s="103"/>
      <c r="AH151" s="103"/>
      <c r="AI151" s="103"/>
      <c r="AJ151" s="103"/>
      <c r="AK151" s="103"/>
      <c r="AL151" s="104" t="s">
        <v>979</v>
      </c>
      <c r="AM151" s="107" t="s">
        <v>1852</v>
      </c>
      <c r="AN151" s="104" t="s">
        <v>1853</v>
      </c>
      <c r="AO151" s="104" t="s">
        <v>1854</v>
      </c>
      <c r="AP151" s="107" t="s">
        <v>1855</v>
      </c>
      <c r="AQ151" s="107" t="s">
        <v>1856</v>
      </c>
      <c r="AR151" s="107" t="s">
        <v>1857</v>
      </c>
      <c r="AS151" s="104"/>
      <c r="AT151" s="104"/>
      <c r="AU151" s="104"/>
      <c r="AV151" s="104"/>
      <c r="AW151" s="104"/>
      <c r="AX151" s="104"/>
      <c r="AY151" s="104"/>
      <c r="AZ151" s="104"/>
      <c r="BA151" s="104"/>
      <c r="BB151" s="66"/>
      <c r="BC151" s="103" t="n">
        <v>-1</v>
      </c>
      <c r="BD151" s="103" t="n">
        <v>0</v>
      </c>
      <c r="BE151" s="103" t="n">
        <v>1</v>
      </c>
      <c r="BF151" s="103" t="n">
        <v>2</v>
      </c>
      <c r="BG151" s="103" t="n">
        <v>4</v>
      </c>
      <c r="BH151" s="103" t="n">
        <v>7</v>
      </c>
      <c r="BI151" s="103" t="n">
        <v>10</v>
      </c>
      <c r="BJ151" s="103"/>
      <c r="BK151" s="103"/>
      <c r="BL151" s="103"/>
      <c r="BM151" s="103"/>
      <c r="BN151" s="103"/>
      <c r="BO151" s="103"/>
      <c r="BP151" s="103"/>
      <c r="BQ151" s="103"/>
      <c r="BR151" s="103"/>
      <c r="BS151" s="104" t="n">
        <v>-1</v>
      </c>
      <c r="BT151" s="104" t="n">
        <v>0</v>
      </c>
      <c r="BU151" s="104" t="n">
        <v>1</v>
      </c>
      <c r="BV151" s="104" t="n">
        <v>2</v>
      </c>
      <c r="BW151" s="104" t="n">
        <v>4</v>
      </c>
      <c r="BX151" s="104" t="n">
        <v>7</v>
      </c>
      <c r="BY151" s="104" t="n">
        <v>10</v>
      </c>
      <c r="BZ151" s="104"/>
      <c r="CA151" s="104"/>
      <c r="CB151" s="104"/>
      <c r="CC151" s="104"/>
      <c r="CD151" s="104"/>
      <c r="CE151" s="104"/>
      <c r="CF151" s="104"/>
      <c r="CG151" s="104"/>
      <c r="CH151" s="104"/>
      <c r="CJ151" s="95"/>
      <c r="CK151" s="95"/>
      <c r="CL151" s="95"/>
      <c r="CM151" s="95"/>
      <c r="CN151" s="95"/>
      <c r="CO151" s="95"/>
      <c r="CP151" s="95"/>
      <c r="CQ151" s="95"/>
      <c r="CR151" s="95"/>
      <c r="CS151" s="95"/>
      <c r="CT151" s="95"/>
      <c r="CU151" s="95"/>
      <c r="CV151" s="95"/>
      <c r="CW151" s="95"/>
      <c r="CX151" s="95"/>
      <c r="CY151" s="95"/>
      <c r="CZ151" s="95"/>
      <c r="DA151" s="95"/>
      <c r="DB151" s="95"/>
      <c r="DC151" s="95"/>
      <c r="DD151" s="95"/>
      <c r="DE151" s="95"/>
      <c r="DF151" s="95"/>
      <c r="DG151" s="95"/>
      <c r="DL151" s="108"/>
      <c r="DM151" s="108"/>
      <c r="DN151" s="109" t="str">
        <f aca="false">"D6.scenario.defInput["""&amp;B151&amp;"""] = {  "&amp;E$2&amp;":"""&amp;E151&amp;""",  "&amp;C$2&amp;":"""&amp;CLEAN(SUBSTITUTE(C151,"""",""""))&amp;""",  "&amp;F$2&amp;":"""&amp;F151&amp;""",  "&amp;H$2&amp;":"""&amp;CLEAN(SUBSTITUTE(H151,"""",""""))&amp;""", "&amp;J$2&amp;":"""&amp;J151&amp;""", "&amp;L$2&amp;":"""&amp;L151&amp;""", "&amp;M$2&amp;":"""&amp;M151&amp;""", "&amp;N$2&amp;":"""&amp;N151&amp;""", "&amp;O$2&amp;":"""&amp;O151&amp;""", "&amp;P$2&amp;":"""&amp;P151&amp;""", "&amp;Q$2&amp;":"""&amp;Q151&amp;""", "&amp;R$2&amp;":"""&amp;R151&amp;""", d11t:"""&amp;CJ151&amp;""",d11p:"""&amp;CK151&amp;""",d12t:"""&amp;CL151&amp;""",d12p:"""&amp;CM151&amp;""",d13t:"""&amp;CN151&amp;""",d13p:"""&amp;CO151&amp;""",d1w:"""&amp;CP151&amp;""",d1d:"""&amp;CQ151&amp;""", d21t:"""&amp;CR151&amp;""",d21p:"""&amp;CS151&amp;""",d22t:"""&amp;CT151&amp;""",d22p:"""&amp;CU151&amp;""",d23t:"""&amp;CV151&amp;""",d23p:"""&amp;CW151&amp;""",d2w:"""&amp;CX151&amp;""",d2d:"""&amp;CY151&amp;""", d31t:"""&amp;CZ151&amp;""",d31p:"""&amp;DA151&amp;""",d32t:"""&amp;DB151&amp;""",d32p:"""&amp;DC151&amp;""",d33t:"""&amp;DD151&amp;""",d33p:"""&amp;DE151&amp;""",d3w:"""&amp;DF151&amp;""",d3d:"""&amp;DG151&amp;"""}; "</f>
        <v>D6.scenario.defInput["i802"] = {  cons:"consCKcook",  title:"調理の頻度",  unit:"割",  text:"調理はどのくらいの頻度でしますか", inputType:"sel802", right:"", postfix:"", nodata:"", varType:"Number", min:"", max:"", defaultValue:"-1", d11t:"",d11p:"",d12t:"",d12p:"",d13t:"",d13p:"",d1w:"",d1d:"", d21t:"",d21p:"",d22t:"",d22p:"",d23t:"",d23p:"",d2w:"",d2d:"", d31t:"",d31p:"",d32t:"",d32p:"",d33t:"",d33p:"",d3w:"",d3d:""}; </v>
      </c>
      <c r="DO151" s="110"/>
      <c r="DP151" s="110"/>
      <c r="DQ151" s="111" t="str">
        <f aca="false">"D6.scenario.defSelectValue["""&amp;U151&amp;"""]= [ """&amp;CLEAN(V151)&amp;""", """&amp;CLEAN(W151)&amp;IF(X151="","",""", """&amp;CLEAN(X151))&amp;IF(Y151="","",""", """&amp;CLEAN(Y151))&amp;IF(Z151="","",""", """&amp;CLEAN(Z151))&amp;IF(AA151="","",""", """&amp;CLEAN(AA151))&amp;IF(AB151="","",""", """&amp;CLEAN(AB151))&amp;IF(AC151="","",""", """&amp;CLEAN(AC151))&amp;IF(AD151="","",""", """&amp;CLEAN(AD151))&amp;IF(AE151="","",""", """&amp;CLEAN(AE151))&amp;IF(AF151="","",""", """&amp;CLEAN(AF151))&amp;IF(AG151="","",""", """&amp;CLEAN(AG151))&amp;IF(AH151="","",""", """&amp;CLEAN(AH151))&amp;IF(AI151="","",""", """&amp;CLEAN(AI151))&amp;IF(AJ151="","",""", """&amp;CLEAN(AJ151))&amp;IF(AK151="","",""", """&amp;CLEAN(AK151))&amp;""" ];"</f>
        <v>D6.scenario.defSelectValue["sel802"]= [ "選んで下さい", "しない", "週１食以下", "週に2-3食", "1日1食", "1日2食", "1日3食" ];</v>
      </c>
      <c r="DR151" s="112"/>
      <c r="DS151" s="112"/>
      <c r="DT151" s="112" t="str">
        <f aca="false">"D6.scenario.defSelectData['"&amp;U151&amp;"']= [ '"&amp;BC151&amp;"', '"&amp;BD151&amp;"', '"&amp;BE151&amp;IF(BF151="","","', '"&amp;BF151)&amp;IF(BG151="","","', '"&amp;BG151)&amp;IF(BH151="","","', '"&amp;BH151)&amp;IF(BI151="","","', '"&amp;BI151)&amp;IF(BJ151="","","', '"&amp;BJ151)&amp;IF(BK151="","","', '"&amp;BK151)&amp;IF(BL151="","","', '"&amp;BL151)&amp;IF(BM151="","","', '"&amp;BM151)&amp;IF(BN151="","","', '"&amp;BN151)&amp;IF(BO151="","","', '"&amp;BO151)&amp;IF(BP151="","","', '"&amp;BP151)&amp;IF(BQ151="","","', '"&amp;BQ151)&amp;IF(BR151="","","', '"&amp;BR151)&amp;"' ];"</f>
        <v>D6.scenario.defSelectData['sel802']= [ '-1', '0', '1', '2', '4', '7', '10' ];</v>
      </c>
    </row>
    <row r="152" s="88" customFormat="true" ht="43.5" hidden="false" customHeight="true" outlineLevel="0" collapsed="false">
      <c r="B152" s="95" t="s">
        <v>1858</v>
      </c>
      <c r="C152" s="103" t="s">
        <v>1859</v>
      </c>
      <c r="D152" s="104" t="s">
        <v>1859</v>
      </c>
      <c r="E152" s="95" t="s">
        <v>264</v>
      </c>
      <c r="F152" s="103"/>
      <c r="G152" s="104"/>
      <c r="H152" s="103" t="s">
        <v>1860</v>
      </c>
      <c r="I152" s="104" t="s">
        <v>1860</v>
      </c>
      <c r="J152" s="103" t="str">
        <f aca="false">IF(K152="","",K152)</f>
        <v>sel811</v>
      </c>
      <c r="K152" s="104" t="str">
        <f aca="false">"sel"&amp;MID($B152,2,5)</f>
        <v>sel811</v>
      </c>
      <c r="L152" s="105"/>
      <c r="M152" s="105"/>
      <c r="N152" s="105"/>
      <c r="O152" s="95" t="s">
        <v>931</v>
      </c>
      <c r="P152" s="105"/>
      <c r="Q152" s="105"/>
      <c r="R152" s="95" t="n">
        <v>-1</v>
      </c>
      <c r="T152" s="66"/>
      <c r="U152" s="106" t="str">
        <f aca="false">J152</f>
        <v>sel811</v>
      </c>
      <c r="V152" s="103" t="s">
        <v>979</v>
      </c>
      <c r="W152" s="103" t="s">
        <v>1098</v>
      </c>
      <c r="X152" s="103" t="s">
        <v>1861</v>
      </c>
      <c r="Y152" s="103" t="s">
        <v>1862</v>
      </c>
      <c r="Z152" s="103" t="s">
        <v>1863</v>
      </c>
      <c r="AA152" s="103"/>
      <c r="AB152" s="103"/>
      <c r="AC152" s="103"/>
      <c r="AD152" s="103"/>
      <c r="AE152" s="103"/>
      <c r="AF152" s="103"/>
      <c r="AG152" s="103"/>
      <c r="AH152" s="103"/>
      <c r="AI152" s="103"/>
      <c r="AJ152" s="103"/>
      <c r="AK152" s="103"/>
      <c r="AL152" s="104" t="s">
        <v>979</v>
      </c>
      <c r="AM152" s="107" t="s">
        <v>1098</v>
      </c>
      <c r="AN152" s="104" t="s">
        <v>1861</v>
      </c>
      <c r="AO152" s="107" t="s">
        <v>1862</v>
      </c>
      <c r="AP152" s="104" t="s">
        <v>1863</v>
      </c>
      <c r="AQ152" s="104"/>
      <c r="AR152" s="104"/>
      <c r="AS152" s="104"/>
      <c r="AT152" s="104"/>
      <c r="AU152" s="104"/>
      <c r="AV152" s="104"/>
      <c r="AW152" s="104"/>
      <c r="AX152" s="104"/>
      <c r="AY152" s="104"/>
      <c r="AZ152" s="104"/>
      <c r="BA152" s="104"/>
      <c r="BB152" s="66"/>
      <c r="BC152" s="103" t="n">
        <v>-1</v>
      </c>
      <c r="BD152" s="103" t="n">
        <v>0</v>
      </c>
      <c r="BE152" s="103" t="n">
        <v>6</v>
      </c>
      <c r="BF152" s="103" t="n">
        <v>12</v>
      </c>
      <c r="BG152" s="103" t="n">
        <v>24</v>
      </c>
      <c r="BH152" s="103"/>
      <c r="BI152" s="103"/>
      <c r="BJ152" s="103"/>
      <c r="BK152" s="103"/>
      <c r="BL152" s="103"/>
      <c r="BM152" s="103"/>
      <c r="BN152" s="103"/>
      <c r="BO152" s="103"/>
      <c r="BP152" s="103"/>
      <c r="BQ152" s="103"/>
      <c r="BR152" s="103"/>
      <c r="BS152" s="104" t="n">
        <v>-1</v>
      </c>
      <c r="BT152" s="104" t="n">
        <v>0</v>
      </c>
      <c r="BU152" s="104" t="n">
        <v>6</v>
      </c>
      <c r="BV152" s="104" t="n">
        <v>12</v>
      </c>
      <c r="BW152" s="104" t="n">
        <v>24</v>
      </c>
      <c r="BX152" s="104"/>
      <c r="BY152" s="104"/>
      <c r="BZ152" s="104"/>
      <c r="CA152" s="104"/>
      <c r="CB152" s="104"/>
      <c r="CC152" s="104"/>
      <c r="CD152" s="104"/>
      <c r="CE152" s="104"/>
      <c r="CF152" s="104"/>
      <c r="CG152" s="104"/>
      <c r="CH152" s="104"/>
      <c r="CJ152" s="95"/>
      <c r="CK152" s="95"/>
      <c r="CL152" s="95"/>
      <c r="CM152" s="95"/>
      <c r="CN152" s="95"/>
      <c r="CO152" s="95"/>
      <c r="CP152" s="95"/>
      <c r="CQ152" s="95"/>
      <c r="CR152" s="95"/>
      <c r="CS152" s="95"/>
      <c r="CT152" s="95"/>
      <c r="CU152" s="95"/>
      <c r="CV152" s="95"/>
      <c r="CW152" s="95"/>
      <c r="CX152" s="95"/>
      <c r="CY152" s="95"/>
      <c r="CZ152" s="95"/>
      <c r="DA152" s="95"/>
      <c r="DB152" s="95"/>
      <c r="DC152" s="95"/>
      <c r="DD152" s="95"/>
      <c r="DE152" s="95"/>
      <c r="DF152" s="95"/>
      <c r="DG152" s="95"/>
      <c r="DL152" s="108"/>
      <c r="DM152" s="108"/>
      <c r="DN152" s="109" t="str">
        <f aca="false">"D6.scenario.defInput["""&amp;B152&amp;"""] = {  "&amp;E$2&amp;":"""&amp;E152&amp;""",  "&amp;C$2&amp;":"""&amp;CLEAN(SUBSTITUTE(C152,"""",""""))&amp;""",  "&amp;F$2&amp;":"""&amp;F152&amp;""",  "&amp;H$2&amp;":"""&amp;CLEAN(SUBSTITUTE(H152,"""",""""))&amp;""", "&amp;J$2&amp;":"""&amp;J152&amp;""", "&amp;L$2&amp;":"""&amp;L152&amp;""", "&amp;M$2&amp;":"""&amp;M152&amp;""", "&amp;N$2&amp;":"""&amp;N152&amp;""", "&amp;O$2&amp;":"""&amp;O152&amp;""", "&amp;P$2&amp;":"""&amp;P152&amp;""", "&amp;Q$2&amp;":"""&amp;Q152&amp;""", "&amp;R$2&amp;":"""&amp;R152&amp;""", d11t:"""&amp;CJ152&amp;""",d11p:"""&amp;CK152&amp;""",d12t:"""&amp;CL152&amp;""",d12p:"""&amp;CM152&amp;""",d13t:"""&amp;CN152&amp;""",d13p:"""&amp;CO152&amp;""",d1w:"""&amp;CP152&amp;""",d1d:"""&amp;CQ152&amp;""", d21t:"""&amp;CR152&amp;""",d21p:"""&amp;CS152&amp;""",d22t:"""&amp;CT152&amp;""",d22p:"""&amp;CU152&amp;""",d23t:"""&amp;CV152&amp;""",d23p:"""&amp;CW152&amp;""",d2w:"""&amp;CX152&amp;""",d2d:"""&amp;CY152&amp;""", d31t:"""&amp;CZ152&amp;""",d31p:"""&amp;DA152&amp;""",d32t:"""&amp;DB152&amp;""",d32p:"""&amp;DC152&amp;""",d33t:"""&amp;DD152&amp;""",d33p:"""&amp;DE152&amp;""",d3w:"""&amp;DF152&amp;""",d3d:"""&amp;DG152&amp;"""}; "</f>
        <v>D6.scenario.defInput["i811"] = {  cons:"consCKrice",  title:"ジャーの保温",  unit:"",  text:"炊飯ジャーの保温をしていますか", inputType:"sel811", right:"", postfix:"", nodata:"", varType:"Number", min:"", max:"", defaultValue:"-1", d11t:"",d11p:"",d12t:"",d12p:"",d13t:"",d13p:"",d1w:"",d1d:"", d21t:"",d21p:"",d22t:"",d22p:"",d23t:"",d23p:"",d2w:"",d2d:"", d31t:"",d31p:"",d32t:"",d32p:"",d33t:"",d33p:"",d3w:"",d3d:""}; </v>
      </c>
      <c r="DO152" s="110"/>
      <c r="DP152" s="110"/>
      <c r="DQ152" s="111" t="str">
        <f aca="false">"D6.scenario.defSelectValue["""&amp;U152&amp;"""]= [ """&amp;CLEAN(V152)&amp;""", """&amp;CLEAN(W152)&amp;IF(X152="","",""", """&amp;CLEAN(X152))&amp;IF(Y152="","",""", """&amp;CLEAN(Y152))&amp;IF(Z152="","",""", """&amp;CLEAN(Z152))&amp;IF(AA152="","",""", """&amp;CLEAN(AA152))&amp;IF(AB152="","",""", """&amp;CLEAN(AB152))&amp;IF(AC152="","",""", """&amp;CLEAN(AC152))&amp;IF(AD152="","",""", """&amp;CLEAN(AD152))&amp;IF(AE152="","",""", """&amp;CLEAN(AE152))&amp;IF(AF152="","",""", """&amp;CLEAN(AF152))&amp;IF(AG152="","",""", """&amp;CLEAN(AG152))&amp;IF(AH152="","",""", """&amp;CLEAN(AH152))&amp;IF(AI152="","",""", """&amp;CLEAN(AI152))&amp;IF(AJ152="","",""", """&amp;CLEAN(AJ152))&amp;IF(AK152="","",""", """&amp;CLEAN(AK152))&amp;""" ];"</f>
        <v>D6.scenario.defSelectValue["sel811"]= [ "選んで下さい", "していない", "6時間程度している", "12時間程度している", "ほぼ24時間している" ];</v>
      </c>
      <c r="DR152" s="112"/>
      <c r="DS152" s="112"/>
      <c r="DT152" s="112" t="str">
        <f aca="false">"D6.scenario.defSelectData['"&amp;U152&amp;"']= [ '"&amp;BC152&amp;"', '"&amp;BD152&amp;"', '"&amp;BE152&amp;IF(BF152="","","', '"&amp;BF152)&amp;IF(BG152="","","', '"&amp;BG152)&amp;IF(BH152="","","', '"&amp;BH152)&amp;IF(BI152="","","', '"&amp;BI152)&amp;IF(BJ152="","","', '"&amp;BJ152)&amp;IF(BK152="","","', '"&amp;BK152)&amp;IF(BL152="","","', '"&amp;BL152)&amp;IF(BM152="","","', '"&amp;BM152)&amp;IF(BN152="","","', '"&amp;BN152)&amp;IF(BO152="","","', '"&amp;BO152)&amp;IF(BP152="","","', '"&amp;BP152)&amp;IF(BQ152="","","', '"&amp;BQ152)&amp;IF(BR152="","","', '"&amp;BR152)&amp;"' ];"</f>
        <v>D6.scenario.defSelectData['sel811']= [ '-1', '0', '6', '12', '24' ];</v>
      </c>
    </row>
    <row r="153" s="88" customFormat="true" ht="43.5" hidden="false" customHeight="true" outlineLevel="0" collapsed="false">
      <c r="B153" s="95" t="s">
        <v>1864</v>
      </c>
      <c r="C153" s="103" t="s">
        <v>1865</v>
      </c>
      <c r="D153" s="104" t="s">
        <v>1865</v>
      </c>
      <c r="E153" s="95" t="s">
        <v>262</v>
      </c>
      <c r="F153" s="103"/>
      <c r="G153" s="104"/>
      <c r="H153" s="103" t="s">
        <v>1866</v>
      </c>
      <c r="I153" s="104" t="s">
        <v>1866</v>
      </c>
      <c r="J153" s="103" t="str">
        <f aca="false">IF(K153="","",K153)</f>
        <v>sel821</v>
      </c>
      <c r="K153" s="104" t="str">
        <f aca="false">"sel"&amp;MID($B153,2,5)</f>
        <v>sel821</v>
      </c>
      <c r="L153" s="105"/>
      <c r="M153" s="105"/>
      <c r="N153" s="105"/>
      <c r="O153" s="95" t="s">
        <v>931</v>
      </c>
      <c r="P153" s="105"/>
      <c r="Q153" s="105"/>
      <c r="R153" s="95" t="n">
        <v>-1</v>
      </c>
      <c r="T153" s="66"/>
      <c r="U153" s="106" t="str">
        <f aca="false">J153</f>
        <v>sel821</v>
      </c>
      <c r="V153" s="103" t="s">
        <v>979</v>
      </c>
      <c r="W153" s="103" t="s">
        <v>1098</v>
      </c>
      <c r="X153" s="103" t="s">
        <v>1861</v>
      </c>
      <c r="Y153" s="103" t="s">
        <v>1862</v>
      </c>
      <c r="Z153" s="103" t="s">
        <v>1863</v>
      </c>
      <c r="AA153" s="103"/>
      <c r="AB153" s="103"/>
      <c r="AC153" s="103"/>
      <c r="AD153" s="103"/>
      <c r="AE153" s="103"/>
      <c r="AF153" s="103"/>
      <c r="AG153" s="103"/>
      <c r="AH153" s="103"/>
      <c r="AI153" s="103"/>
      <c r="AJ153" s="103"/>
      <c r="AK153" s="103"/>
      <c r="AL153" s="104" t="s">
        <v>979</v>
      </c>
      <c r="AM153" s="107" t="s">
        <v>1098</v>
      </c>
      <c r="AN153" s="104" t="s">
        <v>1861</v>
      </c>
      <c r="AO153" s="107" t="s">
        <v>1862</v>
      </c>
      <c r="AP153" s="107" t="s">
        <v>1863</v>
      </c>
      <c r="AQ153" s="104"/>
      <c r="AR153" s="104"/>
      <c r="AS153" s="104"/>
      <c r="AT153" s="104"/>
      <c r="AU153" s="104"/>
      <c r="AV153" s="104"/>
      <c r="AW153" s="104"/>
      <c r="AX153" s="104"/>
      <c r="AY153" s="104"/>
      <c r="AZ153" s="104"/>
      <c r="BA153" s="104"/>
      <c r="BB153" s="66"/>
      <c r="BC153" s="103" t="n">
        <v>-1</v>
      </c>
      <c r="BD153" s="103" t="n">
        <v>0</v>
      </c>
      <c r="BE153" s="103" t="n">
        <v>6</v>
      </c>
      <c r="BF153" s="103" t="n">
        <v>12</v>
      </c>
      <c r="BG153" s="103" t="n">
        <v>24</v>
      </c>
      <c r="BH153" s="103"/>
      <c r="BI153" s="103"/>
      <c r="BJ153" s="103"/>
      <c r="BK153" s="103"/>
      <c r="BL153" s="103"/>
      <c r="BM153" s="103"/>
      <c r="BN153" s="103"/>
      <c r="BO153" s="103"/>
      <c r="BP153" s="103"/>
      <c r="BQ153" s="103"/>
      <c r="BR153" s="103"/>
      <c r="BS153" s="104" t="n">
        <v>-1</v>
      </c>
      <c r="BT153" s="104" t="n">
        <v>0</v>
      </c>
      <c r="BU153" s="104" t="n">
        <v>6</v>
      </c>
      <c r="BV153" s="104" t="n">
        <v>12</v>
      </c>
      <c r="BW153" s="104" t="n">
        <v>24</v>
      </c>
      <c r="BX153" s="104"/>
      <c r="BY153" s="104"/>
      <c r="BZ153" s="104"/>
      <c r="CA153" s="104"/>
      <c r="CB153" s="104"/>
      <c r="CC153" s="104"/>
      <c r="CD153" s="104"/>
      <c r="CE153" s="104"/>
      <c r="CF153" s="104"/>
      <c r="CG153" s="104"/>
      <c r="CH153" s="104"/>
      <c r="CJ153" s="95" t="n">
        <v>10</v>
      </c>
      <c r="CK153" s="95" t="n">
        <v>0</v>
      </c>
      <c r="CL153" s="95" t="n">
        <v>4</v>
      </c>
      <c r="CM153" s="95" t="n">
        <v>1</v>
      </c>
      <c r="CN153" s="95" t="n">
        <v>0</v>
      </c>
      <c r="CO153" s="95" t="n">
        <v>2</v>
      </c>
      <c r="CP153" s="95" t="n">
        <v>1</v>
      </c>
      <c r="CQ153" s="95" t="n">
        <v>1</v>
      </c>
      <c r="CR153" s="95"/>
      <c r="CS153" s="95"/>
      <c r="CT153" s="95"/>
      <c r="CU153" s="95"/>
      <c r="CV153" s="95"/>
      <c r="CW153" s="95"/>
      <c r="CX153" s="95"/>
      <c r="CY153" s="95"/>
      <c r="CZ153" s="95" t="n">
        <v>10</v>
      </c>
      <c r="DA153" s="95" t="n">
        <v>0</v>
      </c>
      <c r="DB153" s="95" t="n">
        <v>4</v>
      </c>
      <c r="DC153" s="95" t="n">
        <v>1</v>
      </c>
      <c r="DD153" s="95" t="n">
        <v>0</v>
      </c>
      <c r="DE153" s="95" t="n">
        <v>2</v>
      </c>
      <c r="DF153" s="95" t="n">
        <v>1</v>
      </c>
      <c r="DG153" s="95" t="n">
        <v>1</v>
      </c>
      <c r="DL153" s="108"/>
      <c r="DM153" s="108"/>
      <c r="DN153" s="109" t="str">
        <f aca="false">"D6.scenario.defInput["""&amp;B153&amp;"""] = {  "&amp;E$2&amp;":"""&amp;E153&amp;""",  "&amp;C$2&amp;":"""&amp;CLEAN(SUBSTITUTE(C153,"""",""""))&amp;""",  "&amp;F$2&amp;":"""&amp;F153&amp;""",  "&amp;H$2&amp;":"""&amp;CLEAN(SUBSTITUTE(H153,"""",""""))&amp;""", "&amp;J$2&amp;":"""&amp;J153&amp;""", "&amp;L$2&amp;":"""&amp;L153&amp;""", "&amp;M$2&amp;":"""&amp;M153&amp;""", "&amp;N$2&amp;":"""&amp;N153&amp;""", "&amp;O$2&amp;":"""&amp;O153&amp;""", "&amp;P$2&amp;":"""&amp;P153&amp;""", "&amp;Q$2&amp;":"""&amp;Q153&amp;""", "&amp;R$2&amp;":"""&amp;R153&amp;""", d11t:"""&amp;CJ153&amp;""",d11p:"""&amp;CK153&amp;""",d12t:"""&amp;CL153&amp;""",d12p:"""&amp;CM153&amp;""",d13t:"""&amp;CN153&amp;""",d13p:"""&amp;CO153&amp;""",d1w:"""&amp;CP153&amp;""",d1d:"""&amp;CQ153&amp;""", d21t:"""&amp;CR153&amp;""",d21p:"""&amp;CS153&amp;""",d22t:"""&amp;CT153&amp;""",d22p:"""&amp;CU153&amp;""",d23t:"""&amp;CV153&amp;""",d23p:"""&amp;CW153&amp;""",d2w:"""&amp;CX153&amp;""",d2d:"""&amp;CY153&amp;""", d31t:"""&amp;CZ153&amp;""",d31p:"""&amp;DA153&amp;""",d32t:"""&amp;DB153&amp;""",d32p:"""&amp;DC153&amp;""",d33t:"""&amp;DD153&amp;""",d33p:"""&amp;DE153&amp;""",d3w:"""&amp;DF153&amp;""",d3d:"""&amp;DG153&amp;"""}; "</f>
        <v>D6.scenario.defInput["i821"] = {  cons:"consCKpot",  title:"ポットの保温",  unit:"",  text:"ポットの保温をしていますか", inputType:"sel821", right:"", postfix:"", nodata:"", varType:"Number", min:"", max:"", defaultValue:"-1", d11t:"10",d11p:"0",d12t:"4",d12p:"1",d13t:"0",d13p:"2",d1w:"1",d1d:"1", d21t:"",d21p:"",d22t:"",d22p:"",d23t:"",d23p:"",d2w:"",d2d:"", d31t:"10",d31p:"0",d32t:"4",d32p:"1",d33t:"0",d33p:"2",d3w:"1",d3d:"1"}; </v>
      </c>
      <c r="DO153" s="110"/>
      <c r="DP153" s="110"/>
      <c r="DQ153" s="111" t="str">
        <f aca="false">"D6.scenario.defSelectValue["""&amp;U153&amp;"""]= [ """&amp;CLEAN(V153)&amp;""", """&amp;CLEAN(W153)&amp;IF(X153="","",""", """&amp;CLEAN(X153))&amp;IF(Y153="","",""", """&amp;CLEAN(Y153))&amp;IF(Z153="","",""", """&amp;CLEAN(Z153))&amp;IF(AA153="","",""", """&amp;CLEAN(AA153))&amp;IF(AB153="","",""", """&amp;CLEAN(AB153))&amp;IF(AC153="","",""", """&amp;CLEAN(AC153))&amp;IF(AD153="","",""", """&amp;CLEAN(AD153))&amp;IF(AE153="","",""", """&amp;CLEAN(AE153))&amp;IF(AF153="","",""", """&amp;CLEAN(AF153))&amp;IF(AG153="","",""", """&amp;CLEAN(AG153))&amp;IF(AH153="","",""", """&amp;CLEAN(AH153))&amp;IF(AI153="","",""", """&amp;CLEAN(AI153))&amp;IF(AJ153="","",""", """&amp;CLEAN(AJ153))&amp;IF(AK153="","",""", """&amp;CLEAN(AK153))&amp;""" ];"</f>
        <v>D6.scenario.defSelectValue["sel821"]= [ "選んで下さい", "していない", "6時間程度している", "12時間程度している", "ほぼ24時間している" ];</v>
      </c>
      <c r="DR153" s="112"/>
      <c r="DS153" s="112"/>
      <c r="DT153" s="112" t="str">
        <f aca="false">"D6.scenario.defSelectData['"&amp;U153&amp;"']= [ '"&amp;BC153&amp;"', '"&amp;BD153&amp;"', '"&amp;BE153&amp;IF(BF153="","","', '"&amp;BF153)&amp;IF(BG153="","","', '"&amp;BG153)&amp;IF(BH153="","","', '"&amp;BH153)&amp;IF(BI153="","","', '"&amp;BI153)&amp;IF(BJ153="","","', '"&amp;BJ153)&amp;IF(BK153="","","', '"&amp;BK153)&amp;IF(BL153="","","', '"&amp;BL153)&amp;IF(BM153="","","', '"&amp;BM153)&amp;IF(BN153="","","', '"&amp;BN153)&amp;IF(BO153="","","', '"&amp;BO153)&amp;IF(BP153="","","', '"&amp;BP153)&amp;IF(BQ153="","","', '"&amp;BQ153)&amp;IF(BR153="","","', '"&amp;BR153)&amp;"' ];"</f>
        <v>D6.scenario.defSelectData['sel821']= [ '-1', '0', '6', '12', '24' ];</v>
      </c>
    </row>
    <row r="154" s="88" customFormat="true" ht="43.5" hidden="false" customHeight="true" outlineLevel="0" collapsed="false">
      <c r="B154" s="95" t="s">
        <v>1867</v>
      </c>
      <c r="C154" s="103" t="s">
        <v>1868</v>
      </c>
      <c r="D154" s="104" t="s">
        <v>1868</v>
      </c>
      <c r="E154" s="95" t="s">
        <v>262</v>
      </c>
      <c r="F154" s="103"/>
      <c r="G154" s="104"/>
      <c r="H154" s="103" t="s">
        <v>1869</v>
      </c>
      <c r="I154" s="104" t="s">
        <v>1869</v>
      </c>
      <c r="J154" s="103" t="str">
        <f aca="false">IF(K154="","",K154)</f>
        <v>sel822</v>
      </c>
      <c r="K154" s="104" t="str">
        <f aca="false">"sel"&amp;MID($B154,2,5)</f>
        <v>sel822</v>
      </c>
      <c r="L154" s="105"/>
      <c r="M154" s="105"/>
      <c r="N154" s="105"/>
      <c r="O154" s="95" t="s">
        <v>931</v>
      </c>
      <c r="P154" s="105"/>
      <c r="Q154" s="105"/>
      <c r="R154" s="95" t="n">
        <v>-1</v>
      </c>
      <c r="T154" s="66"/>
      <c r="U154" s="106" t="str">
        <f aca="false">J154</f>
        <v>sel822</v>
      </c>
      <c r="V154" s="103" t="s">
        <v>979</v>
      </c>
      <c r="W154" s="103" t="s">
        <v>1140</v>
      </c>
      <c r="X154" s="103" t="s">
        <v>1141</v>
      </c>
      <c r="Y154" s="103" t="s">
        <v>1062</v>
      </c>
      <c r="Z154" s="103"/>
      <c r="AA154" s="103"/>
      <c r="AB154" s="103"/>
      <c r="AC154" s="103"/>
      <c r="AD154" s="103"/>
      <c r="AE154" s="103"/>
      <c r="AF154" s="103"/>
      <c r="AG154" s="103"/>
      <c r="AH154" s="103"/>
      <c r="AI154" s="103"/>
      <c r="AJ154" s="103"/>
      <c r="AK154" s="103"/>
      <c r="AL154" s="104" t="s">
        <v>979</v>
      </c>
      <c r="AM154" s="107" t="s">
        <v>1140</v>
      </c>
      <c r="AN154" s="107" t="s">
        <v>1141</v>
      </c>
      <c r="AO154" s="107" t="s">
        <v>1062</v>
      </c>
      <c r="AP154" s="104"/>
      <c r="AQ154" s="104"/>
      <c r="AR154" s="104"/>
      <c r="AS154" s="104"/>
      <c r="AT154" s="104"/>
      <c r="AU154" s="104"/>
      <c r="AV154" s="104"/>
      <c r="AW154" s="104"/>
      <c r="AX154" s="104"/>
      <c r="AY154" s="104"/>
      <c r="AZ154" s="104"/>
      <c r="BA154" s="104"/>
      <c r="BB154" s="66"/>
      <c r="BC154" s="103" t="n">
        <v>-1</v>
      </c>
      <c r="BD154" s="103" t="n">
        <v>1</v>
      </c>
      <c r="BE154" s="103" t="n">
        <v>2</v>
      </c>
      <c r="BF154" s="103" t="n">
        <v>3</v>
      </c>
      <c r="BG154" s="103"/>
      <c r="BH154" s="103"/>
      <c r="BI154" s="103"/>
      <c r="BJ154" s="103"/>
      <c r="BK154" s="103"/>
      <c r="BL154" s="103"/>
      <c r="BM154" s="103"/>
      <c r="BN154" s="103"/>
      <c r="BO154" s="103"/>
      <c r="BP154" s="103"/>
      <c r="BQ154" s="103"/>
      <c r="BR154" s="103"/>
      <c r="BS154" s="104" t="n">
        <v>-1</v>
      </c>
      <c r="BT154" s="104" t="n">
        <v>1</v>
      </c>
      <c r="BU154" s="104" t="n">
        <v>2</v>
      </c>
      <c r="BV154" s="104" t="n">
        <v>3</v>
      </c>
      <c r="BW154" s="104"/>
      <c r="BX154" s="104"/>
      <c r="BY154" s="104"/>
      <c r="BZ154" s="104"/>
      <c r="CA154" s="104"/>
      <c r="CB154" s="104"/>
      <c r="CC154" s="104"/>
      <c r="CD154" s="104"/>
      <c r="CE154" s="104"/>
      <c r="CF154" s="104"/>
      <c r="CG154" s="104"/>
      <c r="CH154" s="104"/>
      <c r="CJ154" s="95"/>
      <c r="CK154" s="95"/>
      <c r="CL154" s="95"/>
      <c r="CM154" s="95"/>
      <c r="CN154" s="95"/>
      <c r="CO154" s="95"/>
      <c r="CP154" s="95"/>
      <c r="CQ154" s="95"/>
      <c r="CR154" s="95"/>
      <c r="CS154" s="95"/>
      <c r="CT154" s="95"/>
      <c r="CU154" s="95"/>
      <c r="CV154" s="95"/>
      <c r="CW154" s="95"/>
      <c r="CX154" s="95"/>
      <c r="CY154" s="95"/>
      <c r="CZ154" s="95"/>
      <c r="DA154" s="95"/>
      <c r="DB154" s="95"/>
      <c r="DC154" s="95"/>
      <c r="DD154" s="95"/>
      <c r="DE154" s="95"/>
      <c r="DF154" s="95"/>
      <c r="DG154" s="95"/>
      <c r="DL154" s="108"/>
      <c r="DM154" s="108"/>
      <c r="DN154" s="109" t="str">
        <f aca="false">"D6.scenario.defInput["""&amp;B154&amp;"""] = {  "&amp;E$2&amp;":"""&amp;E154&amp;""",  "&amp;C$2&amp;":"""&amp;CLEAN(SUBSTITUTE(C154,"""",""""))&amp;""",  "&amp;F$2&amp;":"""&amp;F154&amp;""",  "&amp;H$2&amp;":"""&amp;CLEAN(SUBSTITUTE(H154,"""",""""))&amp;""", "&amp;J$2&amp;":"""&amp;J154&amp;""", "&amp;L$2&amp;":"""&amp;L154&amp;""", "&amp;M$2&amp;":"""&amp;M154&amp;""", "&amp;N$2&amp;":"""&amp;N154&amp;""", "&amp;O$2&amp;":"""&amp;O154&amp;""", "&amp;P$2&amp;":"""&amp;P154&amp;""", "&amp;Q$2&amp;":"""&amp;Q154&amp;""", "&amp;R$2&amp;":"""&amp;R154&amp;""", d11t:"""&amp;CJ154&amp;""",d11p:"""&amp;CK154&amp;""",d12t:"""&amp;CL154&amp;""",d12p:"""&amp;CM154&amp;""",d13t:"""&amp;CN154&amp;""",d13p:"""&amp;CO154&amp;""",d1w:"""&amp;CP154&amp;""",d1d:"""&amp;CQ154&amp;""", d21t:"""&amp;CR154&amp;""",d21p:"""&amp;CS154&amp;""",d22t:"""&amp;CT154&amp;""",d22p:"""&amp;CU154&amp;""",d23t:"""&amp;CV154&amp;""",d23p:"""&amp;CW154&amp;""",d2w:"""&amp;CX154&amp;""",d2d:"""&amp;CY154&amp;""", d31t:"""&amp;CZ154&amp;""",d31p:"""&amp;DA154&amp;""",d32t:"""&amp;DB154&amp;""",d32p:"""&amp;DC154&amp;""",d33t:"""&amp;DD154&amp;""",d33p:"""&amp;DE154&amp;""",d3w:"""&amp;DF154&amp;""",d3d:"""&amp;DG154&amp;"""}; "</f>
        <v>D6.scenario.defInput["i822"] = {  cons:"consCKpot",  title:"電気ポットの省エネ性",  unit:"",  text:"電気ポットは省エネタイプですか", inputType:"sel822", right:"", postfix:"", nodata:"", varType:"Number", min:"", max:"", defaultValue:"-1", d11t:"",d11p:"",d12t:"",d12p:"",d13t:"",d13p:"",d1w:"",d1d:"", d21t:"",d21p:"",d22t:"",d22p:"",d23t:"",d23p:"",d2w:"",d2d:"", d31t:"",d31p:"",d32t:"",d32p:"",d33t:"",d33p:"",d3w:"",d3d:""}; </v>
      </c>
      <c r="DO154" s="110"/>
      <c r="DP154" s="110"/>
      <c r="DQ154" s="111" t="str">
        <f aca="false">"D6.scenario.defSelectValue["""&amp;U154&amp;"""]= [ """&amp;CLEAN(V154)&amp;""", """&amp;CLEAN(W154)&amp;IF(X154="","",""", """&amp;CLEAN(X154))&amp;IF(Y154="","",""", """&amp;CLEAN(Y154))&amp;IF(Z154="","",""", """&amp;CLEAN(Z154))&amp;IF(AA154="","",""", """&amp;CLEAN(AA154))&amp;IF(AB154="","",""", """&amp;CLEAN(AB154))&amp;IF(AC154="","",""", """&amp;CLEAN(AC154))&amp;IF(AD154="","",""", """&amp;CLEAN(AD154))&amp;IF(AE154="","",""", """&amp;CLEAN(AE154))&amp;IF(AF154="","",""", """&amp;CLEAN(AF154))&amp;IF(AG154="","",""", """&amp;CLEAN(AG154))&amp;IF(AH154="","",""", """&amp;CLEAN(AH154))&amp;IF(AI154="","",""", """&amp;CLEAN(AI154))&amp;IF(AJ154="","",""", """&amp;CLEAN(AJ154))&amp;IF(AK154="","",""", """&amp;CLEAN(AK154))&amp;""" ];"</f>
        <v>D6.scenario.defSelectValue["sel822"]= [ "選んで下さい", "はい", "いいえ", "わからない" ];</v>
      </c>
      <c r="DR154" s="112"/>
      <c r="DS154" s="112"/>
      <c r="DT154" s="112" t="str">
        <f aca="false">"D6.scenario.defSelectData['"&amp;U154&amp;"']= [ '"&amp;BC154&amp;"', '"&amp;BD154&amp;"', '"&amp;BE154&amp;IF(BF154="","","', '"&amp;BF154)&amp;IF(BG154="","","', '"&amp;BG154)&amp;IF(BH154="","","', '"&amp;BH154)&amp;IF(BI154="","","', '"&amp;BI154)&amp;IF(BJ154="","","', '"&amp;BJ154)&amp;IF(BK154="","","', '"&amp;BK154)&amp;IF(BL154="","","', '"&amp;BL154)&amp;IF(BM154="","","', '"&amp;BM154)&amp;IF(BN154="","","', '"&amp;BN154)&amp;IF(BO154="","","', '"&amp;BO154)&amp;IF(BP154="","","', '"&amp;BP154)&amp;IF(BQ154="","","', '"&amp;BQ154)&amp;IF(BR154="","","', '"&amp;BR154)&amp;"' ];"</f>
        <v>D6.scenario.defSelectData['sel822']= [ '-1', '1', '2', '3' ];</v>
      </c>
    </row>
    <row r="155" s="88" customFormat="true" ht="43.5" hidden="false" customHeight="true" outlineLevel="0" collapsed="false">
      <c r="A155" s="66"/>
      <c r="B155" s="105" t="s">
        <v>1870</v>
      </c>
      <c r="C155" s="103" t="s">
        <v>1871</v>
      </c>
      <c r="D155" s="104" t="s">
        <v>1871</v>
      </c>
      <c r="E155" s="95" t="s">
        <v>279</v>
      </c>
      <c r="F155" s="103"/>
      <c r="G155" s="104"/>
      <c r="H155" s="103" t="s">
        <v>1872</v>
      </c>
      <c r="I155" s="104" t="s">
        <v>1871</v>
      </c>
      <c r="J155" s="103" t="str">
        <f aca="false">IF(K155="","",K155)</f>
        <v>sel901</v>
      </c>
      <c r="K155" s="104" t="str">
        <f aca="false">"sel"&amp;MID($B155,2,5)</f>
        <v>sel901</v>
      </c>
      <c r="L155" s="105"/>
      <c r="M155" s="105"/>
      <c r="N155" s="105"/>
      <c r="O155" s="95" t="s">
        <v>931</v>
      </c>
      <c r="P155" s="105"/>
      <c r="Q155" s="105"/>
      <c r="R155" s="95" t="n">
        <v>-1</v>
      </c>
      <c r="S155" s="66"/>
      <c r="U155" s="106" t="str">
        <f aca="false">J155</f>
        <v>sel901</v>
      </c>
      <c r="V155" s="103" t="s">
        <v>979</v>
      </c>
      <c r="W155" s="103" t="s">
        <v>1459</v>
      </c>
      <c r="X155" s="103" t="s">
        <v>1806</v>
      </c>
      <c r="Y155" s="103" t="s">
        <v>1807</v>
      </c>
      <c r="Z155" s="103" t="s">
        <v>1808</v>
      </c>
      <c r="AA155" s="103" t="s">
        <v>1809</v>
      </c>
      <c r="AB155" s="103" t="s">
        <v>1873</v>
      </c>
      <c r="AC155" s="103"/>
      <c r="AD155" s="103"/>
      <c r="AE155" s="103"/>
      <c r="AF155" s="103"/>
      <c r="AG155" s="103"/>
      <c r="AH155" s="103"/>
      <c r="AI155" s="103"/>
      <c r="AJ155" s="103"/>
      <c r="AK155" s="103"/>
      <c r="AL155" s="104" t="s">
        <v>979</v>
      </c>
      <c r="AM155" s="107" t="s">
        <v>1459</v>
      </c>
      <c r="AN155" s="107" t="s">
        <v>1806</v>
      </c>
      <c r="AO155" s="107" t="s">
        <v>1807</v>
      </c>
      <c r="AP155" s="107" t="s">
        <v>1808</v>
      </c>
      <c r="AQ155" s="107" t="s">
        <v>1809</v>
      </c>
      <c r="AR155" s="104" t="s">
        <v>1873</v>
      </c>
      <c r="AS155" s="104"/>
      <c r="AT155" s="104"/>
      <c r="AU155" s="104"/>
      <c r="AV155" s="104"/>
      <c r="AW155" s="104"/>
      <c r="AX155" s="104"/>
      <c r="AY155" s="104"/>
      <c r="AZ155" s="104"/>
      <c r="BA155" s="104"/>
      <c r="BB155" s="66"/>
      <c r="BC155" s="103" t="n">
        <v>-1</v>
      </c>
      <c r="BD155" s="103" t="n">
        <v>0</v>
      </c>
      <c r="BE155" s="103" t="n">
        <v>1</v>
      </c>
      <c r="BF155" s="103" t="n">
        <v>2</v>
      </c>
      <c r="BG155" s="103" t="n">
        <v>3</v>
      </c>
      <c r="BH155" s="103" t="n">
        <v>4</v>
      </c>
      <c r="BI155" s="103" t="n">
        <v>5</v>
      </c>
      <c r="BJ155" s="103"/>
      <c r="BK155" s="103"/>
      <c r="BL155" s="103"/>
      <c r="BM155" s="103"/>
      <c r="BN155" s="103"/>
      <c r="BO155" s="103"/>
      <c r="BP155" s="103"/>
      <c r="BQ155" s="103"/>
      <c r="BR155" s="103"/>
      <c r="BS155" s="104" t="n">
        <v>-1</v>
      </c>
      <c r="BT155" s="104" t="n">
        <v>0</v>
      </c>
      <c r="BU155" s="104" t="n">
        <v>1</v>
      </c>
      <c r="BV155" s="104" t="n">
        <v>2</v>
      </c>
      <c r="BW155" s="104" t="n">
        <v>3</v>
      </c>
      <c r="BX155" s="104" t="n">
        <v>4</v>
      </c>
      <c r="BY155" s="104" t="n">
        <v>5</v>
      </c>
      <c r="BZ155" s="104"/>
      <c r="CA155" s="104"/>
      <c r="CB155" s="104"/>
      <c r="CC155" s="104"/>
      <c r="CD155" s="104"/>
      <c r="CE155" s="104"/>
      <c r="CF155" s="104"/>
      <c r="CG155" s="104"/>
      <c r="CH155" s="104"/>
      <c r="CJ155" s="95" t="n">
        <v>4</v>
      </c>
      <c r="CK155" s="95" t="n">
        <v>0</v>
      </c>
      <c r="CL155" s="95" t="n">
        <v>2</v>
      </c>
      <c r="CM155" s="95" t="n">
        <v>1</v>
      </c>
      <c r="CN155" s="95" t="n">
        <v>0</v>
      </c>
      <c r="CO155" s="95" t="n">
        <v>2</v>
      </c>
      <c r="CP155" s="95" t="n">
        <v>2</v>
      </c>
      <c r="CQ155" s="95" t="n">
        <v>1</v>
      </c>
      <c r="CR155" s="95"/>
      <c r="CS155" s="95"/>
      <c r="CT155" s="95"/>
      <c r="CU155" s="95"/>
      <c r="CV155" s="95"/>
      <c r="CW155" s="95"/>
      <c r="CX155" s="95"/>
      <c r="CY155" s="95"/>
      <c r="CZ155" s="95"/>
      <c r="DA155" s="95"/>
      <c r="DB155" s="95"/>
      <c r="DC155" s="95"/>
      <c r="DD155" s="95"/>
      <c r="DE155" s="95"/>
      <c r="DF155" s="95"/>
      <c r="DG155" s="95"/>
      <c r="DL155" s="108"/>
      <c r="DM155" s="108"/>
      <c r="DN155" s="109" t="str">
        <f aca="false">"D6.scenario.defInput["""&amp;B155&amp;"""] = {  "&amp;E$2&amp;":"""&amp;E155&amp;""",  "&amp;C$2&amp;":"""&amp;CLEAN(SUBSTITUTE(C155,"""",""""))&amp;""",  "&amp;F$2&amp;":"""&amp;F155&amp;""",  "&amp;H$2&amp;":"""&amp;CLEAN(SUBSTITUTE(H155,"""",""""))&amp;""", "&amp;J$2&amp;":"""&amp;J155&amp;""", "&amp;L$2&amp;":"""&amp;L155&amp;""", "&amp;M$2&amp;":"""&amp;M155&amp;""", "&amp;N$2&amp;":"""&amp;N155&amp;""", "&amp;O$2&amp;":"""&amp;O155&amp;""", "&amp;P$2&amp;":"""&amp;P155&amp;""", "&amp;Q$2&amp;":"""&amp;Q155&amp;""", "&amp;R$2&amp;":"""&amp;R155&amp;""", d11t:"""&amp;CJ155&amp;""",d11p:"""&amp;CK155&amp;""",d12t:"""&amp;CL155&amp;""",d12p:"""&amp;CM155&amp;""",d13t:"""&amp;CN155&amp;""",d13p:"""&amp;CO155&amp;""",d1w:"""&amp;CP155&amp;""",d1d:"""&amp;CQ155&amp;""", d21t:"""&amp;CR155&amp;""",d21p:"""&amp;CS155&amp;""",d22t:"""&amp;CT155&amp;""",d22p:"""&amp;CU155&amp;""",d23t:"""&amp;CV155&amp;""",d23p:"""&amp;CW155&amp;""",d2w:"""&amp;CX155&amp;""",d2d:"""&amp;CY155&amp;""", d31t:"""&amp;CZ155&amp;""",d31p:"""&amp;DA155&amp;""",d32t:"""&amp;DB155&amp;""",d32p:"""&amp;DC155&amp;""",d33t:"""&amp;DD155&amp;""",d33p:"""&amp;DE155&amp;""",d3w:"""&amp;DF155&amp;""",d3d:"""&amp;DG155&amp;"""}; "</f>
        <v>D6.scenario.defInput["i901"] = {  cons:"consCRsum",  title:"車の保有台数",  unit:"",  text:"自家用車を何台保有していますか", inputType:"sel901", right:"", postfix:"", nodata:"", varType:"Number", min:"", max:"", defaultValue:"-1", d11t:"4",d11p:"0",d12t:"2",d12p:"1",d13t:"0",d13p:"2",d1w:"2",d1d:"1", d21t:"",d21p:"",d22t:"",d22p:"",d23t:"",d23p:"",d2w:"",d2d:"", d31t:"",d31p:"",d32t:"",d32p:"",d33t:"",d33p:"",d3w:"",d3d:""}; </v>
      </c>
      <c r="DO155" s="110"/>
      <c r="DP155" s="110"/>
      <c r="DQ155" s="111" t="str">
        <f aca="false">"D6.scenario.defSelectValue["""&amp;U155&amp;"""]= [ """&amp;CLEAN(V155)&amp;""", """&amp;CLEAN(W155)&amp;IF(X155="","",""", """&amp;CLEAN(X155))&amp;IF(Y155="","",""", """&amp;CLEAN(Y155))&amp;IF(Z155="","",""", """&amp;CLEAN(Z155))&amp;IF(AA155="","",""", """&amp;CLEAN(AA155))&amp;IF(AB155="","",""", """&amp;CLEAN(AB155))&amp;IF(AC155="","",""", """&amp;CLEAN(AC155))&amp;IF(AD155="","",""", """&amp;CLEAN(AD155))&amp;IF(AE155="","",""", """&amp;CLEAN(AE155))&amp;IF(AF155="","",""", """&amp;CLEAN(AF155))&amp;IF(AG155="","",""", """&amp;CLEAN(AG155))&amp;IF(AH155="","",""", """&amp;CLEAN(AH155))&amp;IF(AI155="","",""", """&amp;CLEAN(AI155))&amp;IF(AJ155="","",""", """&amp;CLEAN(AJ155))&amp;IF(AK155="","",""", """&amp;CLEAN(AK155))&amp;""" ];"</f>
        <v>D6.scenario.defSelectValue["sel901"]= [ "選んで下さい", "持っていない", "1台", "2台", "3台", "4台", "5台以上" ];</v>
      </c>
      <c r="DR155" s="112"/>
      <c r="DS155" s="112"/>
      <c r="DT155" s="112" t="str">
        <f aca="false">"D6.scenario.defSelectData['"&amp;U155&amp;"']= [ '"&amp;BC155&amp;"', '"&amp;BD155&amp;"', '"&amp;BE155&amp;IF(BF155="","","', '"&amp;BF155)&amp;IF(BG155="","","', '"&amp;BG155)&amp;IF(BH155="","","', '"&amp;BH155)&amp;IF(BI155="","","', '"&amp;BI155)&amp;IF(BJ155="","","', '"&amp;BJ155)&amp;IF(BK155="","","', '"&amp;BK155)&amp;IF(BL155="","","', '"&amp;BL155)&amp;IF(BM155="","","', '"&amp;BM155)&amp;IF(BN155="","","', '"&amp;BN155)&amp;IF(BO155="","","', '"&amp;BO155)&amp;IF(BP155="","","', '"&amp;BP155)&amp;IF(BQ155="","","', '"&amp;BQ155)&amp;IF(BR155="","","', '"&amp;BR155)&amp;"' ];"</f>
        <v>D6.scenario.defSelectData['sel901']= [ '-1', '0', '1', '2', '3', '4', '5' ];</v>
      </c>
    </row>
    <row r="156" s="88" customFormat="true" ht="43.5" hidden="false" customHeight="true" outlineLevel="0" collapsed="false">
      <c r="A156" s="66"/>
      <c r="B156" s="105" t="s">
        <v>1874</v>
      </c>
      <c r="C156" s="103" t="s">
        <v>1875</v>
      </c>
      <c r="D156" s="104" t="s">
        <v>1875</v>
      </c>
      <c r="E156" s="95" t="s">
        <v>279</v>
      </c>
      <c r="F156" s="103"/>
      <c r="G156" s="104"/>
      <c r="H156" s="103" t="s">
        <v>1876</v>
      </c>
      <c r="I156" s="104" t="s">
        <v>1875</v>
      </c>
      <c r="J156" s="103" t="str">
        <f aca="false">IF(K156="","",K156)</f>
        <v>sel902</v>
      </c>
      <c r="K156" s="104" t="str">
        <f aca="false">"sel"&amp;MID($B156,2,5)</f>
        <v>sel902</v>
      </c>
      <c r="L156" s="105"/>
      <c r="M156" s="105"/>
      <c r="N156" s="105"/>
      <c r="O156" s="95" t="s">
        <v>931</v>
      </c>
      <c r="P156" s="105"/>
      <c r="Q156" s="105"/>
      <c r="R156" s="95" t="n">
        <v>-1</v>
      </c>
      <c r="S156" s="66"/>
      <c r="U156" s="106" t="str">
        <f aca="false">J156</f>
        <v>sel902</v>
      </c>
      <c r="V156" s="103" t="s">
        <v>979</v>
      </c>
      <c r="W156" s="103" t="s">
        <v>1459</v>
      </c>
      <c r="X156" s="103" t="s">
        <v>1806</v>
      </c>
      <c r="Y156" s="103" t="s">
        <v>1807</v>
      </c>
      <c r="Z156" s="103" t="s">
        <v>1808</v>
      </c>
      <c r="AA156" s="103" t="s">
        <v>1809</v>
      </c>
      <c r="AB156" s="103" t="s">
        <v>1873</v>
      </c>
      <c r="AC156" s="103"/>
      <c r="AD156" s="103"/>
      <c r="AE156" s="103"/>
      <c r="AF156" s="103"/>
      <c r="AG156" s="103"/>
      <c r="AH156" s="103"/>
      <c r="AI156" s="103"/>
      <c r="AJ156" s="103"/>
      <c r="AK156" s="103"/>
      <c r="AL156" s="104" t="s">
        <v>979</v>
      </c>
      <c r="AM156" s="107" t="s">
        <v>1459</v>
      </c>
      <c r="AN156" s="107" t="s">
        <v>1806</v>
      </c>
      <c r="AO156" s="104" t="s">
        <v>1807</v>
      </c>
      <c r="AP156" s="104" t="s">
        <v>1808</v>
      </c>
      <c r="AQ156" s="104" t="s">
        <v>1809</v>
      </c>
      <c r="AR156" s="104" t="s">
        <v>1873</v>
      </c>
      <c r="AS156" s="104"/>
      <c r="AT156" s="104"/>
      <c r="AU156" s="104"/>
      <c r="AV156" s="104"/>
      <c r="AW156" s="104"/>
      <c r="AX156" s="104"/>
      <c r="AY156" s="104"/>
      <c r="AZ156" s="104"/>
      <c r="BA156" s="104"/>
      <c r="BB156" s="66"/>
      <c r="BC156" s="103" t="n">
        <v>-1</v>
      </c>
      <c r="BD156" s="103" t="n">
        <v>0</v>
      </c>
      <c r="BE156" s="103" t="n">
        <v>1</v>
      </c>
      <c r="BF156" s="103" t="n">
        <v>2</v>
      </c>
      <c r="BG156" s="103" t="n">
        <v>3</v>
      </c>
      <c r="BH156" s="103" t="n">
        <v>4</v>
      </c>
      <c r="BI156" s="103" t="n">
        <v>5</v>
      </c>
      <c r="BJ156" s="103"/>
      <c r="BK156" s="103"/>
      <c r="BL156" s="103"/>
      <c r="BM156" s="103"/>
      <c r="BN156" s="103"/>
      <c r="BO156" s="103"/>
      <c r="BP156" s="103"/>
      <c r="BQ156" s="103"/>
      <c r="BR156" s="103"/>
      <c r="BS156" s="104" t="n">
        <v>-1</v>
      </c>
      <c r="BT156" s="104" t="n">
        <v>0</v>
      </c>
      <c r="BU156" s="104" t="n">
        <v>1</v>
      </c>
      <c r="BV156" s="104" t="n">
        <v>2</v>
      </c>
      <c r="BW156" s="104" t="n">
        <v>3</v>
      </c>
      <c r="BX156" s="104" t="n">
        <v>4</v>
      </c>
      <c r="BY156" s="104" t="n">
        <v>5</v>
      </c>
      <c r="BZ156" s="104"/>
      <c r="CA156" s="104"/>
      <c r="CB156" s="104"/>
      <c r="CC156" s="104"/>
      <c r="CD156" s="104"/>
      <c r="CE156" s="104"/>
      <c r="CF156" s="104"/>
      <c r="CG156" s="104"/>
      <c r="CH156" s="104"/>
      <c r="CJ156" s="95"/>
      <c r="CK156" s="95"/>
      <c r="CL156" s="95"/>
      <c r="CM156" s="95"/>
      <c r="CN156" s="95"/>
      <c r="CO156" s="95"/>
      <c r="CP156" s="95"/>
      <c r="CQ156" s="95"/>
      <c r="CR156" s="95"/>
      <c r="CS156" s="95"/>
      <c r="CT156" s="95"/>
      <c r="CU156" s="95"/>
      <c r="CV156" s="95"/>
      <c r="CW156" s="95"/>
      <c r="CX156" s="95"/>
      <c r="CY156" s="95"/>
      <c r="CZ156" s="95"/>
      <c r="DA156" s="95"/>
      <c r="DB156" s="95"/>
      <c r="DC156" s="95"/>
      <c r="DD156" s="95"/>
      <c r="DE156" s="95"/>
      <c r="DF156" s="95"/>
      <c r="DG156" s="95"/>
      <c r="DL156" s="108"/>
      <c r="DM156" s="108"/>
      <c r="DN156" s="109" t="str">
        <f aca="false">"D6.scenario.defInput["""&amp;B156&amp;"""] = {  "&amp;E$2&amp;":"""&amp;E156&amp;""",  "&amp;C$2&amp;":"""&amp;CLEAN(SUBSTITUTE(C156,"""",""""))&amp;""",  "&amp;F$2&amp;":"""&amp;F156&amp;""",  "&amp;H$2&amp;":"""&amp;CLEAN(SUBSTITUTE(H156,"""",""""))&amp;""", "&amp;J$2&amp;":"""&amp;J156&amp;""", "&amp;L$2&amp;":"""&amp;L156&amp;""", "&amp;M$2&amp;":"""&amp;M156&amp;""", "&amp;N$2&amp;":"""&amp;N156&amp;""", "&amp;O$2&amp;":"""&amp;O156&amp;""", "&amp;P$2&amp;":"""&amp;P156&amp;""", "&amp;Q$2&amp;":"""&amp;Q156&amp;""", "&amp;R$2&amp;":"""&amp;R156&amp;""", d11t:"""&amp;CJ156&amp;""",d11p:"""&amp;CK156&amp;""",d12t:"""&amp;CL156&amp;""",d12p:"""&amp;CM156&amp;""",d13t:"""&amp;CN156&amp;""",d13p:"""&amp;CO156&amp;""",d1w:"""&amp;CP156&amp;""",d1d:"""&amp;CQ156&amp;""", d21t:"""&amp;CR156&amp;""",d21p:"""&amp;CS156&amp;""",d22t:"""&amp;CT156&amp;""",d22p:"""&amp;CU156&amp;""",d23t:"""&amp;CV156&amp;""",d23p:"""&amp;CW156&amp;""",d2w:"""&amp;CX156&amp;""",d2d:"""&amp;CY156&amp;""", d31t:"""&amp;CZ156&amp;""",d31p:"""&amp;DA156&amp;""",d32t:"""&amp;DB156&amp;""",d32p:"""&amp;DC156&amp;""",d33t:"""&amp;DD156&amp;""",d33p:"""&amp;DE156&amp;""",d3w:"""&amp;DF156&amp;""",d3d:"""&amp;DG156&amp;"""}; "</f>
        <v>D6.scenario.defInput["i902"] = {  cons:"consCRsum",  title:"スクータ・バイクの保有台数",  unit:"",  text:"スクータ・バイクを何台保有していますか", inputType:"sel902", right:"", postfix:"", nodata:"", varType:"Number", min:"", max:"", defaultValue:"-1", d11t:"",d11p:"",d12t:"",d12p:"",d13t:"",d13p:"",d1w:"",d1d:"", d21t:"",d21p:"",d22t:"",d22p:"",d23t:"",d23p:"",d2w:"",d2d:"", d31t:"",d31p:"",d32t:"",d32p:"",d33t:"",d33p:"",d3w:"",d3d:""}; </v>
      </c>
      <c r="DO156" s="110"/>
      <c r="DP156" s="110"/>
      <c r="DQ156" s="111" t="str">
        <f aca="false">"D6.scenario.defSelectValue["""&amp;U156&amp;"""]= [ """&amp;CLEAN(V156)&amp;""", """&amp;CLEAN(W156)&amp;IF(X156="","",""", """&amp;CLEAN(X156))&amp;IF(Y156="","",""", """&amp;CLEAN(Y156))&amp;IF(Z156="","",""", """&amp;CLEAN(Z156))&amp;IF(AA156="","",""", """&amp;CLEAN(AA156))&amp;IF(AB156="","",""", """&amp;CLEAN(AB156))&amp;IF(AC156="","",""", """&amp;CLEAN(AC156))&amp;IF(AD156="","",""", """&amp;CLEAN(AD156))&amp;IF(AE156="","",""", """&amp;CLEAN(AE156))&amp;IF(AF156="","",""", """&amp;CLEAN(AF156))&amp;IF(AG156="","",""", """&amp;CLEAN(AG156))&amp;IF(AH156="","",""", """&amp;CLEAN(AH156))&amp;IF(AI156="","",""", """&amp;CLEAN(AI156))&amp;IF(AJ156="","",""", """&amp;CLEAN(AJ156))&amp;IF(AK156="","",""", """&amp;CLEAN(AK156))&amp;""" ];"</f>
        <v>D6.scenario.defSelectValue["sel902"]= [ "選んで下さい", "持っていない", "1台", "2台", "3台", "4台", "5台以上" ];</v>
      </c>
      <c r="DR156" s="112"/>
      <c r="DS156" s="112"/>
      <c r="DT156" s="112" t="str">
        <f aca="false">"D6.scenario.defSelectData['"&amp;U156&amp;"']= [ '"&amp;BC156&amp;"', '"&amp;BD156&amp;"', '"&amp;BE156&amp;IF(BF156="","","', '"&amp;BF156)&amp;IF(BG156="","","', '"&amp;BG156)&amp;IF(BH156="","","', '"&amp;BH156)&amp;IF(BI156="","","', '"&amp;BI156)&amp;IF(BJ156="","","', '"&amp;BJ156)&amp;IF(BK156="","","', '"&amp;BK156)&amp;IF(BL156="","","', '"&amp;BL156)&amp;IF(BM156="","","', '"&amp;BM156)&amp;IF(BN156="","","', '"&amp;BN156)&amp;IF(BO156="","","', '"&amp;BO156)&amp;IF(BP156="","","', '"&amp;BP156)&amp;IF(BQ156="","","', '"&amp;BQ156)&amp;IF(BR156="","","', '"&amp;BR156)&amp;"' ];"</f>
        <v>D6.scenario.defSelectData['sel902']= [ '-1', '0', '1', '2', '3', '4', '5' ];</v>
      </c>
    </row>
    <row r="157" s="88" customFormat="true" ht="43.5" hidden="false" customHeight="true" outlineLevel="0" collapsed="false">
      <c r="A157" s="66"/>
      <c r="B157" s="95" t="s">
        <v>1877</v>
      </c>
      <c r="C157" s="103" t="s">
        <v>1878</v>
      </c>
      <c r="D157" s="104" t="s">
        <v>1878</v>
      </c>
      <c r="E157" s="95" t="s">
        <v>282</v>
      </c>
      <c r="F157" s="103"/>
      <c r="G157" s="104"/>
      <c r="H157" s="103" t="s">
        <v>1879</v>
      </c>
      <c r="I157" s="104" t="s">
        <v>1878</v>
      </c>
      <c r="J157" s="103" t="str">
        <f aca="false">IF(K157="","",K157)</f>
        <v>sel911</v>
      </c>
      <c r="K157" s="104" t="str">
        <f aca="false">"sel"&amp;MID($B157,2,5)</f>
        <v>sel911</v>
      </c>
      <c r="L157" s="105"/>
      <c r="M157" s="105"/>
      <c r="N157" s="105"/>
      <c r="O157" s="95" t="s">
        <v>931</v>
      </c>
      <c r="P157" s="105"/>
      <c r="Q157" s="105"/>
      <c r="R157" s="95" t="n">
        <v>-1</v>
      </c>
      <c r="S157" s="66"/>
      <c r="U157" s="106" t="str">
        <f aca="false">J157</f>
        <v>sel911</v>
      </c>
      <c r="V157" s="103" t="s">
        <v>979</v>
      </c>
      <c r="W157" s="103" t="s">
        <v>1880</v>
      </c>
      <c r="X157" s="103" t="s">
        <v>1881</v>
      </c>
      <c r="Y157" s="103" t="s">
        <v>1882</v>
      </c>
      <c r="Z157" s="103" t="s">
        <v>1883</v>
      </c>
      <c r="AA157" s="103" t="s">
        <v>902</v>
      </c>
      <c r="AB157" s="103" t="s">
        <v>1884</v>
      </c>
      <c r="AC157" s="103" t="s">
        <v>1885</v>
      </c>
      <c r="AD157" s="103"/>
      <c r="AE157" s="103"/>
      <c r="AF157" s="103"/>
      <c r="AG157" s="103"/>
      <c r="AH157" s="103"/>
      <c r="AI157" s="103"/>
      <c r="AJ157" s="103"/>
      <c r="AK157" s="103"/>
      <c r="AL157" s="104" t="s">
        <v>979</v>
      </c>
      <c r="AM157" s="107" t="s">
        <v>1880</v>
      </c>
      <c r="AN157" s="107" t="s">
        <v>1881</v>
      </c>
      <c r="AO157" s="107" t="s">
        <v>1882</v>
      </c>
      <c r="AP157" s="104" t="s">
        <v>1883</v>
      </c>
      <c r="AQ157" s="104" t="s">
        <v>902</v>
      </c>
      <c r="AR157" s="107" t="s">
        <v>1884</v>
      </c>
      <c r="AS157" s="104" t="s">
        <v>1885</v>
      </c>
      <c r="AT157" s="104"/>
      <c r="AU157" s="104"/>
      <c r="AV157" s="104"/>
      <c r="AW157" s="104"/>
      <c r="AX157" s="104"/>
      <c r="AY157" s="104"/>
      <c r="AZ157" s="104"/>
      <c r="BA157" s="104"/>
      <c r="BB157" s="66"/>
      <c r="BC157" s="103" t="n">
        <v>-1</v>
      </c>
      <c r="BD157" s="103" t="n">
        <v>1</v>
      </c>
      <c r="BE157" s="103" t="n">
        <v>2</v>
      </c>
      <c r="BF157" s="103" t="n">
        <v>3</v>
      </c>
      <c r="BG157" s="103" t="n">
        <v>4</v>
      </c>
      <c r="BH157" s="103" t="n">
        <v>5</v>
      </c>
      <c r="BI157" s="103" t="n">
        <v>6</v>
      </c>
      <c r="BJ157" s="103" t="n">
        <v>7</v>
      </c>
      <c r="BK157" s="103"/>
      <c r="BL157" s="103"/>
      <c r="BM157" s="103"/>
      <c r="BN157" s="103"/>
      <c r="BO157" s="103"/>
      <c r="BP157" s="103"/>
      <c r="BQ157" s="103"/>
      <c r="BR157" s="103"/>
      <c r="BS157" s="104" t="n">
        <v>-1</v>
      </c>
      <c r="BT157" s="104" t="n">
        <v>1</v>
      </c>
      <c r="BU157" s="104" t="n">
        <v>2</v>
      </c>
      <c r="BV157" s="104" t="n">
        <v>3</v>
      </c>
      <c r="BW157" s="104" t="n">
        <v>4</v>
      </c>
      <c r="BX157" s="104" t="n">
        <v>5</v>
      </c>
      <c r="BY157" s="104" t="n">
        <v>6</v>
      </c>
      <c r="BZ157" s="104" t="n">
        <v>7</v>
      </c>
      <c r="CA157" s="104"/>
      <c r="CB157" s="104"/>
      <c r="CC157" s="104"/>
      <c r="CD157" s="104"/>
      <c r="CE157" s="104"/>
      <c r="CF157" s="104"/>
      <c r="CG157" s="104"/>
      <c r="CH157" s="104"/>
      <c r="CJ157" s="95"/>
      <c r="CK157" s="95"/>
      <c r="CL157" s="95"/>
      <c r="CM157" s="95"/>
      <c r="CN157" s="95"/>
      <c r="CO157" s="95"/>
      <c r="CP157" s="95"/>
      <c r="CQ157" s="95"/>
      <c r="CR157" s="95"/>
      <c r="CS157" s="95"/>
      <c r="CT157" s="95"/>
      <c r="CU157" s="95"/>
      <c r="CV157" s="95"/>
      <c r="CW157" s="95"/>
      <c r="CX157" s="95"/>
      <c r="CY157" s="95"/>
      <c r="CZ157" s="95"/>
      <c r="DA157" s="95"/>
      <c r="DB157" s="95"/>
      <c r="DC157" s="95"/>
      <c r="DD157" s="95"/>
      <c r="DE157" s="95"/>
      <c r="DF157" s="95"/>
      <c r="DG157" s="95"/>
      <c r="DL157" s="108"/>
      <c r="DM157" s="108"/>
      <c r="DN157" s="109" t="str">
        <f aca="false">"D6.scenario.defInput["""&amp;B157&amp;"""] = {  "&amp;E$2&amp;":"""&amp;E157&amp;""",  "&amp;C$2&amp;":"""&amp;CLEAN(SUBSTITUTE(C157,"""",""""))&amp;""",  "&amp;F$2&amp;":"""&amp;F157&amp;""",  "&amp;H$2&amp;":"""&amp;CLEAN(SUBSTITUTE(H157,"""",""""))&amp;""", "&amp;J$2&amp;":"""&amp;J157&amp;""", "&amp;L$2&amp;":"""&amp;L157&amp;""", "&amp;M$2&amp;":"""&amp;M157&amp;""", "&amp;N$2&amp;":"""&amp;N157&amp;""", "&amp;O$2&amp;":"""&amp;O157&amp;""", "&amp;P$2&amp;":"""&amp;P157&amp;""", "&amp;Q$2&amp;":"""&amp;Q157&amp;""", "&amp;R$2&amp;":"""&amp;R157&amp;""", d11t:"""&amp;CJ157&amp;""",d11p:"""&amp;CK157&amp;""",d12t:"""&amp;CL157&amp;""",d12p:"""&amp;CM157&amp;""",d13t:"""&amp;CN157&amp;""",d13p:"""&amp;CO157&amp;""",d1w:"""&amp;CP157&amp;""",d1d:"""&amp;CQ157&amp;""", d21t:"""&amp;CR157&amp;""",d21p:"""&amp;CS157&amp;""",d22t:"""&amp;CT157&amp;""",d22p:"""&amp;CU157&amp;""",d23t:"""&amp;CV157&amp;""",d23p:"""&amp;CW157&amp;""",d2w:"""&amp;CX157&amp;""",d2d:"""&amp;CY157&amp;""", d31t:"""&amp;CZ157&amp;""",d31p:"""&amp;DA157&amp;""",d32t:"""&amp;DB157&amp;""",d32p:"""&amp;DC157&amp;""",d33t:"""&amp;DD157&amp;""",d33p:"""&amp;DE157&amp;""",d3w:"""&amp;DF157&amp;""",d3d:"""&amp;DG157&amp;"""}; "</f>
        <v>D6.scenario.defInput["i911"] = {  cons:"consCR",  title:"車の種類",  unit:"",  text:"車の種類は何ですか", inputType:"sel911", right:"", postfix:"", nodata:"", varType:"Number", min:"", max:"", defaultValue:"-1", d11t:"",d11p:"",d12t:"",d12p:"",d13t:"",d13p:"",d1w:"",d1d:"", d21t:"",d21p:"",d22t:"",d22p:"",d23t:"",d23p:"",d2w:"",d2d:"", d31t:"",d31p:"",d32t:"",d32p:"",d33t:"",d33p:"",d3w:"",d3d:""}; </v>
      </c>
      <c r="DO157" s="110"/>
      <c r="DP157" s="110"/>
      <c r="DQ157" s="111" t="str">
        <f aca="false">"D6.scenario.defSelectValue["""&amp;U157&amp;"""]= [ """&amp;CLEAN(V157)&amp;""", """&amp;CLEAN(W157)&amp;IF(X157="","",""", """&amp;CLEAN(X157))&amp;IF(Y157="","",""", """&amp;CLEAN(Y157))&amp;IF(Z157="","",""", """&amp;CLEAN(Z157))&amp;IF(AA157="","",""", """&amp;CLEAN(AA157))&amp;IF(AB157="","",""", """&amp;CLEAN(AB157))&amp;IF(AC157="","",""", """&amp;CLEAN(AC157))&amp;IF(AD157="","",""", """&amp;CLEAN(AD157))&amp;IF(AE157="","",""", """&amp;CLEAN(AE157))&amp;IF(AF157="","",""", """&amp;CLEAN(AF157))&amp;IF(AG157="","",""", """&amp;CLEAN(AG157))&amp;IF(AH157="","",""", """&amp;CLEAN(AH157))&amp;IF(AI157="","",""", """&amp;CLEAN(AI157))&amp;IF(AJ157="","",""", """&amp;CLEAN(AJ157))&amp;IF(AK157="","",""", """&amp;CLEAN(AK157))&amp;""" ];"</f>
        <v>D6.scenario.defSelectValue["sel911"]= [ "選んで下さい", "軽自動車", "小型車", "バン", "3ナンバー", "電気自動車", "バイク・スクータ", "大型バイク" ];</v>
      </c>
      <c r="DR157" s="112"/>
      <c r="DS157" s="112"/>
      <c r="DT157" s="112" t="str">
        <f aca="false">"D6.scenario.defSelectData['"&amp;U157&amp;"']= [ '"&amp;BC157&amp;"', '"&amp;BD157&amp;"', '"&amp;BE157&amp;IF(BF157="","","', '"&amp;BF157)&amp;IF(BG157="","","', '"&amp;BG157)&amp;IF(BH157="","","', '"&amp;BH157)&amp;IF(BI157="","","', '"&amp;BI157)&amp;IF(BJ157="","","', '"&amp;BJ157)&amp;IF(BK157="","","', '"&amp;BK157)&amp;IF(BL157="","","', '"&amp;BL157)&amp;IF(BM157="","","', '"&amp;BM157)&amp;IF(BN157="","","', '"&amp;BN157)&amp;IF(BO157="","","', '"&amp;BO157)&amp;IF(BP157="","","', '"&amp;BP157)&amp;IF(BQ157="","","', '"&amp;BQ157)&amp;IF(BR157="","","', '"&amp;BR157)&amp;"' ];"</f>
        <v>D6.scenario.defSelectData['sel911']= [ '-1', '1', '2', '3', '4', '5', '6', '7' ];</v>
      </c>
    </row>
    <row r="158" s="88" customFormat="true" ht="43.5" hidden="false" customHeight="true" outlineLevel="0" collapsed="false">
      <c r="A158" s="66"/>
      <c r="B158" s="95" t="s">
        <v>1886</v>
      </c>
      <c r="C158" s="103" t="s">
        <v>1887</v>
      </c>
      <c r="D158" s="104" t="s">
        <v>1887</v>
      </c>
      <c r="E158" s="95" t="s">
        <v>282</v>
      </c>
      <c r="F158" s="103"/>
      <c r="G158" s="104"/>
      <c r="H158" s="103" t="s">
        <v>1888</v>
      </c>
      <c r="I158" s="104" t="s">
        <v>1887</v>
      </c>
      <c r="J158" s="103" t="str">
        <f aca="false">IF(K158="","",K158)</f>
        <v>sel912</v>
      </c>
      <c r="K158" s="104" t="str">
        <f aca="false">"sel"&amp;MID($B158,2,5)</f>
        <v>sel912</v>
      </c>
      <c r="L158" s="105"/>
      <c r="M158" s="105"/>
      <c r="N158" s="105"/>
      <c r="O158" s="95" t="s">
        <v>931</v>
      </c>
      <c r="P158" s="105"/>
      <c r="Q158" s="105"/>
      <c r="R158" s="95" t="n">
        <v>-1</v>
      </c>
      <c r="S158" s="66"/>
      <c r="U158" s="106" t="str">
        <f aca="false">J158</f>
        <v>sel912</v>
      </c>
      <c r="V158" s="103" t="s">
        <v>979</v>
      </c>
      <c r="W158" s="103" t="s">
        <v>1889</v>
      </c>
      <c r="X158" s="103" t="s">
        <v>1890</v>
      </c>
      <c r="Y158" s="103" t="s">
        <v>1891</v>
      </c>
      <c r="Z158" s="103" t="s">
        <v>1892</v>
      </c>
      <c r="AA158" s="103" t="s">
        <v>1893</v>
      </c>
      <c r="AB158" s="103" t="s">
        <v>1894</v>
      </c>
      <c r="AC158" s="103" t="s">
        <v>1895</v>
      </c>
      <c r="AD158" s="103" t="s">
        <v>1896</v>
      </c>
      <c r="AE158" s="103"/>
      <c r="AF158" s="103"/>
      <c r="AG158" s="103"/>
      <c r="AH158" s="103"/>
      <c r="AI158" s="103"/>
      <c r="AJ158" s="103"/>
      <c r="AK158" s="103"/>
      <c r="AL158" s="104" t="s">
        <v>979</v>
      </c>
      <c r="AM158" s="104" t="s">
        <v>1889</v>
      </c>
      <c r="AN158" s="104" t="s">
        <v>1890</v>
      </c>
      <c r="AO158" s="107" t="s">
        <v>1891</v>
      </c>
      <c r="AP158" s="107" t="s">
        <v>1892</v>
      </c>
      <c r="AQ158" s="107" t="s">
        <v>1893</v>
      </c>
      <c r="AR158" s="107" t="s">
        <v>1894</v>
      </c>
      <c r="AS158" s="107" t="s">
        <v>1895</v>
      </c>
      <c r="AT158" s="104" t="s">
        <v>1896</v>
      </c>
      <c r="AU158" s="104"/>
      <c r="AV158" s="104"/>
      <c r="AW158" s="104"/>
      <c r="AX158" s="104"/>
      <c r="AY158" s="104"/>
      <c r="AZ158" s="104"/>
      <c r="BA158" s="104"/>
      <c r="BB158" s="66"/>
      <c r="BC158" s="103" t="n">
        <v>-1</v>
      </c>
      <c r="BD158" s="103" t="n">
        <v>6</v>
      </c>
      <c r="BE158" s="103" t="n">
        <v>8</v>
      </c>
      <c r="BF158" s="103" t="n">
        <v>11</v>
      </c>
      <c r="BG158" s="103" t="n">
        <v>14</v>
      </c>
      <c r="BH158" s="103" t="n">
        <v>18</v>
      </c>
      <c r="BI158" s="103" t="n">
        <v>23</v>
      </c>
      <c r="BJ158" s="103" t="n">
        <v>30</v>
      </c>
      <c r="BK158" s="103" t="n">
        <v>40</v>
      </c>
      <c r="BL158" s="103"/>
      <c r="BM158" s="103"/>
      <c r="BN158" s="103"/>
      <c r="BO158" s="103"/>
      <c r="BP158" s="103"/>
      <c r="BQ158" s="103"/>
      <c r="BR158" s="103"/>
      <c r="BS158" s="104" t="n">
        <v>-1</v>
      </c>
      <c r="BT158" s="104" t="n">
        <v>6</v>
      </c>
      <c r="BU158" s="104" t="n">
        <v>8</v>
      </c>
      <c r="BV158" s="104" t="n">
        <v>11</v>
      </c>
      <c r="BW158" s="104" t="n">
        <v>14</v>
      </c>
      <c r="BX158" s="104" t="n">
        <v>18</v>
      </c>
      <c r="BY158" s="104" t="n">
        <v>23</v>
      </c>
      <c r="BZ158" s="104" t="n">
        <v>30</v>
      </c>
      <c r="CA158" s="104" t="n">
        <v>40</v>
      </c>
      <c r="CB158" s="104"/>
      <c r="CC158" s="104"/>
      <c r="CD158" s="104"/>
      <c r="CE158" s="104"/>
      <c r="CF158" s="104"/>
      <c r="CG158" s="104"/>
      <c r="CH158" s="104"/>
      <c r="CJ158" s="95" t="n">
        <v>30</v>
      </c>
      <c r="CK158" s="95" t="n">
        <v>2</v>
      </c>
      <c r="CL158" s="95" t="n">
        <v>15</v>
      </c>
      <c r="CM158" s="95" t="n">
        <v>1</v>
      </c>
      <c r="CN158" s="95"/>
      <c r="CO158" s="95"/>
      <c r="CP158" s="95" t="n">
        <v>2</v>
      </c>
      <c r="CQ158" s="95" t="n">
        <v>1</v>
      </c>
      <c r="CR158" s="95" t="n">
        <v>30</v>
      </c>
      <c r="CS158" s="95" t="n">
        <v>2</v>
      </c>
      <c r="CT158" s="95" t="n">
        <v>15</v>
      </c>
      <c r="CU158" s="95" t="n">
        <v>1</v>
      </c>
      <c r="CV158" s="95"/>
      <c r="CW158" s="95"/>
      <c r="CX158" s="95" t="n">
        <v>2</v>
      </c>
      <c r="CY158" s="95" t="n">
        <v>1</v>
      </c>
      <c r="CZ158" s="95"/>
      <c r="DA158" s="95"/>
      <c r="DB158" s="95"/>
      <c r="DC158" s="95"/>
      <c r="DD158" s="95"/>
      <c r="DE158" s="95"/>
      <c r="DF158" s="95"/>
      <c r="DG158" s="95"/>
      <c r="DL158" s="108"/>
      <c r="DM158" s="108"/>
      <c r="DN158" s="109" t="str">
        <f aca="false">"D6.scenario.defInput["""&amp;B158&amp;"""] = {  "&amp;E$2&amp;":"""&amp;E158&amp;""",  "&amp;C$2&amp;":"""&amp;CLEAN(SUBSTITUTE(C158,"""",""""))&amp;""",  "&amp;F$2&amp;":"""&amp;F158&amp;""",  "&amp;H$2&amp;":"""&amp;CLEAN(SUBSTITUTE(H158,"""",""""))&amp;""", "&amp;J$2&amp;":"""&amp;J158&amp;""", "&amp;L$2&amp;":"""&amp;L158&amp;""", "&amp;M$2&amp;":"""&amp;M158&amp;""", "&amp;N$2&amp;":"""&amp;N158&amp;""", "&amp;O$2&amp;":"""&amp;O158&amp;""", "&amp;P$2&amp;":"""&amp;P158&amp;""", "&amp;Q$2&amp;":"""&amp;Q158&amp;""", "&amp;R$2&amp;":"""&amp;R158&amp;""", d11t:"""&amp;CJ158&amp;""",d11p:"""&amp;CK158&amp;""",d12t:"""&amp;CL158&amp;""",d12p:"""&amp;CM158&amp;""",d13t:"""&amp;CN158&amp;""",d13p:"""&amp;CO158&amp;""",d1w:"""&amp;CP158&amp;""",d1d:"""&amp;CQ158&amp;""", d21t:"""&amp;CR158&amp;""",d21p:"""&amp;CS158&amp;""",d22t:"""&amp;CT158&amp;""",d22p:"""&amp;CU158&amp;""",d23t:"""&amp;CV158&amp;""",d23p:"""&amp;CW158&amp;""",d2w:"""&amp;CX158&amp;""",d2d:"""&amp;CY158&amp;""", d31t:"""&amp;CZ158&amp;""",d31p:"""&amp;DA158&amp;""",d32t:"""&amp;DB158&amp;""",d32p:"""&amp;DC158&amp;""",d33t:"""&amp;DD158&amp;""",d33p:"""&amp;DE158&amp;""",d3w:"""&amp;DF158&amp;""",d3d:"""&amp;DG158&amp;"""}; "</f>
        <v>D6.scenario.defInput["i912"] = {  cons:"consCR",  title:"車の燃費",  unit:"",  text:"車の燃費はどのくらいですか", inputType:"sel912", right:"", postfix:"", nodata:"", varType:"Number", min:"", max:"", defaultValue:"-1", d11t:"30",d11p:"2",d12t:"15",d12p:"1",d13t:"",d13p:"",d1w:"2",d1d:"1", d21t:"30",d21p:"2",d22t:"15",d22p:"1",d23t:"",d23p:"",d2w:"2",d2d:"1", d31t:"",d31p:"",d32t:"",d32p:"",d33t:"",d33p:"",d3w:"",d3d:""}; </v>
      </c>
      <c r="DO158" s="110"/>
      <c r="DP158" s="110"/>
      <c r="DQ158" s="111" t="str">
        <f aca="false">"D6.scenario.defSelectValue["""&amp;U158&amp;"""]= [ """&amp;CLEAN(V158)&amp;""", """&amp;CLEAN(W158)&amp;IF(X158="","",""", """&amp;CLEAN(X158))&amp;IF(Y158="","",""", """&amp;CLEAN(Y158))&amp;IF(Z158="","",""", """&amp;CLEAN(Z158))&amp;IF(AA158="","",""", """&amp;CLEAN(AA158))&amp;IF(AB158="","",""", """&amp;CLEAN(AB158))&amp;IF(AC158="","",""", """&amp;CLEAN(AC158))&amp;IF(AD158="","",""", """&amp;CLEAN(AD158))&amp;IF(AE158="","",""", """&amp;CLEAN(AE158))&amp;IF(AF158="","",""", """&amp;CLEAN(AF158))&amp;IF(AG158="","",""", """&amp;CLEAN(AG158))&amp;IF(AH158="","",""", """&amp;CLEAN(AH158))&amp;IF(AI158="","",""", """&amp;CLEAN(AI158))&amp;IF(AJ158="","",""", """&amp;CLEAN(AJ158))&amp;IF(AK158="","",""", """&amp;CLEAN(AK158))&amp;""" ];"</f>
        <v>D6.scenario.defSelectValue["sel912"]= [ "選んで下さい", "6km/L以下", "7-9km/L", "10-12km/L", "13-15km/L", "16-20km/L", "21-26km/L", "27-35km/L", "36km/L以上" ];</v>
      </c>
      <c r="DR158" s="112"/>
      <c r="DS158" s="112"/>
      <c r="DT158" s="112" t="str">
        <f aca="false">"D6.scenario.defSelectData['"&amp;U158&amp;"']= [ '"&amp;BC158&amp;"', '"&amp;BD158&amp;"', '"&amp;BE158&amp;IF(BF158="","","', '"&amp;BF158)&amp;IF(BG158="","","', '"&amp;BG158)&amp;IF(BH158="","","', '"&amp;BH158)&amp;IF(BI158="","","', '"&amp;BI158)&amp;IF(BJ158="","","', '"&amp;BJ158)&amp;IF(BK158="","","', '"&amp;BK158)&amp;IF(BL158="","","', '"&amp;BL158)&amp;IF(BM158="","","', '"&amp;BM158)&amp;IF(BN158="","","', '"&amp;BN158)&amp;IF(BO158="","","', '"&amp;BO158)&amp;IF(BP158="","","', '"&amp;BP158)&amp;IF(BQ158="","","', '"&amp;BQ158)&amp;IF(BR158="","","', '"&amp;BR158)&amp;"' ];"</f>
        <v>D6.scenario.defSelectData['sel912']= [ '-1', '6', '8', '11', '14', '18', '23', '30', '40' ];</v>
      </c>
    </row>
    <row r="159" s="88" customFormat="true" ht="43.5" hidden="false" customHeight="true" outlineLevel="0" collapsed="false">
      <c r="A159" s="66"/>
      <c r="B159" s="95" t="s">
        <v>1897</v>
      </c>
      <c r="C159" s="103" t="s">
        <v>1898</v>
      </c>
      <c r="D159" s="104" t="s">
        <v>1898</v>
      </c>
      <c r="E159" s="95" t="s">
        <v>282</v>
      </c>
      <c r="F159" s="103"/>
      <c r="G159" s="104"/>
      <c r="H159" s="103" t="s">
        <v>1899</v>
      </c>
      <c r="I159" s="104" t="s">
        <v>1899</v>
      </c>
      <c r="J159" s="103" t="str">
        <f aca="false">IF(K159="","",K159)</f>
        <v/>
      </c>
      <c r="K159" s="104"/>
      <c r="L159" s="105"/>
      <c r="M159" s="105"/>
      <c r="N159" s="105"/>
      <c r="O159" s="95" t="s">
        <v>932</v>
      </c>
      <c r="P159" s="105"/>
      <c r="Q159" s="105"/>
      <c r="R159" s="95"/>
      <c r="S159" s="66"/>
      <c r="U159" s="106"/>
      <c r="V159" s="103"/>
      <c r="W159" s="103"/>
      <c r="X159" s="103"/>
      <c r="Y159" s="103"/>
      <c r="Z159" s="103"/>
      <c r="AA159" s="103"/>
      <c r="AB159" s="103"/>
      <c r="AC159" s="103"/>
      <c r="AD159" s="103"/>
      <c r="AE159" s="103"/>
      <c r="AF159" s="103"/>
      <c r="AG159" s="103"/>
      <c r="AH159" s="103"/>
      <c r="AI159" s="103"/>
      <c r="AJ159" s="103"/>
      <c r="AK159" s="103"/>
      <c r="AL159" s="104"/>
      <c r="AM159" s="104"/>
      <c r="AN159" s="104"/>
      <c r="AO159" s="104"/>
      <c r="AP159" s="104"/>
      <c r="AQ159" s="104"/>
      <c r="AR159" s="104"/>
      <c r="AS159" s="104"/>
      <c r="AT159" s="104"/>
      <c r="AU159" s="104"/>
      <c r="AV159" s="104"/>
      <c r="AW159" s="104"/>
      <c r="AX159" s="104"/>
      <c r="AY159" s="104"/>
      <c r="AZ159" s="104"/>
      <c r="BA159" s="104"/>
      <c r="BB159" s="66"/>
      <c r="BC159" s="103"/>
      <c r="BD159" s="103"/>
      <c r="BE159" s="103"/>
      <c r="BF159" s="103"/>
      <c r="BG159" s="103"/>
      <c r="BH159" s="103"/>
      <c r="BI159" s="103"/>
      <c r="BJ159" s="103"/>
      <c r="BK159" s="103"/>
      <c r="BL159" s="103"/>
      <c r="BM159" s="103"/>
      <c r="BN159" s="103"/>
      <c r="BO159" s="103"/>
      <c r="BP159" s="103"/>
      <c r="BQ159" s="103"/>
      <c r="BR159" s="103"/>
      <c r="BS159" s="104"/>
      <c r="BT159" s="104"/>
      <c r="BU159" s="104"/>
      <c r="BV159" s="104"/>
      <c r="BW159" s="104"/>
      <c r="BX159" s="104"/>
      <c r="BY159" s="104"/>
      <c r="BZ159" s="104"/>
      <c r="CA159" s="104"/>
      <c r="CB159" s="104"/>
      <c r="CC159" s="104"/>
      <c r="CD159" s="104"/>
      <c r="CE159" s="104"/>
      <c r="CF159" s="104"/>
      <c r="CG159" s="104"/>
      <c r="CH159" s="104"/>
      <c r="CJ159" s="95"/>
      <c r="CK159" s="95"/>
      <c r="CL159" s="95"/>
      <c r="CM159" s="95"/>
      <c r="CN159" s="95"/>
      <c r="CO159" s="95"/>
      <c r="CP159" s="95"/>
      <c r="CQ159" s="95"/>
      <c r="CR159" s="95"/>
      <c r="CS159" s="95"/>
      <c r="CT159" s="95"/>
      <c r="CU159" s="95"/>
      <c r="CV159" s="95"/>
      <c r="CW159" s="95"/>
      <c r="CX159" s="95"/>
      <c r="CY159" s="95"/>
      <c r="CZ159" s="95"/>
      <c r="DA159" s="95"/>
      <c r="DB159" s="95"/>
      <c r="DC159" s="95"/>
      <c r="DD159" s="95"/>
      <c r="DE159" s="95"/>
      <c r="DF159" s="95"/>
      <c r="DG159" s="95"/>
      <c r="DL159" s="108"/>
      <c r="DM159" s="108"/>
      <c r="DN159" s="109" t="str">
        <f aca="false">"D6.scenario.defInput["""&amp;B159&amp;"""] = {  "&amp;E$2&amp;":"""&amp;E159&amp;""",  "&amp;C$2&amp;":"""&amp;CLEAN(SUBSTITUTE(C159,"""",""""))&amp;""",  "&amp;F$2&amp;":"""&amp;F159&amp;""",  "&amp;H$2&amp;":"""&amp;CLEAN(SUBSTITUTE(H159,"""",""""))&amp;""", "&amp;J$2&amp;":"""&amp;J159&amp;""", "&amp;L$2&amp;":"""&amp;L159&amp;""", "&amp;M$2&amp;":"""&amp;M159&amp;""", "&amp;N$2&amp;":"""&amp;N159&amp;""", "&amp;O$2&amp;":"""&amp;O159&amp;""", "&amp;P$2&amp;":"""&amp;P159&amp;""", "&amp;Q$2&amp;":"""&amp;Q159&amp;""", "&amp;R$2&amp;":"""&amp;R159&amp;""", d11t:"""&amp;CJ159&amp;""",d11p:"""&amp;CK159&amp;""",d12t:"""&amp;CL159&amp;""",d12p:"""&amp;CM159&amp;""",d13t:"""&amp;CN159&amp;""",d13p:"""&amp;CO159&amp;""",d1w:"""&amp;CP159&amp;""",d1d:"""&amp;CQ159&amp;""", d21t:"""&amp;CR159&amp;""",d21p:"""&amp;CS159&amp;""",d22t:"""&amp;CT159&amp;""",d22p:"""&amp;CU159&amp;""",d23t:"""&amp;CV159&amp;""",d23p:"""&amp;CW159&amp;""",d2w:"""&amp;CX159&amp;""",d2d:"""&amp;CY159&amp;""", d31t:"""&amp;CZ159&amp;""",d31p:"""&amp;DA159&amp;""",d32t:"""&amp;DB159&amp;""",d32p:"""&amp;DC159&amp;""",d33t:"""&amp;DD159&amp;""",d33p:"""&amp;DE159&amp;""",d3w:"""&amp;DF159&amp;""",d3d:"""&amp;DG159&amp;"""}; "</f>
        <v>D6.scenario.defInput["i913"] = {  cons:"consCR",  title:"車の主な利用者",  unit:"",  text:"だれの車ですか。もしくは呼び方があれば記入してください。", inputType:"", right:"", postfix:"", nodata:"", varType:"String", min:"", max:"", defaultValue:"", d11t:"",d11p:"",d12t:"",d12p:"",d13t:"",d13p:"",d1w:"",d1d:"", d21t:"",d21p:"",d22t:"",d22p:"",d23t:"",d23p:"",d2w:"",d2d:"", d31t:"",d31p:"",d32t:"",d32p:"",d33t:"",d33p:"",d3w:"",d3d:""}; </v>
      </c>
      <c r="DO159" s="110"/>
      <c r="DP159" s="110"/>
      <c r="DQ159" s="111" t="str">
        <f aca="false">"D6.scenario.defSelectValue["""&amp;U159&amp;"""]= [ """&amp;CLEAN(V159)&amp;""", """&amp;CLEAN(W159)&amp;IF(X159="","",""", """&amp;CLEAN(X159))&amp;IF(Y159="","",""", """&amp;CLEAN(Y159))&amp;IF(Z159="","",""", """&amp;CLEAN(Z159))&amp;IF(AA159="","",""", """&amp;CLEAN(AA159))&amp;IF(AB159="","",""", """&amp;CLEAN(AB159))&amp;IF(AC159="","",""", """&amp;CLEAN(AC159))&amp;IF(AD159="","",""", """&amp;CLEAN(AD159))&amp;IF(AE159="","",""", """&amp;CLEAN(AE159))&amp;IF(AF159="","",""", """&amp;CLEAN(AF159))&amp;IF(AG159="","",""", """&amp;CLEAN(AG159))&amp;IF(AH159="","",""", """&amp;CLEAN(AH159))&amp;IF(AI159="","",""", """&amp;CLEAN(AI159))&amp;IF(AJ159="","",""", """&amp;CLEAN(AJ159))&amp;IF(AK159="","",""", """&amp;CLEAN(AK159))&amp;""" ];"</f>
        <v>D6.scenario.defSelectValue[""]= [ "", "" ];</v>
      </c>
      <c r="DR159" s="112"/>
      <c r="DS159" s="112"/>
      <c r="DT159" s="112" t="str">
        <f aca="false">"D6.scenario.defSelectData['"&amp;U159&amp;"']= [ '"&amp;BC159&amp;"', '"&amp;BD159&amp;"', '"&amp;BE159&amp;IF(BF159="","","', '"&amp;BF159)&amp;IF(BG159="","","', '"&amp;BG159)&amp;IF(BH159="","","', '"&amp;BH159)&amp;IF(BI159="","","', '"&amp;BI159)&amp;IF(BJ159="","","', '"&amp;BJ159)&amp;IF(BK159="","","', '"&amp;BK159)&amp;IF(BL159="","","', '"&amp;BL159)&amp;IF(BM159="","","', '"&amp;BM159)&amp;IF(BN159="","","', '"&amp;BN159)&amp;IF(BO159="","","', '"&amp;BO159)&amp;IF(BP159="","","', '"&amp;BP159)&amp;IF(BQ159="","","', '"&amp;BQ159)&amp;IF(BR159="","","', '"&amp;BR159)&amp;"' ];"</f>
        <v>D6.scenario.defSelectData['']= [ '', '', '' ];</v>
      </c>
    </row>
    <row r="160" s="88" customFormat="true" ht="43.5" hidden="false" customHeight="true" outlineLevel="0" collapsed="false">
      <c r="A160" s="66"/>
      <c r="B160" s="95" t="s">
        <v>1900</v>
      </c>
      <c r="C160" s="103" t="s">
        <v>1901</v>
      </c>
      <c r="D160" s="104" t="s">
        <v>1901</v>
      </c>
      <c r="E160" s="95" t="s">
        <v>282</v>
      </c>
      <c r="F160" s="103"/>
      <c r="G160" s="104"/>
      <c r="H160" s="103" t="s">
        <v>1902</v>
      </c>
      <c r="I160" s="104" t="s">
        <v>1902</v>
      </c>
      <c r="J160" s="103" t="str">
        <f aca="false">IF(K160="","",K160)</f>
        <v>sel914</v>
      </c>
      <c r="K160" s="104" t="str">
        <f aca="false">"sel"&amp;MID($B160,2,5)</f>
        <v>sel914</v>
      </c>
      <c r="L160" s="105"/>
      <c r="M160" s="105"/>
      <c r="N160" s="105"/>
      <c r="O160" s="95" t="s">
        <v>931</v>
      </c>
      <c r="P160" s="105"/>
      <c r="Q160" s="105"/>
      <c r="R160" s="95" t="n">
        <v>-1</v>
      </c>
      <c r="S160" s="66"/>
      <c r="U160" s="106" t="str">
        <f aca="false">J160</f>
        <v>sel914</v>
      </c>
      <c r="V160" s="103" t="s">
        <v>979</v>
      </c>
      <c r="W160" s="103" t="s">
        <v>1140</v>
      </c>
      <c r="X160" s="103" t="s">
        <v>1141</v>
      </c>
      <c r="Y160" s="103" t="s">
        <v>1062</v>
      </c>
      <c r="Z160" s="103"/>
      <c r="AA160" s="103"/>
      <c r="AB160" s="103"/>
      <c r="AC160" s="103"/>
      <c r="AD160" s="103"/>
      <c r="AE160" s="103"/>
      <c r="AF160" s="103"/>
      <c r="AG160" s="103"/>
      <c r="AH160" s="103"/>
      <c r="AI160" s="103"/>
      <c r="AJ160" s="103"/>
      <c r="AK160" s="103"/>
      <c r="AL160" s="104" t="s">
        <v>979</v>
      </c>
      <c r="AM160" s="107" t="s">
        <v>1140</v>
      </c>
      <c r="AN160" s="104" t="s">
        <v>1141</v>
      </c>
      <c r="AO160" s="107" t="s">
        <v>1062</v>
      </c>
      <c r="AP160" s="104"/>
      <c r="AQ160" s="104"/>
      <c r="AR160" s="104"/>
      <c r="AS160" s="104"/>
      <c r="AT160" s="104"/>
      <c r="AU160" s="104"/>
      <c r="AV160" s="104"/>
      <c r="AW160" s="104"/>
      <c r="AX160" s="104"/>
      <c r="AY160" s="104"/>
      <c r="AZ160" s="104"/>
      <c r="BA160" s="104"/>
      <c r="BB160" s="66"/>
      <c r="BC160" s="103" t="n">
        <v>-1</v>
      </c>
      <c r="BD160" s="103" t="n">
        <v>1</v>
      </c>
      <c r="BE160" s="103" t="n">
        <v>2</v>
      </c>
      <c r="BF160" s="103" t="n">
        <v>3</v>
      </c>
      <c r="BG160" s="103"/>
      <c r="BH160" s="103"/>
      <c r="BI160" s="103"/>
      <c r="BJ160" s="103"/>
      <c r="BK160" s="103"/>
      <c r="BL160" s="103"/>
      <c r="BM160" s="103"/>
      <c r="BN160" s="103"/>
      <c r="BO160" s="103"/>
      <c r="BP160" s="103"/>
      <c r="BQ160" s="103"/>
      <c r="BR160" s="103"/>
      <c r="BS160" s="104" t="n">
        <v>-1</v>
      </c>
      <c r="BT160" s="104" t="n">
        <v>1</v>
      </c>
      <c r="BU160" s="104" t="n">
        <v>2</v>
      </c>
      <c r="BV160" s="104" t="n">
        <v>3</v>
      </c>
      <c r="BW160" s="104"/>
      <c r="BX160" s="104"/>
      <c r="BY160" s="104"/>
      <c r="BZ160" s="104"/>
      <c r="CA160" s="104"/>
      <c r="CB160" s="104"/>
      <c r="CC160" s="104"/>
      <c r="CD160" s="104"/>
      <c r="CE160" s="104"/>
      <c r="CF160" s="104"/>
      <c r="CG160" s="104"/>
      <c r="CH160" s="104"/>
      <c r="CJ160" s="95"/>
      <c r="CK160" s="95"/>
      <c r="CL160" s="95"/>
      <c r="CM160" s="95"/>
      <c r="CN160" s="95"/>
      <c r="CO160" s="95"/>
      <c r="CP160" s="95"/>
      <c r="CQ160" s="95"/>
      <c r="CR160" s="95"/>
      <c r="CS160" s="95"/>
      <c r="CT160" s="95"/>
      <c r="CU160" s="95"/>
      <c r="CV160" s="95"/>
      <c r="CW160" s="95"/>
      <c r="CX160" s="95"/>
      <c r="CY160" s="95"/>
      <c r="CZ160" s="95"/>
      <c r="DA160" s="95"/>
      <c r="DB160" s="95"/>
      <c r="DC160" s="95"/>
      <c r="DD160" s="95"/>
      <c r="DE160" s="95"/>
      <c r="DF160" s="95"/>
      <c r="DG160" s="95"/>
      <c r="DN160" s="109" t="str">
        <f aca="false">"D6.scenario.defInput["""&amp;B160&amp;"""] = {  "&amp;E$2&amp;":"""&amp;E160&amp;""",  "&amp;C$2&amp;":"""&amp;CLEAN(SUBSTITUTE(C160,"""",""""))&amp;""",  "&amp;F$2&amp;":"""&amp;F160&amp;""",  "&amp;H$2&amp;":"""&amp;CLEAN(SUBSTITUTE(H160,"""",""""))&amp;""", "&amp;J$2&amp;":"""&amp;J160&amp;""", "&amp;L$2&amp;":"""&amp;L160&amp;""", "&amp;M$2&amp;":"""&amp;M160&amp;""", "&amp;N$2&amp;":"""&amp;N160&amp;""", "&amp;O$2&amp;":"""&amp;O160&amp;""", "&amp;P$2&amp;":"""&amp;P160&amp;""", "&amp;Q$2&amp;":"""&amp;Q160&amp;""", "&amp;R$2&amp;":"""&amp;R160&amp;""", d11t:"""&amp;CJ160&amp;""",d11p:"""&amp;CK160&amp;""",d12t:"""&amp;CL160&amp;""",d12p:"""&amp;CM160&amp;""",d13t:"""&amp;CN160&amp;""",d13p:"""&amp;CO160&amp;""",d1w:"""&amp;CP160&amp;""",d1d:"""&amp;CQ160&amp;""", d21t:"""&amp;CR160&amp;""",d21p:"""&amp;CS160&amp;""",d22t:"""&amp;CT160&amp;""",d22p:"""&amp;CU160&amp;""",d23t:"""&amp;CV160&amp;""",d23p:"""&amp;CW160&amp;""",d2w:"""&amp;CX160&amp;""",d2d:"""&amp;CY160&amp;""", d31t:"""&amp;CZ160&amp;""",d31p:"""&amp;DA160&amp;""",d32t:"""&amp;DB160&amp;""",d32p:"""&amp;DC160&amp;""",d33t:"""&amp;DD160&amp;""",d33p:"""&amp;DE160&amp;""",d3w:"""&amp;DF160&amp;""",d3d:"""&amp;DG160&amp;"""}; "</f>
        <v>D6.scenario.defInput["i914"] = {  cons:"consCR",  title:"エコタイヤの使用",  unit:"",  text:"エコタイヤを使っていますか", inputType:"sel914", right:"", postfix:"", nodata:"", varType:"Number", min:"", max:"", defaultValue:"-1", d11t:"",d11p:"",d12t:"",d12p:"",d13t:"",d13p:"",d1w:"",d1d:"", d21t:"",d21p:"",d22t:"",d22p:"",d23t:"",d23p:"",d2w:"",d2d:"", d31t:"",d31p:"",d32t:"",d32p:"",d33t:"",d33p:"",d3w:"",d3d:""}; </v>
      </c>
      <c r="DO160" s="110"/>
      <c r="DP160" s="110"/>
      <c r="DQ160" s="111" t="str">
        <f aca="false">"D6.scenario.defSelectValue["""&amp;U160&amp;"""]= [ """&amp;CLEAN(V160)&amp;""", """&amp;CLEAN(W160)&amp;IF(X160="","",""", """&amp;CLEAN(X160))&amp;IF(Y160="","",""", """&amp;CLEAN(Y160))&amp;IF(Z160="","",""", """&amp;CLEAN(Z160))&amp;IF(AA160="","",""", """&amp;CLEAN(AA160))&amp;IF(AB160="","",""", """&amp;CLEAN(AB160))&amp;IF(AC160="","",""", """&amp;CLEAN(AC160))&amp;IF(AD160="","",""", """&amp;CLEAN(AD160))&amp;IF(AE160="","",""", """&amp;CLEAN(AE160))&amp;IF(AF160="","",""", """&amp;CLEAN(AF160))&amp;IF(AG160="","",""", """&amp;CLEAN(AG160))&amp;IF(AH160="","",""", """&amp;CLEAN(AH160))&amp;IF(AI160="","",""", """&amp;CLEAN(AI160))&amp;IF(AJ160="","",""", """&amp;CLEAN(AJ160))&amp;IF(AK160="","",""", """&amp;CLEAN(AK160))&amp;""" ];"</f>
        <v>D6.scenario.defSelectValue["sel914"]= [ "選んで下さい", "はい", "いいえ", "わからない" ];</v>
      </c>
      <c r="DR160" s="112"/>
      <c r="DS160" s="112"/>
      <c r="DT160" s="112" t="str">
        <f aca="false">"D6.scenario.defSelectData['"&amp;U160&amp;"']= [ '"&amp;BC160&amp;"', '"&amp;BD160&amp;"', '"&amp;BE160&amp;IF(BF160="","","', '"&amp;BF160)&amp;IF(BG160="","","', '"&amp;BG160)&amp;IF(BH160="","","', '"&amp;BH160)&amp;IF(BI160="","","', '"&amp;BI160)&amp;IF(BJ160="","","', '"&amp;BJ160)&amp;IF(BK160="","","', '"&amp;BK160)&amp;IF(BL160="","","', '"&amp;BL160)&amp;IF(BM160="","","', '"&amp;BM160)&amp;IF(BN160="","","', '"&amp;BN160)&amp;IF(BO160="","","', '"&amp;BO160)&amp;IF(BP160="","","', '"&amp;BP160)&amp;IF(BQ160="","","', '"&amp;BQ160)&amp;IF(BR160="","","', '"&amp;BR160)&amp;"' ];"</f>
        <v>D6.scenario.defSelectData['sel914']= [ '-1', '1', '2', '3' ];</v>
      </c>
    </row>
    <row r="161" s="88" customFormat="true" ht="43.5" hidden="false" customHeight="true" outlineLevel="0" collapsed="false">
      <c r="A161" s="66"/>
      <c r="B161" s="95" t="s">
        <v>1903</v>
      </c>
      <c r="C161" s="103" t="s">
        <v>1904</v>
      </c>
      <c r="D161" s="104" t="s">
        <v>1904</v>
      </c>
      <c r="E161" s="95" t="s">
        <v>284</v>
      </c>
      <c r="F161" s="103"/>
      <c r="G161" s="104"/>
      <c r="H161" s="103" t="s">
        <v>1905</v>
      </c>
      <c r="I161" s="104" t="s">
        <v>1906</v>
      </c>
      <c r="J161" s="103" t="str">
        <f aca="false">IF(K161="","",K161)</f>
        <v/>
      </c>
      <c r="K161" s="104"/>
      <c r="L161" s="105"/>
      <c r="M161" s="105"/>
      <c r="N161" s="105"/>
      <c r="O161" s="95" t="s">
        <v>932</v>
      </c>
      <c r="P161" s="105"/>
      <c r="Q161" s="105"/>
      <c r="R161" s="95"/>
      <c r="S161" s="66"/>
      <c r="U161" s="106"/>
      <c r="V161" s="103"/>
      <c r="W161" s="103"/>
      <c r="X161" s="103"/>
      <c r="Y161" s="103"/>
      <c r="Z161" s="103"/>
      <c r="AA161" s="103"/>
      <c r="AB161" s="103"/>
      <c r="AC161" s="103"/>
      <c r="AD161" s="103"/>
      <c r="AE161" s="103"/>
      <c r="AF161" s="103"/>
      <c r="AG161" s="103"/>
      <c r="AH161" s="103"/>
      <c r="AI161" s="103"/>
      <c r="AJ161" s="103"/>
      <c r="AK161" s="103"/>
      <c r="AL161" s="104"/>
      <c r="AM161" s="104"/>
      <c r="AN161" s="104"/>
      <c r="AO161" s="104"/>
      <c r="AP161" s="104"/>
      <c r="AQ161" s="104"/>
      <c r="AR161" s="104"/>
      <c r="AS161" s="104"/>
      <c r="AT161" s="104"/>
      <c r="AU161" s="104"/>
      <c r="AV161" s="104"/>
      <c r="AW161" s="104"/>
      <c r="AX161" s="104"/>
      <c r="AY161" s="104"/>
      <c r="AZ161" s="104"/>
      <c r="BA161" s="104"/>
      <c r="BB161" s="66"/>
      <c r="BC161" s="103"/>
      <c r="BD161" s="103"/>
      <c r="BE161" s="103"/>
      <c r="BF161" s="103"/>
      <c r="BG161" s="103"/>
      <c r="BH161" s="103"/>
      <c r="BI161" s="103"/>
      <c r="BJ161" s="103"/>
      <c r="BK161" s="103"/>
      <c r="BL161" s="103"/>
      <c r="BM161" s="103"/>
      <c r="BN161" s="103"/>
      <c r="BO161" s="103"/>
      <c r="BP161" s="103"/>
      <c r="BQ161" s="103"/>
      <c r="BR161" s="103"/>
      <c r="BS161" s="104"/>
      <c r="BT161" s="104"/>
      <c r="BU161" s="104"/>
      <c r="BV161" s="104"/>
      <c r="BW161" s="104"/>
      <c r="BX161" s="104"/>
      <c r="BY161" s="104"/>
      <c r="BZ161" s="104"/>
      <c r="CA161" s="104"/>
      <c r="CB161" s="104"/>
      <c r="CC161" s="104"/>
      <c r="CD161" s="104"/>
      <c r="CE161" s="104"/>
      <c r="CF161" s="104"/>
      <c r="CG161" s="104"/>
      <c r="CH161" s="104"/>
      <c r="CJ161" s="95"/>
      <c r="CK161" s="95"/>
      <c r="CL161" s="95"/>
      <c r="CM161" s="95"/>
      <c r="CN161" s="95"/>
      <c r="CO161" s="95"/>
      <c r="CP161" s="95"/>
      <c r="CQ161" s="95"/>
      <c r="CR161" s="95"/>
      <c r="CS161" s="95"/>
      <c r="CT161" s="95"/>
      <c r="CU161" s="95"/>
      <c r="CV161" s="95"/>
      <c r="CW161" s="95"/>
      <c r="CX161" s="95"/>
      <c r="CY161" s="95"/>
      <c r="CZ161" s="95"/>
      <c r="DA161" s="95"/>
      <c r="DB161" s="95"/>
      <c r="DC161" s="95"/>
      <c r="DD161" s="95"/>
      <c r="DE161" s="95"/>
      <c r="DF161" s="95"/>
      <c r="DG161" s="95"/>
      <c r="DL161" s="108"/>
      <c r="DM161" s="108"/>
      <c r="DN161" s="109" t="str">
        <f aca="false">"D6.scenario.defInput["""&amp;B161&amp;"""] = {  "&amp;E$2&amp;":"""&amp;E161&amp;""",  "&amp;C$2&amp;":"""&amp;CLEAN(SUBSTITUTE(C161,"""",""""))&amp;""",  "&amp;F$2&amp;":"""&amp;F161&amp;""",  "&amp;H$2&amp;":"""&amp;CLEAN(SUBSTITUTE(H161,"""",""""))&amp;""", "&amp;J$2&amp;":"""&amp;J161&amp;""", "&amp;L$2&amp;":"""&amp;L161&amp;""", "&amp;M$2&amp;":"""&amp;M161&amp;""", "&amp;N$2&amp;":"""&amp;N161&amp;""", "&amp;O$2&amp;":"""&amp;O161&amp;""", "&amp;P$2&amp;":"""&amp;P161&amp;""", "&amp;Q$2&amp;":"""&amp;Q161&amp;""", "&amp;R$2&amp;":"""&amp;R161&amp;""", d11t:"""&amp;CJ161&amp;""",d11p:"""&amp;CK161&amp;""",d12t:"""&amp;CL161&amp;""",d12p:"""&amp;CM161&amp;""",d13t:"""&amp;CN161&amp;""",d13p:"""&amp;CO161&amp;""",d1w:"""&amp;CP161&amp;""",d1d:"""&amp;CQ161&amp;""", d21t:"""&amp;CR161&amp;""",d21p:"""&amp;CS161&amp;""",d22t:"""&amp;CT161&amp;""",d22p:"""&amp;CU161&amp;""",d23t:"""&amp;CV161&amp;""",d23p:"""&amp;CW161&amp;""",d2w:"""&amp;CX161&amp;""",d2d:"""&amp;CY161&amp;""", d31t:"""&amp;CZ161&amp;""",d31p:"""&amp;DA161&amp;""",d32t:"""&amp;DB161&amp;""",d32p:"""&amp;DC161&amp;""",d33t:"""&amp;DD161&amp;""",d33p:"""&amp;DE161&amp;""",d3w:"""&amp;DF161&amp;""",d3d:"""&amp;DG161&amp;"""}; "</f>
        <v>D6.scenario.defInput["i921"] = {  cons:"consCRtrip",  title:"行き先",  unit:"",  text:"よく出かける行き先はどこですか", inputType:"", right:"", postfix:"", nodata:"", varType:"String", min:"", max:"", defaultValue:"", d11t:"",d11p:"",d12t:"",d12p:"",d13t:"",d13p:"",d1w:"",d1d:"", d21t:"",d21p:"",d22t:"",d22p:"",d23t:"",d23p:"",d2w:"",d2d:"", d31t:"",d31p:"",d32t:"",d32p:"",d33t:"",d33p:"",d3w:"",d3d:""}; </v>
      </c>
      <c r="DO161" s="110"/>
      <c r="DP161" s="110"/>
      <c r="DQ161" s="111" t="str">
        <f aca="false">"D6.scenario.defSelectValue["""&amp;U161&amp;"""]= [ """&amp;CLEAN(V161)&amp;""", """&amp;CLEAN(W161)&amp;IF(X161="","",""", """&amp;CLEAN(X161))&amp;IF(Y161="","",""", """&amp;CLEAN(Y161))&amp;IF(Z161="","",""", """&amp;CLEAN(Z161))&amp;IF(AA161="","",""", """&amp;CLEAN(AA161))&amp;IF(AB161="","",""", """&amp;CLEAN(AB161))&amp;IF(AC161="","",""", """&amp;CLEAN(AC161))&amp;IF(AD161="","",""", """&amp;CLEAN(AD161))&amp;IF(AE161="","",""", """&amp;CLEAN(AE161))&amp;IF(AF161="","",""", """&amp;CLEAN(AF161))&amp;IF(AG161="","",""", """&amp;CLEAN(AG161))&amp;IF(AH161="","",""", """&amp;CLEAN(AH161))&amp;IF(AI161="","",""", """&amp;CLEAN(AI161))&amp;IF(AJ161="","",""", """&amp;CLEAN(AJ161))&amp;IF(AK161="","",""", """&amp;CLEAN(AK161))&amp;""" ];"</f>
        <v>D6.scenario.defSelectValue[""]= [ "", "" ];</v>
      </c>
      <c r="DR161" s="112"/>
      <c r="DS161" s="112"/>
      <c r="DT161" s="112" t="str">
        <f aca="false">"D6.scenario.defSelectData['"&amp;U161&amp;"']= [ '"&amp;BC161&amp;"', '"&amp;BD161&amp;"', '"&amp;BE161&amp;IF(BF161="","","', '"&amp;BF161)&amp;IF(BG161="","","', '"&amp;BG161)&amp;IF(BH161="","","', '"&amp;BH161)&amp;IF(BI161="","","', '"&amp;BI161)&amp;IF(BJ161="","","', '"&amp;BJ161)&amp;IF(BK161="","","', '"&amp;BK161)&amp;IF(BL161="","","', '"&amp;BL161)&amp;IF(BM161="","","', '"&amp;BM161)&amp;IF(BN161="","","', '"&amp;BN161)&amp;IF(BO161="","","', '"&amp;BO161)&amp;IF(BP161="","","', '"&amp;BP161)&amp;IF(BQ161="","","', '"&amp;BQ161)&amp;IF(BR161="","","', '"&amp;BR161)&amp;"' ];"</f>
        <v>D6.scenario.defSelectData['']= [ '', '', '' ];</v>
      </c>
    </row>
    <row r="162" s="88" customFormat="true" ht="43.5" hidden="false" customHeight="true" outlineLevel="0" collapsed="false">
      <c r="A162" s="66"/>
      <c r="B162" s="95" t="s">
        <v>1907</v>
      </c>
      <c r="C162" s="103" t="s">
        <v>1908</v>
      </c>
      <c r="D162" s="104" t="s">
        <v>1908</v>
      </c>
      <c r="E162" s="95" t="s">
        <v>284</v>
      </c>
      <c r="F162" s="103"/>
      <c r="G162" s="104"/>
      <c r="H162" s="103" t="s">
        <v>1909</v>
      </c>
      <c r="I162" s="104" t="s">
        <v>1909</v>
      </c>
      <c r="J162" s="103" t="str">
        <f aca="false">IF(K162="","",K162)</f>
        <v>sel922</v>
      </c>
      <c r="K162" s="104" t="str">
        <f aca="false">"sel"&amp;MID($B162,2,5)</f>
        <v>sel922</v>
      </c>
      <c r="L162" s="105"/>
      <c r="M162" s="105"/>
      <c r="N162" s="105"/>
      <c r="O162" s="95" t="s">
        <v>931</v>
      </c>
      <c r="P162" s="105"/>
      <c r="Q162" s="105"/>
      <c r="R162" s="95" t="n">
        <v>-1</v>
      </c>
      <c r="S162" s="66"/>
      <c r="U162" s="106" t="str">
        <f aca="false">J162</f>
        <v>sel922</v>
      </c>
      <c r="V162" s="103" t="s">
        <v>979</v>
      </c>
      <c r="W162" s="103" t="s">
        <v>1266</v>
      </c>
      <c r="X162" s="103" t="s">
        <v>1910</v>
      </c>
      <c r="Y162" s="103" t="s">
        <v>1911</v>
      </c>
      <c r="Z162" s="103" t="s">
        <v>1912</v>
      </c>
      <c r="AA162" s="103" t="s">
        <v>1913</v>
      </c>
      <c r="AB162" s="103" t="s">
        <v>1914</v>
      </c>
      <c r="AC162" s="103" t="s">
        <v>1915</v>
      </c>
      <c r="AD162" s="103" t="s">
        <v>1916</v>
      </c>
      <c r="AE162" s="103" t="s">
        <v>1917</v>
      </c>
      <c r="AF162" s="103"/>
      <c r="AG162" s="103"/>
      <c r="AH162" s="103"/>
      <c r="AI162" s="103"/>
      <c r="AJ162" s="103"/>
      <c r="AK162" s="103"/>
      <c r="AL162" s="104" t="s">
        <v>979</v>
      </c>
      <c r="AM162" s="107" t="s">
        <v>1266</v>
      </c>
      <c r="AN162" s="107" t="s">
        <v>1910</v>
      </c>
      <c r="AO162" s="107" t="s">
        <v>1911</v>
      </c>
      <c r="AP162" s="107" t="s">
        <v>1912</v>
      </c>
      <c r="AQ162" s="104" t="s">
        <v>1913</v>
      </c>
      <c r="AR162" s="104" t="s">
        <v>1914</v>
      </c>
      <c r="AS162" s="104" t="s">
        <v>1915</v>
      </c>
      <c r="AT162" s="104" t="s">
        <v>1916</v>
      </c>
      <c r="AU162" s="104" t="s">
        <v>1917</v>
      </c>
      <c r="AV162" s="104"/>
      <c r="AW162" s="104"/>
      <c r="AX162" s="104"/>
      <c r="AY162" s="104"/>
      <c r="AZ162" s="104"/>
      <c r="BA162" s="104"/>
      <c r="BB162" s="66"/>
      <c r="BC162" s="103" t="n">
        <v>-1</v>
      </c>
      <c r="BD162" s="103" t="n">
        <v>365</v>
      </c>
      <c r="BE162" s="103" t="n">
        <v>250</v>
      </c>
      <c r="BF162" s="103" t="n">
        <v>120</v>
      </c>
      <c r="BG162" s="103" t="n">
        <v>50</v>
      </c>
      <c r="BH162" s="103" t="n">
        <v>25</v>
      </c>
      <c r="BI162" s="103" t="n">
        <v>12</v>
      </c>
      <c r="BJ162" s="103" t="n">
        <v>6</v>
      </c>
      <c r="BK162" s="103" t="n">
        <v>2</v>
      </c>
      <c r="BL162" s="103" t="n">
        <v>1</v>
      </c>
      <c r="BM162" s="103"/>
      <c r="BN162" s="103"/>
      <c r="BO162" s="103"/>
      <c r="BP162" s="103"/>
      <c r="BQ162" s="103"/>
      <c r="BR162" s="103"/>
      <c r="BS162" s="104" t="n">
        <v>-1</v>
      </c>
      <c r="BT162" s="104" t="n">
        <v>365</v>
      </c>
      <c r="BU162" s="104" t="n">
        <v>250</v>
      </c>
      <c r="BV162" s="104" t="n">
        <v>120</v>
      </c>
      <c r="BW162" s="104" t="n">
        <v>50</v>
      </c>
      <c r="BX162" s="104" t="n">
        <v>25</v>
      </c>
      <c r="BY162" s="104" t="n">
        <v>12</v>
      </c>
      <c r="BZ162" s="104" t="n">
        <v>6</v>
      </c>
      <c r="CA162" s="104" t="n">
        <v>2</v>
      </c>
      <c r="CB162" s="104" t="n">
        <v>1</v>
      </c>
      <c r="CC162" s="104"/>
      <c r="CD162" s="104"/>
      <c r="CE162" s="104"/>
      <c r="CF162" s="104"/>
      <c r="CG162" s="104"/>
      <c r="CH162" s="104"/>
      <c r="CJ162" s="95"/>
      <c r="CK162" s="95"/>
      <c r="CL162" s="95"/>
      <c r="CM162" s="95"/>
      <c r="CN162" s="95"/>
      <c r="CO162" s="95"/>
      <c r="CP162" s="95"/>
      <c r="CQ162" s="95"/>
      <c r="CR162" s="95"/>
      <c r="CS162" s="95"/>
      <c r="CT162" s="95"/>
      <c r="CU162" s="95"/>
      <c r="CV162" s="95"/>
      <c r="CW162" s="95"/>
      <c r="CX162" s="95"/>
      <c r="CY162" s="95"/>
      <c r="CZ162" s="95"/>
      <c r="DA162" s="95"/>
      <c r="DB162" s="95"/>
      <c r="DC162" s="95"/>
      <c r="DD162" s="95"/>
      <c r="DE162" s="95"/>
      <c r="DF162" s="95"/>
      <c r="DG162" s="95"/>
      <c r="DL162" s="108"/>
      <c r="DM162" s="108"/>
      <c r="DN162" s="109" t="str">
        <f aca="false">"D6.scenario.defInput["""&amp;B162&amp;"""] = {  "&amp;E$2&amp;":"""&amp;E162&amp;""",  "&amp;C$2&amp;":"""&amp;CLEAN(SUBSTITUTE(C162,"""",""""))&amp;""",  "&amp;F$2&amp;":"""&amp;F162&amp;""",  "&amp;H$2&amp;":"""&amp;CLEAN(SUBSTITUTE(H162,"""",""""))&amp;""", "&amp;J$2&amp;":"""&amp;J162&amp;""", "&amp;L$2&amp;":"""&amp;L162&amp;""", "&amp;M$2&amp;":"""&amp;M162&amp;""", "&amp;N$2&amp;":"""&amp;N162&amp;""", "&amp;O$2&amp;":"""&amp;O162&amp;""", "&amp;P$2&amp;":"""&amp;P162&amp;""", "&amp;Q$2&amp;":"""&amp;Q162&amp;""", "&amp;R$2&amp;":"""&amp;R162&amp;""", d11t:"""&amp;CJ162&amp;""",d11p:"""&amp;CK162&amp;""",d12t:"""&amp;CL162&amp;""",d12p:"""&amp;CM162&amp;""",d13t:"""&amp;CN162&amp;""",d13p:"""&amp;CO162&amp;""",d1w:"""&amp;CP162&amp;""",d1d:"""&amp;CQ162&amp;""", d21t:"""&amp;CR162&amp;""",d21p:"""&amp;CS162&amp;""",d22t:"""&amp;CT162&amp;""",d22p:"""&amp;CU162&amp;""",d23t:"""&amp;CV162&amp;""",d23p:"""&amp;CW162&amp;""",d2w:"""&amp;CX162&amp;""",d2d:"""&amp;CY162&amp;""", d31t:"""&amp;CZ162&amp;""",d31p:"""&amp;DA162&amp;""",d32t:"""&amp;DB162&amp;""",d32p:"""&amp;DC162&amp;""",d33t:"""&amp;DD162&amp;""",d33p:"""&amp;DE162&amp;""",d3w:"""&amp;DF162&amp;""",d3d:"""&amp;DG162&amp;"""}; "</f>
        <v>D6.scenario.defInput["i922"] = {  cons:"consCRtrip",  title:"頻度",  unit:"",  text:"どの程度車で行きますか", inputType:"sel922", right:"", postfix:"", nodata:"", varType:"Number", min:"", max:"", defaultValue:"-1", d11t:"",d11p:"",d12t:"",d12p:"",d13t:"",d13p:"",d1w:"",d1d:"", d21t:"",d21p:"",d22t:"",d22p:"",d23t:"",d23p:"",d2w:"",d2d:"", d31t:"",d31p:"",d32t:"",d32p:"",d33t:"",d33p:"",d3w:"",d3d:""}; </v>
      </c>
      <c r="DO162" s="110"/>
      <c r="DP162" s="110"/>
      <c r="DQ162" s="111" t="str">
        <f aca="false">"D6.scenario.defSelectValue["""&amp;U162&amp;"""]= [ """&amp;CLEAN(V162)&amp;""", """&amp;CLEAN(W162)&amp;IF(X162="","",""", """&amp;CLEAN(X162))&amp;IF(Y162="","",""", """&amp;CLEAN(Y162))&amp;IF(Z162="","",""", """&amp;CLEAN(Z162))&amp;IF(AA162="","",""", """&amp;CLEAN(AA162))&amp;IF(AB162="","",""", """&amp;CLEAN(AB162))&amp;IF(AC162="","",""", """&amp;CLEAN(AC162))&amp;IF(AD162="","",""", """&amp;CLEAN(AD162))&amp;IF(AE162="","",""", """&amp;CLEAN(AE162))&amp;IF(AF162="","",""", """&amp;CLEAN(AF162))&amp;IF(AG162="","",""", """&amp;CLEAN(AG162))&amp;IF(AH162="","",""", """&amp;CLEAN(AH162))&amp;IF(AI162="","",""", """&amp;CLEAN(AI162))&amp;IF(AJ162="","",""", """&amp;CLEAN(AJ162))&amp;IF(AK162="","",""", """&amp;CLEAN(AK162))&amp;""" ];"</f>
        <v>D6.scenario.defSelectValue["sel922"]= [ "選んで下さい", "毎日", "週5回", "週2～3回", "週1回", "月に2回", "月1回", "２ヶ月に1回", "年2-3回", "年1回" ];</v>
      </c>
      <c r="DR162" s="112"/>
      <c r="DS162" s="112"/>
      <c r="DT162" s="112" t="str">
        <f aca="false">"D6.scenario.defSelectData['"&amp;U162&amp;"']= [ '"&amp;BC162&amp;"', '"&amp;BD162&amp;"', '"&amp;BE162&amp;IF(BF162="","","', '"&amp;BF162)&amp;IF(BG162="","","', '"&amp;BG162)&amp;IF(BH162="","","', '"&amp;BH162)&amp;IF(BI162="","","', '"&amp;BI162)&amp;IF(BJ162="","","', '"&amp;BJ162)&amp;IF(BK162="","","', '"&amp;BK162)&amp;IF(BL162="","","', '"&amp;BL162)&amp;IF(BM162="","","', '"&amp;BM162)&amp;IF(BN162="","","', '"&amp;BN162)&amp;IF(BO162="","","', '"&amp;BO162)&amp;IF(BP162="","","', '"&amp;BP162)&amp;IF(BQ162="","","', '"&amp;BQ162)&amp;IF(BR162="","","', '"&amp;BR162)&amp;"' ];"</f>
        <v>D6.scenario.defSelectData['sel922']= [ '-1', '365', '250', '120', '50', '25', '12', '6', '2', '1' ];</v>
      </c>
    </row>
    <row r="163" s="88" customFormat="true" ht="43.5" hidden="false" customHeight="true" outlineLevel="0" collapsed="false">
      <c r="A163" s="66"/>
      <c r="B163" s="95" t="s">
        <v>1918</v>
      </c>
      <c r="C163" s="103" t="s">
        <v>1919</v>
      </c>
      <c r="D163" s="104" t="s">
        <v>1919</v>
      </c>
      <c r="E163" s="95" t="s">
        <v>284</v>
      </c>
      <c r="F163" s="103" t="s">
        <v>1920</v>
      </c>
      <c r="G163" s="104" t="s">
        <v>1920</v>
      </c>
      <c r="H163" s="103" t="s">
        <v>1921</v>
      </c>
      <c r="I163" s="104" t="s">
        <v>1919</v>
      </c>
      <c r="J163" s="103" t="str">
        <f aca="false">IF(K163="","",K163)</f>
        <v>sel923</v>
      </c>
      <c r="K163" s="104" t="str">
        <f aca="false">"sel"&amp;MID($B163,2,5)</f>
        <v>sel923</v>
      </c>
      <c r="L163" s="105"/>
      <c r="M163" s="105"/>
      <c r="N163" s="105"/>
      <c r="O163" s="95" t="s">
        <v>931</v>
      </c>
      <c r="P163" s="105"/>
      <c r="Q163" s="105"/>
      <c r="R163" s="95" t="n">
        <v>-1</v>
      </c>
      <c r="S163" s="66"/>
      <c r="U163" s="106" t="str">
        <f aca="false">J163</f>
        <v>sel923</v>
      </c>
      <c r="V163" s="103" t="s">
        <v>979</v>
      </c>
      <c r="W163" s="103" t="s">
        <v>1922</v>
      </c>
      <c r="X163" s="103" t="s">
        <v>1923</v>
      </c>
      <c r="Y163" s="103" t="s">
        <v>1924</v>
      </c>
      <c r="Z163" s="103" t="s">
        <v>1925</v>
      </c>
      <c r="AA163" s="103" t="s">
        <v>1926</v>
      </c>
      <c r="AB163" s="103" t="s">
        <v>1927</v>
      </c>
      <c r="AC163" s="103" t="s">
        <v>1928</v>
      </c>
      <c r="AD163" s="103" t="s">
        <v>1929</v>
      </c>
      <c r="AE163" s="103" t="s">
        <v>1930</v>
      </c>
      <c r="AF163" s="103" t="s">
        <v>1931</v>
      </c>
      <c r="AG163" s="103" t="s">
        <v>1932</v>
      </c>
      <c r="AH163" s="103" t="s">
        <v>1933</v>
      </c>
      <c r="AI163" s="103"/>
      <c r="AJ163" s="103"/>
      <c r="AK163" s="103"/>
      <c r="AL163" s="104" t="s">
        <v>979</v>
      </c>
      <c r="AM163" s="104" t="s">
        <v>1922</v>
      </c>
      <c r="AN163" s="104" t="s">
        <v>1923</v>
      </c>
      <c r="AO163" s="107" t="s">
        <v>1924</v>
      </c>
      <c r="AP163" s="107" t="s">
        <v>1925</v>
      </c>
      <c r="AQ163" s="107" t="s">
        <v>1926</v>
      </c>
      <c r="AR163" s="107" t="s">
        <v>1927</v>
      </c>
      <c r="AS163" s="104" t="s">
        <v>1928</v>
      </c>
      <c r="AT163" s="104" t="s">
        <v>1929</v>
      </c>
      <c r="AU163" s="104" t="s">
        <v>1930</v>
      </c>
      <c r="AV163" s="104" t="s">
        <v>1931</v>
      </c>
      <c r="AW163" s="104" t="s">
        <v>1932</v>
      </c>
      <c r="AX163" s="104" t="s">
        <v>1933</v>
      </c>
      <c r="AY163" s="104"/>
      <c r="AZ163" s="104"/>
      <c r="BA163" s="104"/>
      <c r="BB163" s="66"/>
      <c r="BC163" s="103" t="n">
        <v>-1</v>
      </c>
      <c r="BD163" s="103" t="n">
        <v>1</v>
      </c>
      <c r="BE163" s="103" t="n">
        <v>2</v>
      </c>
      <c r="BF163" s="103" t="n">
        <v>3</v>
      </c>
      <c r="BG163" s="103" t="n">
        <v>5</v>
      </c>
      <c r="BH163" s="103" t="n">
        <v>10</v>
      </c>
      <c r="BI163" s="103" t="n">
        <v>20</v>
      </c>
      <c r="BJ163" s="103" t="n">
        <v>30</v>
      </c>
      <c r="BK163" s="103" t="n">
        <v>50</v>
      </c>
      <c r="BL163" s="103" t="n">
        <v>100</v>
      </c>
      <c r="BM163" s="103" t="n">
        <v>200</v>
      </c>
      <c r="BN163" s="103" t="n">
        <v>400</v>
      </c>
      <c r="BO163" s="103" t="n">
        <v>700</v>
      </c>
      <c r="BP163" s="103"/>
      <c r="BQ163" s="103"/>
      <c r="BR163" s="103"/>
      <c r="BS163" s="104" t="n">
        <v>-1</v>
      </c>
      <c r="BT163" s="104" t="n">
        <v>1</v>
      </c>
      <c r="BU163" s="104" t="n">
        <v>2</v>
      </c>
      <c r="BV163" s="104" t="n">
        <v>3</v>
      </c>
      <c r="BW163" s="104" t="n">
        <v>5</v>
      </c>
      <c r="BX163" s="104" t="n">
        <v>10</v>
      </c>
      <c r="BY163" s="104" t="n">
        <v>20</v>
      </c>
      <c r="BZ163" s="104" t="n">
        <v>30</v>
      </c>
      <c r="CA163" s="104" t="n">
        <v>50</v>
      </c>
      <c r="CB163" s="104" t="n">
        <v>100</v>
      </c>
      <c r="CC163" s="104" t="n">
        <v>200</v>
      </c>
      <c r="CD163" s="104" t="n">
        <v>400</v>
      </c>
      <c r="CE163" s="104" t="n">
        <v>700</v>
      </c>
      <c r="CF163" s="104"/>
      <c r="CG163" s="104"/>
      <c r="CH163" s="104"/>
      <c r="CJ163" s="95"/>
      <c r="CK163" s="95"/>
      <c r="CL163" s="95"/>
      <c r="CM163" s="95"/>
      <c r="CN163" s="95"/>
      <c r="CO163" s="95"/>
      <c r="CP163" s="95"/>
      <c r="CQ163" s="95"/>
      <c r="CR163" s="95"/>
      <c r="CS163" s="95"/>
      <c r="CT163" s="95"/>
      <c r="CU163" s="95"/>
      <c r="CV163" s="95"/>
      <c r="CW163" s="95"/>
      <c r="CX163" s="95"/>
      <c r="CY163" s="95"/>
      <c r="CZ163" s="95"/>
      <c r="DA163" s="95"/>
      <c r="DB163" s="95"/>
      <c r="DC163" s="95"/>
      <c r="DD163" s="95"/>
      <c r="DE163" s="95"/>
      <c r="DF163" s="95"/>
      <c r="DG163" s="95"/>
      <c r="DL163" s="108"/>
      <c r="DM163" s="108"/>
      <c r="DN163" s="109" t="str">
        <f aca="false">"D6.scenario.defInput["""&amp;B163&amp;"""] = {  "&amp;E$2&amp;":"""&amp;E163&amp;""",  "&amp;C$2&amp;":"""&amp;CLEAN(SUBSTITUTE(C163,"""",""""))&amp;""",  "&amp;F$2&amp;":"""&amp;F163&amp;""",  "&amp;H$2&amp;":"""&amp;CLEAN(SUBSTITUTE(H163,"""",""""))&amp;""", "&amp;J$2&amp;":"""&amp;J163&amp;""", "&amp;L$2&amp;":"""&amp;L163&amp;""", "&amp;M$2&amp;":"""&amp;M163&amp;""", "&amp;N$2&amp;":"""&amp;N163&amp;""", "&amp;O$2&amp;":"""&amp;O163&amp;""", "&amp;P$2&amp;":"""&amp;P163&amp;""", "&amp;Q$2&amp;":"""&amp;Q163&amp;""", "&amp;R$2&amp;":"""&amp;R163&amp;""", d11t:"""&amp;CJ163&amp;""",d11p:"""&amp;CK163&amp;""",d12t:"""&amp;CL163&amp;""",d12p:"""&amp;CM163&amp;""",d13t:"""&amp;CN163&amp;""",d13p:"""&amp;CO163&amp;""",d1w:"""&amp;CP163&amp;""",d1d:"""&amp;CQ163&amp;""", d21t:"""&amp;CR163&amp;""",d21p:"""&amp;CS163&amp;""",d22t:"""&amp;CT163&amp;""",d22p:"""&amp;CU163&amp;""",d23t:"""&amp;CV163&amp;""",d23p:"""&amp;CW163&amp;""",d2w:"""&amp;CX163&amp;""",d2d:"""&amp;CY163&amp;""", d31t:"""&amp;CZ163&amp;""",d31p:"""&amp;DA163&amp;""",d32t:"""&amp;DB163&amp;""",d32p:"""&amp;DC163&amp;""",d33t:"""&amp;DD163&amp;""",d33p:"""&amp;DE163&amp;""",d3w:"""&amp;DF163&amp;""",d3d:"""&amp;DG163&amp;"""}; "</f>
        <v>D6.scenario.defInput["i923"] = {  cons:"consCRtrip",  title:"片道距離",  unit:"km",  text:"片道距離はどのくらいですか", inputType:"sel923", right:"", postfix:"", nodata:"", varType:"Number", min:"", max:"", defaultValue:"-1", d11t:"",d11p:"",d12t:"",d12p:"",d13t:"",d13p:"",d1w:"",d1d:"", d21t:"",d21p:"",d22t:"",d22p:"",d23t:"",d23p:"",d2w:"",d2d:"", d31t:"",d31p:"",d32t:"",d32p:"",d33t:"",d33p:"",d3w:"",d3d:""}; </v>
      </c>
      <c r="DO163" s="110"/>
      <c r="DP163" s="110"/>
      <c r="DQ163" s="111" t="str">
        <f aca="false">"D6.scenario.defSelectValue["""&amp;U163&amp;"""]= [ """&amp;CLEAN(V163)&amp;""", """&amp;CLEAN(W163)&amp;IF(X163="","",""", """&amp;CLEAN(X163))&amp;IF(Y163="","",""", """&amp;CLEAN(Y163))&amp;IF(Z163="","",""", """&amp;CLEAN(Z163))&amp;IF(AA163="","",""", """&amp;CLEAN(AA163))&amp;IF(AB163="","",""", """&amp;CLEAN(AB163))&amp;IF(AC163="","",""", """&amp;CLEAN(AC163))&amp;IF(AD163="","",""", """&amp;CLEAN(AD163))&amp;IF(AE163="","",""", """&amp;CLEAN(AE163))&amp;IF(AF163="","",""", """&amp;CLEAN(AF163))&amp;IF(AG163="","",""", """&amp;CLEAN(AG163))&amp;IF(AH163="","",""", """&amp;CLEAN(AH163))&amp;IF(AI163="","",""", """&amp;CLEAN(AI163))&amp;IF(AJ163="","",""", """&amp;CLEAN(AJ163))&amp;IF(AK163="","",""", """&amp;CLEAN(AK163))&amp;""" ];"</f>
        <v>D6.scenario.defSelectValue["sel923"]= [ "選んで下さい", "1km", "2km", "3km", "5km", "10km", "20km", "30km", "50km", "100km", "200km", "400km", "600km以上" ];</v>
      </c>
      <c r="DR163" s="112"/>
      <c r="DS163" s="112"/>
      <c r="DT163" s="112" t="str">
        <f aca="false">"D6.scenario.defSelectData['"&amp;U163&amp;"']= [ '"&amp;BC163&amp;"', '"&amp;BD163&amp;"', '"&amp;BE163&amp;IF(BF163="","","', '"&amp;BF163)&amp;IF(BG163="","","', '"&amp;BG163)&amp;IF(BH163="","","', '"&amp;BH163)&amp;IF(BI163="","","', '"&amp;BI163)&amp;IF(BJ163="","","', '"&amp;BJ163)&amp;IF(BK163="","","', '"&amp;BK163)&amp;IF(BL163="","","', '"&amp;BL163)&amp;IF(BM163="","","', '"&amp;BM163)&amp;IF(BN163="","","', '"&amp;BN163)&amp;IF(BO163="","","', '"&amp;BO163)&amp;IF(BP163="","","', '"&amp;BP163)&amp;IF(BQ163="","","', '"&amp;BQ163)&amp;IF(BR163="","","', '"&amp;BR163)&amp;"' ];"</f>
        <v>D6.scenario.defSelectData['sel923']= [ '-1', '1', '2', '3', '5', '10', '20', '30', '50', '100', '200', '400', '700' ];</v>
      </c>
    </row>
    <row r="164" s="88" customFormat="true" ht="43.5" hidden="false" customHeight="true" outlineLevel="0" collapsed="false">
      <c r="A164" s="66"/>
      <c r="B164" s="95" t="s">
        <v>1934</v>
      </c>
      <c r="C164" s="103" t="s">
        <v>1935</v>
      </c>
      <c r="D164" s="104" t="s">
        <v>1935</v>
      </c>
      <c r="E164" s="95" t="s">
        <v>284</v>
      </c>
      <c r="F164" s="103"/>
      <c r="G164" s="104"/>
      <c r="H164" s="103" t="s">
        <v>1936</v>
      </c>
      <c r="I164" s="104" t="s">
        <v>1936</v>
      </c>
      <c r="J164" s="103" t="str">
        <f aca="false">IF(K164="","",K164)</f>
        <v>sel924</v>
      </c>
      <c r="K164" s="104" t="str">
        <f aca="false">"sel"&amp;MID($B164,2,5)</f>
        <v>sel924</v>
      </c>
      <c r="L164" s="105"/>
      <c r="M164" s="105"/>
      <c r="N164" s="105"/>
      <c r="O164" s="95" t="s">
        <v>931</v>
      </c>
      <c r="P164" s="105"/>
      <c r="Q164" s="105"/>
      <c r="R164" s="95" t="n">
        <v>-1</v>
      </c>
      <c r="S164" s="66"/>
      <c r="U164" s="106" t="str">
        <f aca="false">J164</f>
        <v>sel924</v>
      </c>
      <c r="V164" s="103" t="s">
        <v>979</v>
      </c>
      <c r="W164" s="103" t="s">
        <v>1937</v>
      </c>
      <c r="X164" s="103" t="s">
        <v>1938</v>
      </c>
      <c r="Y164" s="103" t="s">
        <v>1939</v>
      </c>
      <c r="Z164" s="103" t="s">
        <v>1940</v>
      </c>
      <c r="AA164" s="103" t="s">
        <v>1941</v>
      </c>
      <c r="AB164" s="103"/>
      <c r="AC164" s="103"/>
      <c r="AD164" s="103"/>
      <c r="AE164" s="103"/>
      <c r="AF164" s="103"/>
      <c r="AG164" s="103"/>
      <c r="AH164" s="103"/>
      <c r="AI164" s="103"/>
      <c r="AJ164" s="103"/>
      <c r="AK164" s="103"/>
      <c r="AL164" s="104" t="s">
        <v>979</v>
      </c>
      <c r="AM164" s="107" t="s">
        <v>1937</v>
      </c>
      <c r="AN164" s="107" t="s">
        <v>1938</v>
      </c>
      <c r="AO164" s="107" t="s">
        <v>1939</v>
      </c>
      <c r="AP164" s="104" t="s">
        <v>1940</v>
      </c>
      <c r="AQ164" s="104" t="s">
        <v>1941</v>
      </c>
      <c r="AR164" s="104"/>
      <c r="AS164" s="104"/>
      <c r="AT164" s="104"/>
      <c r="AU164" s="104"/>
      <c r="AV164" s="104"/>
      <c r="AW164" s="104"/>
      <c r="AX164" s="104"/>
      <c r="AY164" s="104"/>
      <c r="AZ164" s="104"/>
      <c r="BA164" s="104"/>
      <c r="BB164" s="66"/>
      <c r="BC164" s="103" t="n">
        <v>-1</v>
      </c>
      <c r="BD164" s="103" t="n">
        <v>1</v>
      </c>
      <c r="BE164" s="103" t="n">
        <v>2</v>
      </c>
      <c r="BF164" s="103" t="n">
        <v>3</v>
      </c>
      <c r="BG164" s="103" t="n">
        <v>4</v>
      </c>
      <c r="BH164" s="103" t="n">
        <v>5</v>
      </c>
      <c r="BI164" s="103"/>
      <c r="BJ164" s="103"/>
      <c r="BK164" s="103"/>
      <c r="BL164" s="103"/>
      <c r="BM164" s="103"/>
      <c r="BN164" s="103"/>
      <c r="BO164" s="103"/>
      <c r="BP164" s="103"/>
      <c r="BQ164" s="103"/>
      <c r="BR164" s="103"/>
      <c r="BS164" s="104" t="n">
        <v>-1</v>
      </c>
      <c r="BT164" s="104" t="n">
        <v>1</v>
      </c>
      <c r="BU164" s="104" t="n">
        <v>2</v>
      </c>
      <c r="BV164" s="104" t="n">
        <v>3</v>
      </c>
      <c r="BW164" s="104" t="n">
        <v>4</v>
      </c>
      <c r="BX164" s="104" t="n">
        <v>5</v>
      </c>
      <c r="BY164" s="104"/>
      <c r="BZ164" s="104"/>
      <c r="CA164" s="104"/>
      <c r="CB164" s="104"/>
      <c r="CC164" s="104"/>
      <c r="CD164" s="104"/>
      <c r="CE164" s="104"/>
      <c r="CF164" s="104"/>
      <c r="CG164" s="104"/>
      <c r="CH164" s="104"/>
      <c r="CJ164" s="95"/>
      <c r="CK164" s="95"/>
      <c r="CL164" s="95"/>
      <c r="CM164" s="95"/>
      <c r="CN164" s="95"/>
      <c r="CO164" s="95"/>
      <c r="CP164" s="95"/>
      <c r="CQ164" s="95"/>
      <c r="CR164" s="95"/>
      <c r="CS164" s="95"/>
      <c r="CT164" s="95"/>
      <c r="CU164" s="95"/>
      <c r="CV164" s="95"/>
      <c r="CW164" s="95"/>
      <c r="CX164" s="95"/>
      <c r="CY164" s="95"/>
      <c r="CZ164" s="95"/>
      <c r="DA164" s="95"/>
      <c r="DB164" s="95"/>
      <c r="DC164" s="95"/>
      <c r="DD164" s="95"/>
      <c r="DE164" s="95"/>
      <c r="DF164" s="95"/>
      <c r="DG164" s="95"/>
      <c r="DL164" s="108"/>
      <c r="DM164" s="108"/>
      <c r="DN164" s="109" t="str">
        <f aca="false">"D6.scenario.defInput["""&amp;B164&amp;"""] = {  "&amp;E$2&amp;":"""&amp;E164&amp;""",  "&amp;C$2&amp;":"""&amp;CLEAN(SUBSTITUTE(C164,"""",""""))&amp;""",  "&amp;F$2&amp;":"""&amp;F164&amp;""",  "&amp;H$2&amp;":"""&amp;CLEAN(SUBSTITUTE(H164,"""",""""))&amp;""", "&amp;J$2&amp;":"""&amp;J164&amp;""", "&amp;L$2&amp;":"""&amp;L164&amp;""", "&amp;M$2&amp;":"""&amp;M164&amp;""", "&amp;N$2&amp;":"""&amp;N164&amp;""", "&amp;O$2&amp;":"""&amp;O164&amp;""", "&amp;P$2&amp;":"""&amp;P164&amp;""", "&amp;Q$2&amp;":"""&amp;Q164&amp;""", "&amp;R$2&amp;":"""&amp;R164&amp;""", d11t:"""&amp;CJ164&amp;""",d11p:"""&amp;CK164&amp;""",d12t:"""&amp;CL164&amp;""",d12p:"""&amp;CM164&amp;""",d13t:"""&amp;CN164&amp;""",d13p:"""&amp;CO164&amp;""",d1w:"""&amp;CP164&amp;""",d1d:"""&amp;CQ164&amp;""", d21t:"""&amp;CR164&amp;""",d21p:"""&amp;CS164&amp;""",d22t:"""&amp;CT164&amp;""",d22p:"""&amp;CU164&amp;""",d23t:"""&amp;CV164&amp;""",d23p:"""&amp;CW164&amp;""",d2w:"""&amp;CX164&amp;""",d2d:"""&amp;CY164&amp;""", d31t:"""&amp;CZ164&amp;""",d31p:"""&amp;DA164&amp;""",d32t:"""&amp;DB164&amp;""",d32p:"""&amp;DC164&amp;""",d33t:"""&amp;DD164&amp;""",d33p:"""&amp;DE164&amp;""",d3w:"""&amp;DF164&amp;""",d3d:"""&amp;DG164&amp;"""}; "</f>
        <v>D6.scenario.defInput["i924"] = {  cons:"consCRtrip",  title:"使用する車",  unit:"",  text:"どの車を主に使いますか", inputType:"sel924", right:"", postfix:"", nodata:"", varType:"Number", min:"", max:"", defaultValue:"-1", d11t:"",d11p:"",d12t:"",d12p:"",d13t:"",d13p:"",d1w:"",d1d:"", d21t:"",d21p:"",d22t:"",d22p:"",d23t:"",d23p:"",d2w:"",d2d:"", d31t:"",d31p:"",d32t:"",d32p:"",d33t:"",d33p:"",d3w:"",d3d:""}; </v>
      </c>
      <c r="DO164" s="110"/>
      <c r="DP164" s="110"/>
      <c r="DQ164" s="111" t="str">
        <f aca="false">"D6.scenario.defSelectValue["""&amp;U164&amp;"""]= [ """&amp;CLEAN(V164)&amp;""", """&amp;CLEAN(W164)&amp;IF(X164="","",""", """&amp;CLEAN(X164))&amp;IF(Y164="","",""", """&amp;CLEAN(Y164))&amp;IF(Z164="","",""", """&amp;CLEAN(Z164))&amp;IF(AA164="","",""", """&amp;CLEAN(AA164))&amp;IF(AB164="","",""", """&amp;CLEAN(AB164))&amp;IF(AC164="","",""", """&amp;CLEAN(AC164))&amp;IF(AD164="","",""", """&amp;CLEAN(AD164))&amp;IF(AE164="","",""", """&amp;CLEAN(AE164))&amp;IF(AF164="","",""", """&amp;CLEAN(AF164))&amp;IF(AG164="","",""", """&amp;CLEAN(AG164))&amp;IF(AH164="","",""", """&amp;CLEAN(AH164))&amp;IF(AI164="","",""", """&amp;CLEAN(AI164))&amp;IF(AJ164="","",""", """&amp;CLEAN(AJ164))&amp;IF(AK164="","",""", """&amp;CLEAN(AK164))&amp;""" ];"</f>
        <v>D6.scenario.defSelectValue["sel924"]= [ "選んで下さい", "1台目", "2台目", "3台目", "4台目", "5台目" ];</v>
      </c>
      <c r="DR164" s="112"/>
      <c r="DS164" s="112"/>
      <c r="DT164" s="112" t="str">
        <f aca="false">"D6.scenario.defSelectData['"&amp;U164&amp;"']= [ '"&amp;BC164&amp;"', '"&amp;BD164&amp;"', '"&amp;BE164&amp;IF(BF164="","","', '"&amp;BF164)&amp;IF(BG164="","","', '"&amp;BG164)&amp;IF(BH164="","","', '"&amp;BH164)&amp;IF(BI164="","","', '"&amp;BI164)&amp;IF(BJ164="","","', '"&amp;BJ164)&amp;IF(BK164="","","', '"&amp;BK164)&amp;IF(BL164="","","', '"&amp;BL164)&amp;IF(BM164="","","', '"&amp;BM164)&amp;IF(BN164="","","', '"&amp;BN164)&amp;IF(BO164="","","', '"&amp;BO164)&amp;IF(BP164="","","', '"&amp;BP164)&amp;IF(BQ164="","","', '"&amp;BQ164)&amp;IF(BR164="","","', '"&amp;BR164)&amp;"' ];"</f>
        <v>D6.scenario.defSelectData['sel924']= [ '-1', '1', '2', '3', '4', '5' ];</v>
      </c>
    </row>
    <row r="165" s="88" customFormat="true" ht="43.5" hidden="false" customHeight="true" outlineLevel="0" collapsed="false">
      <c r="A165" s="66"/>
      <c r="B165" s="95" t="s">
        <v>1942</v>
      </c>
      <c r="C165" s="103" t="s">
        <v>1943</v>
      </c>
      <c r="D165" s="104" t="s">
        <v>1943</v>
      </c>
      <c r="E165" s="95" t="s">
        <v>279</v>
      </c>
      <c r="F165" s="103"/>
      <c r="G165" s="104"/>
      <c r="H165" s="103" t="s">
        <v>1944</v>
      </c>
      <c r="I165" s="104" t="s">
        <v>1944</v>
      </c>
      <c r="J165" s="103" t="str">
        <f aca="false">IF(K165="","",K165)</f>
        <v>sel931</v>
      </c>
      <c r="K165" s="104" t="str">
        <f aca="false">"sel"&amp;MID($B165,2,5)</f>
        <v>sel931</v>
      </c>
      <c r="L165" s="105"/>
      <c r="M165" s="105"/>
      <c r="N165" s="105"/>
      <c r="O165" s="95" t="s">
        <v>931</v>
      </c>
      <c r="P165" s="105"/>
      <c r="Q165" s="105"/>
      <c r="R165" s="95" t="n">
        <v>-1</v>
      </c>
      <c r="S165" s="66"/>
      <c r="U165" s="106" t="str">
        <f aca="false">J165</f>
        <v>sel931</v>
      </c>
      <c r="V165" s="103" t="s">
        <v>979</v>
      </c>
      <c r="W165" s="103" t="s">
        <v>1945</v>
      </c>
      <c r="X165" s="103" t="s">
        <v>1335</v>
      </c>
      <c r="Y165" s="103" t="s">
        <v>1098</v>
      </c>
      <c r="Z165" s="103"/>
      <c r="AA165" s="103"/>
      <c r="AB165" s="103"/>
      <c r="AC165" s="103"/>
      <c r="AD165" s="103"/>
      <c r="AE165" s="103"/>
      <c r="AF165" s="103"/>
      <c r="AG165" s="103"/>
      <c r="AH165" s="103"/>
      <c r="AI165" s="103"/>
      <c r="AJ165" s="103"/>
      <c r="AK165" s="103"/>
      <c r="AL165" s="104" t="s">
        <v>979</v>
      </c>
      <c r="AM165" s="107" t="s">
        <v>1945</v>
      </c>
      <c r="AN165" s="104" t="s">
        <v>1335</v>
      </c>
      <c r="AO165" s="107" t="s">
        <v>1098</v>
      </c>
      <c r="AP165" s="104"/>
      <c r="AQ165" s="104"/>
      <c r="AR165" s="104"/>
      <c r="AS165" s="104"/>
      <c r="AT165" s="104"/>
      <c r="AU165" s="104"/>
      <c r="AV165" s="104"/>
      <c r="AW165" s="104"/>
      <c r="AX165" s="104"/>
      <c r="AY165" s="104"/>
      <c r="AZ165" s="104"/>
      <c r="BA165" s="104"/>
      <c r="BB165" s="66"/>
      <c r="BC165" s="103" t="n">
        <v>-1</v>
      </c>
      <c r="BD165" s="103" t="n">
        <v>1</v>
      </c>
      <c r="BE165" s="103" t="n">
        <v>2</v>
      </c>
      <c r="BF165" s="103" t="n">
        <v>3</v>
      </c>
      <c r="BG165" s="103"/>
      <c r="BH165" s="103"/>
      <c r="BI165" s="103"/>
      <c r="BJ165" s="103"/>
      <c r="BK165" s="103"/>
      <c r="BL165" s="103"/>
      <c r="BM165" s="103"/>
      <c r="BN165" s="103"/>
      <c r="BO165" s="103"/>
      <c r="BP165" s="103"/>
      <c r="BQ165" s="103"/>
      <c r="BR165" s="103"/>
      <c r="BS165" s="104" t="n">
        <v>-1</v>
      </c>
      <c r="BT165" s="104" t="n">
        <v>1</v>
      </c>
      <c r="BU165" s="104" t="n">
        <v>2</v>
      </c>
      <c r="BV165" s="104" t="n">
        <v>3</v>
      </c>
      <c r="BW165" s="104"/>
      <c r="BX165" s="104"/>
      <c r="BY165" s="104"/>
      <c r="BZ165" s="104"/>
      <c r="CA165" s="104"/>
      <c r="CB165" s="104"/>
      <c r="CC165" s="104"/>
      <c r="CD165" s="104"/>
      <c r="CE165" s="104"/>
      <c r="CF165" s="104"/>
      <c r="CG165" s="104"/>
      <c r="CH165" s="104"/>
      <c r="CJ165" s="95" t="n">
        <v>3</v>
      </c>
      <c r="CK165" s="95" t="n">
        <v>0</v>
      </c>
      <c r="CL165" s="95" t="n">
        <v>2</v>
      </c>
      <c r="CM165" s="95" t="n">
        <v>1</v>
      </c>
      <c r="CN165" s="95" t="n">
        <v>1</v>
      </c>
      <c r="CO165" s="95" t="n">
        <v>2</v>
      </c>
      <c r="CP165" s="95" t="n">
        <v>1</v>
      </c>
      <c r="CQ165" s="95" t="n">
        <v>0</v>
      </c>
      <c r="CR165" s="95"/>
      <c r="CS165" s="95"/>
      <c r="CT165" s="95"/>
      <c r="CU165" s="95"/>
      <c r="CV165" s="95"/>
      <c r="CW165" s="95"/>
      <c r="CX165" s="95"/>
      <c r="CY165" s="95"/>
      <c r="CZ165" s="95" t="n">
        <v>3</v>
      </c>
      <c r="DA165" s="95" t="n">
        <v>0</v>
      </c>
      <c r="DB165" s="95" t="n">
        <v>2</v>
      </c>
      <c r="DC165" s="95" t="n">
        <v>1</v>
      </c>
      <c r="DD165" s="95" t="n">
        <v>1</v>
      </c>
      <c r="DE165" s="95" t="n">
        <v>2</v>
      </c>
      <c r="DF165" s="95" t="n">
        <v>1</v>
      </c>
      <c r="DG165" s="95" t="n">
        <v>0</v>
      </c>
      <c r="DL165" s="108"/>
      <c r="DM165" s="108"/>
      <c r="DN165" s="109" t="str">
        <f aca="false">"D6.scenario.defInput["""&amp;B165&amp;"""] = {  "&amp;E$2&amp;":"""&amp;E165&amp;""",  "&amp;C$2&amp;":"""&amp;CLEAN(SUBSTITUTE(C165,"""",""""))&amp;""",  "&amp;F$2&amp;":"""&amp;F165&amp;""",  "&amp;H$2&amp;":"""&amp;CLEAN(SUBSTITUTE(H165,"""",""""))&amp;""", "&amp;J$2&amp;":"""&amp;J165&amp;""", "&amp;L$2&amp;":"""&amp;L165&amp;""", "&amp;M$2&amp;":"""&amp;M165&amp;""", "&amp;N$2&amp;":"""&amp;N165&amp;""", "&amp;O$2&amp;":"""&amp;O165&amp;""", "&amp;P$2&amp;":"""&amp;P165&amp;""", "&amp;Q$2&amp;":"""&amp;Q165&amp;""", "&amp;R$2&amp;":"""&amp;R165&amp;""", d11t:"""&amp;CJ165&amp;""",d11p:"""&amp;CK165&amp;""",d12t:"""&amp;CL165&amp;""",d12p:"""&amp;CM165&amp;""",d13t:"""&amp;CN165&amp;""",d13p:"""&amp;CO165&amp;""",d1w:"""&amp;CP165&amp;""",d1d:"""&amp;CQ165&amp;""", d21t:"""&amp;CR165&amp;""",d21p:"""&amp;CS165&amp;""",d22t:"""&amp;CT165&amp;""",d22p:"""&amp;CU165&amp;""",d23t:"""&amp;CV165&amp;""",d23p:"""&amp;CW165&amp;""",d2w:"""&amp;CX165&amp;""",d2d:"""&amp;CY165&amp;""", d31t:"""&amp;CZ165&amp;""",d31p:"""&amp;DA165&amp;""",d32t:"""&amp;DB165&amp;""",d32p:"""&amp;DC165&amp;""",d33t:"""&amp;DD165&amp;""",d33p:"""&amp;DE165&amp;""",d3w:"""&amp;DF165&amp;""",d3d:"""&amp;DG165&amp;"""}; "</f>
        <v>D6.scenario.defInput["i931"] = {  cons:"consCRsum",  title:"アイドリングストップ",  unit:"",  text:"長時間の停車でアイドリングストップをしていますか", inputType:"sel931", right:"", postfix:"", nodata:"", varType:"Number", min:"", max:"", defaultValue:"-1", d11t:"3",d11p:"0",d12t:"2",d12p:"1",d13t:"1",d13p:"2",d1w:"1",d1d:"0", d21t:"",d21p:"",d22t:"",d22p:"",d23t:"",d23p:"",d2w:"",d2d:"", d31t:"3",d31p:"0",d32t:"2",d32p:"1",d33t:"1",d33p:"2",d3w:"1",d3d:"0"}; </v>
      </c>
      <c r="DO165" s="110"/>
      <c r="DP165" s="110"/>
      <c r="DQ165" s="111" t="str">
        <f aca="false">"D6.scenario.defSelectValue["""&amp;U165&amp;"""]= [ """&amp;CLEAN(V165)&amp;""", """&amp;CLEAN(W165)&amp;IF(X165="","",""", """&amp;CLEAN(X165))&amp;IF(Y165="","",""", """&amp;CLEAN(Y165))&amp;IF(Z165="","",""", """&amp;CLEAN(Z165))&amp;IF(AA165="","",""", """&amp;CLEAN(AA165))&amp;IF(AB165="","",""", """&amp;CLEAN(AB165))&amp;IF(AC165="","",""", """&amp;CLEAN(AC165))&amp;IF(AD165="","",""", """&amp;CLEAN(AD165))&amp;IF(AE165="","",""", """&amp;CLEAN(AE165))&amp;IF(AF165="","",""", """&amp;CLEAN(AF165))&amp;IF(AG165="","",""", """&amp;CLEAN(AG165))&amp;IF(AH165="","",""", """&amp;CLEAN(AH165))&amp;IF(AI165="","",""", """&amp;CLEAN(AI165))&amp;IF(AJ165="","",""", """&amp;CLEAN(AJ165))&amp;IF(AK165="","",""", """&amp;CLEAN(AK165))&amp;""" ];"</f>
        <v>D6.scenario.defSelectValue["sel931"]= [ "選んで下さい", "いつもしている", "時々している", "していない" ];</v>
      </c>
      <c r="DR165" s="112"/>
      <c r="DS165" s="112"/>
      <c r="DT165" s="112" t="str">
        <f aca="false">"D6.scenario.defSelectData['"&amp;U165&amp;"']= [ '"&amp;BC165&amp;"', '"&amp;BD165&amp;"', '"&amp;BE165&amp;IF(BF165="","","', '"&amp;BF165)&amp;IF(BG165="","","', '"&amp;BG165)&amp;IF(BH165="","","', '"&amp;BH165)&amp;IF(BI165="","","', '"&amp;BI165)&amp;IF(BJ165="","","', '"&amp;BJ165)&amp;IF(BK165="","","', '"&amp;BK165)&amp;IF(BL165="","","', '"&amp;BL165)&amp;IF(BM165="","","', '"&amp;BM165)&amp;IF(BN165="","","', '"&amp;BN165)&amp;IF(BO165="","","', '"&amp;BO165)&amp;IF(BP165="","","', '"&amp;BP165)&amp;IF(BQ165="","","', '"&amp;BQ165)&amp;IF(BR165="","","', '"&amp;BR165)&amp;"' ];"</f>
        <v>D6.scenario.defSelectData['sel931']= [ '-1', '1', '2', '3' ];</v>
      </c>
    </row>
    <row r="166" s="88" customFormat="true" ht="43.5" hidden="false" customHeight="true" outlineLevel="0" collapsed="false">
      <c r="A166" s="66"/>
      <c r="B166" s="95" t="s">
        <v>1946</v>
      </c>
      <c r="C166" s="103" t="s">
        <v>1947</v>
      </c>
      <c r="D166" s="104" t="s">
        <v>1947</v>
      </c>
      <c r="E166" s="95" t="s">
        <v>279</v>
      </c>
      <c r="F166" s="103"/>
      <c r="G166" s="104"/>
      <c r="H166" s="103" t="s">
        <v>1948</v>
      </c>
      <c r="I166" s="104" t="s">
        <v>1948</v>
      </c>
      <c r="J166" s="103" t="str">
        <f aca="false">IF(K166="","",K166)</f>
        <v>sel932</v>
      </c>
      <c r="K166" s="104" t="str">
        <f aca="false">"sel"&amp;MID($B166,2,5)</f>
        <v>sel932</v>
      </c>
      <c r="L166" s="105"/>
      <c r="M166" s="105"/>
      <c r="N166" s="105"/>
      <c r="O166" s="95" t="s">
        <v>931</v>
      </c>
      <c r="P166" s="105"/>
      <c r="Q166" s="105"/>
      <c r="R166" s="95" t="n">
        <v>-1</v>
      </c>
      <c r="S166" s="66"/>
      <c r="U166" s="106" t="str">
        <f aca="false">J166</f>
        <v>sel932</v>
      </c>
      <c r="V166" s="103" t="s">
        <v>979</v>
      </c>
      <c r="W166" s="103" t="s">
        <v>1945</v>
      </c>
      <c r="X166" s="103" t="s">
        <v>1335</v>
      </c>
      <c r="Y166" s="103" t="s">
        <v>1098</v>
      </c>
      <c r="Z166" s="103"/>
      <c r="AA166" s="103"/>
      <c r="AB166" s="103"/>
      <c r="AC166" s="103"/>
      <c r="AD166" s="103"/>
      <c r="AE166" s="103"/>
      <c r="AF166" s="103"/>
      <c r="AG166" s="103"/>
      <c r="AH166" s="103"/>
      <c r="AI166" s="103"/>
      <c r="AJ166" s="103"/>
      <c r="AK166" s="103"/>
      <c r="AL166" s="104" t="s">
        <v>979</v>
      </c>
      <c r="AM166" s="107" t="s">
        <v>1945</v>
      </c>
      <c r="AN166" s="107" t="s">
        <v>1335</v>
      </c>
      <c r="AO166" s="107" t="s">
        <v>1098</v>
      </c>
      <c r="AP166" s="104"/>
      <c r="AQ166" s="104"/>
      <c r="AR166" s="104"/>
      <c r="AS166" s="104"/>
      <c r="AT166" s="104"/>
      <c r="AU166" s="104"/>
      <c r="AV166" s="104"/>
      <c r="AW166" s="104"/>
      <c r="AX166" s="104"/>
      <c r="AY166" s="104"/>
      <c r="AZ166" s="104"/>
      <c r="BA166" s="104"/>
      <c r="BB166" s="66"/>
      <c r="BC166" s="103" t="n">
        <v>-1</v>
      </c>
      <c r="BD166" s="103" t="n">
        <v>1</v>
      </c>
      <c r="BE166" s="103" t="n">
        <v>2</v>
      </c>
      <c r="BF166" s="103" t="n">
        <v>3</v>
      </c>
      <c r="BG166" s="103"/>
      <c r="BH166" s="103"/>
      <c r="BI166" s="103"/>
      <c r="BJ166" s="103"/>
      <c r="BK166" s="103"/>
      <c r="BL166" s="103"/>
      <c r="BM166" s="103"/>
      <c r="BN166" s="103"/>
      <c r="BO166" s="103"/>
      <c r="BP166" s="103"/>
      <c r="BQ166" s="103"/>
      <c r="BR166" s="103"/>
      <c r="BS166" s="104" t="n">
        <v>-1</v>
      </c>
      <c r="BT166" s="104" t="n">
        <v>1</v>
      </c>
      <c r="BU166" s="104" t="n">
        <v>2</v>
      </c>
      <c r="BV166" s="104" t="n">
        <v>3</v>
      </c>
      <c r="BW166" s="104"/>
      <c r="BX166" s="104"/>
      <c r="BY166" s="104"/>
      <c r="BZ166" s="104"/>
      <c r="CA166" s="104"/>
      <c r="CB166" s="104"/>
      <c r="CC166" s="104"/>
      <c r="CD166" s="104"/>
      <c r="CE166" s="104"/>
      <c r="CF166" s="104"/>
      <c r="CG166" s="104"/>
      <c r="CH166" s="104"/>
      <c r="CJ166" s="95"/>
      <c r="CK166" s="95"/>
      <c r="CL166" s="95"/>
      <c r="CM166" s="95"/>
      <c r="CN166" s="95"/>
      <c r="CO166" s="95"/>
      <c r="CP166" s="95"/>
      <c r="CQ166" s="95"/>
      <c r="CR166" s="95"/>
      <c r="CS166" s="95"/>
      <c r="CT166" s="95"/>
      <c r="CU166" s="95"/>
      <c r="CV166" s="95"/>
      <c r="CW166" s="95"/>
      <c r="CX166" s="95"/>
      <c r="CY166" s="95"/>
      <c r="CZ166" s="95" t="n">
        <v>3</v>
      </c>
      <c r="DA166" s="95" t="n">
        <v>0</v>
      </c>
      <c r="DB166" s="95" t="n">
        <v>2</v>
      </c>
      <c r="DC166" s="95" t="n">
        <v>1</v>
      </c>
      <c r="DD166" s="95" t="n">
        <v>1</v>
      </c>
      <c r="DE166" s="95" t="n">
        <v>2</v>
      </c>
      <c r="DF166" s="95" t="n">
        <v>1</v>
      </c>
      <c r="DG166" s="95" t="n">
        <v>0</v>
      </c>
      <c r="DL166" s="108"/>
      <c r="DM166" s="108"/>
      <c r="DN166" s="109" t="str">
        <f aca="false">"D6.scenario.defInput["""&amp;B166&amp;"""] = {  "&amp;E$2&amp;":"""&amp;E166&amp;""",  "&amp;C$2&amp;":"""&amp;CLEAN(SUBSTITUTE(C166,"""",""""))&amp;""",  "&amp;F$2&amp;":"""&amp;F166&amp;""",  "&amp;H$2&amp;":"""&amp;CLEAN(SUBSTITUTE(H166,"""",""""))&amp;""", "&amp;J$2&amp;":"""&amp;J166&amp;""", "&amp;L$2&amp;":"""&amp;L166&amp;""", "&amp;M$2&amp;":"""&amp;M166&amp;""", "&amp;N$2&amp;":"""&amp;N166&amp;""", "&amp;O$2&amp;":"""&amp;O166&amp;""", "&amp;P$2&amp;":"""&amp;P166&amp;""", "&amp;Q$2&amp;":"""&amp;Q166&amp;""", "&amp;R$2&amp;":"""&amp;R166&amp;""", d11t:"""&amp;CJ166&amp;""",d11p:"""&amp;CK166&amp;""",d12t:"""&amp;CL166&amp;""",d12p:"""&amp;CM166&amp;""",d13t:"""&amp;CN166&amp;""",d13p:"""&amp;CO166&amp;""",d1w:"""&amp;CP166&amp;""",d1d:"""&amp;CQ166&amp;""", d21t:"""&amp;CR166&amp;""",d21p:"""&amp;CS166&amp;""",d22t:"""&amp;CT166&amp;""",d22p:"""&amp;CU166&amp;""",d23t:"""&amp;CV166&amp;""",d23p:"""&amp;CW166&amp;""",d2w:"""&amp;CX166&amp;""",d2d:"""&amp;CY166&amp;""", d31t:"""&amp;CZ166&amp;""",d31p:"""&amp;DA166&amp;""",d32t:"""&amp;DB166&amp;""",d32p:"""&amp;DC166&amp;""",d33t:"""&amp;DD166&amp;""",d33p:"""&amp;DE166&amp;""",d3w:"""&amp;DF166&amp;""",d3d:"""&amp;DG166&amp;"""}; "</f>
        <v>D6.scenario.defInput["i932"] = {  cons:"consCRsum",  title:"急加速や急発進",  unit:"",  text:"急加速や急発進をしないようにしていますか", inputType:"sel932", right:"", postfix:"", nodata:"", varType:"Number", min:"", max:"", defaultValue:"-1", d11t:"",d11p:"",d12t:"",d12p:"",d13t:"",d13p:"",d1w:"",d1d:"", d21t:"",d21p:"",d22t:"",d22p:"",d23t:"",d23p:"",d2w:"",d2d:"", d31t:"3",d31p:"0",d32t:"2",d32p:"1",d33t:"1",d33p:"2",d3w:"1",d3d:"0"}; </v>
      </c>
      <c r="DO166" s="110"/>
      <c r="DP166" s="110"/>
      <c r="DQ166" s="111" t="str">
        <f aca="false">"D6.scenario.defSelectValue["""&amp;U166&amp;"""]= [ """&amp;CLEAN(V166)&amp;""", """&amp;CLEAN(W166)&amp;IF(X166="","",""", """&amp;CLEAN(X166))&amp;IF(Y166="","",""", """&amp;CLEAN(Y166))&amp;IF(Z166="","",""", """&amp;CLEAN(Z166))&amp;IF(AA166="","",""", """&amp;CLEAN(AA166))&amp;IF(AB166="","",""", """&amp;CLEAN(AB166))&amp;IF(AC166="","",""", """&amp;CLEAN(AC166))&amp;IF(AD166="","",""", """&amp;CLEAN(AD166))&amp;IF(AE166="","",""", """&amp;CLEAN(AE166))&amp;IF(AF166="","",""", """&amp;CLEAN(AF166))&amp;IF(AG166="","",""", """&amp;CLEAN(AG166))&amp;IF(AH166="","",""", """&amp;CLEAN(AH166))&amp;IF(AI166="","",""", """&amp;CLEAN(AI166))&amp;IF(AJ166="","",""", """&amp;CLEAN(AJ166))&amp;IF(AK166="","",""", """&amp;CLEAN(AK166))&amp;""" ];"</f>
        <v>D6.scenario.defSelectValue["sel932"]= [ "選んで下さい", "いつもしている", "時々している", "していない" ];</v>
      </c>
      <c r="DR166" s="112"/>
      <c r="DS166" s="112"/>
      <c r="DT166" s="112" t="str">
        <f aca="false">"D6.scenario.defSelectData['"&amp;U166&amp;"']= [ '"&amp;BC166&amp;"', '"&amp;BD166&amp;"', '"&amp;BE166&amp;IF(BF166="","","', '"&amp;BF166)&amp;IF(BG166="","","', '"&amp;BG166)&amp;IF(BH166="","","', '"&amp;BH166)&amp;IF(BI166="","","', '"&amp;BI166)&amp;IF(BJ166="","","', '"&amp;BJ166)&amp;IF(BK166="","","', '"&amp;BK166)&amp;IF(BL166="","","', '"&amp;BL166)&amp;IF(BM166="","","', '"&amp;BM166)&amp;IF(BN166="","","', '"&amp;BN166)&amp;IF(BO166="","","', '"&amp;BO166)&amp;IF(BP166="","","', '"&amp;BP166)&amp;IF(BQ166="","","', '"&amp;BQ166)&amp;IF(BR166="","","', '"&amp;BR166)&amp;"' ];"</f>
        <v>D6.scenario.defSelectData['sel932']= [ '-1', '1', '2', '3' ];</v>
      </c>
    </row>
    <row r="167" s="88" customFormat="true" ht="43.5" hidden="false" customHeight="true" outlineLevel="0" collapsed="false">
      <c r="A167" s="66"/>
      <c r="B167" s="95" t="s">
        <v>1949</v>
      </c>
      <c r="C167" s="103" t="s">
        <v>1950</v>
      </c>
      <c r="D167" s="104" t="s">
        <v>1950</v>
      </c>
      <c r="E167" s="95" t="s">
        <v>279</v>
      </c>
      <c r="F167" s="103"/>
      <c r="G167" s="104"/>
      <c r="H167" s="103" t="s">
        <v>1951</v>
      </c>
      <c r="I167" s="104" t="s">
        <v>1950</v>
      </c>
      <c r="J167" s="103" t="str">
        <f aca="false">IF(K167="","",K167)</f>
        <v>sel933</v>
      </c>
      <c r="K167" s="104" t="str">
        <f aca="false">"sel"&amp;MID($B167,2,5)</f>
        <v>sel933</v>
      </c>
      <c r="L167" s="105"/>
      <c r="M167" s="105"/>
      <c r="N167" s="105"/>
      <c r="O167" s="95" t="s">
        <v>931</v>
      </c>
      <c r="P167" s="105"/>
      <c r="Q167" s="105"/>
      <c r="R167" s="95" t="n">
        <v>-1</v>
      </c>
      <c r="S167" s="66"/>
      <c r="U167" s="106" t="str">
        <f aca="false">J167</f>
        <v>sel933</v>
      </c>
      <c r="V167" s="103" t="s">
        <v>979</v>
      </c>
      <c r="W167" s="103" t="s">
        <v>1945</v>
      </c>
      <c r="X167" s="103" t="s">
        <v>1335</v>
      </c>
      <c r="Y167" s="103" t="s">
        <v>1098</v>
      </c>
      <c r="Z167" s="103"/>
      <c r="AA167" s="103"/>
      <c r="AB167" s="103"/>
      <c r="AC167" s="103"/>
      <c r="AD167" s="103"/>
      <c r="AE167" s="103"/>
      <c r="AF167" s="103"/>
      <c r="AG167" s="103"/>
      <c r="AH167" s="103"/>
      <c r="AI167" s="103"/>
      <c r="AJ167" s="103"/>
      <c r="AK167" s="103"/>
      <c r="AL167" s="104" t="s">
        <v>979</v>
      </c>
      <c r="AM167" s="107" t="s">
        <v>1945</v>
      </c>
      <c r="AN167" s="107" t="s">
        <v>1335</v>
      </c>
      <c r="AO167" s="107" t="s">
        <v>1098</v>
      </c>
      <c r="AP167" s="104"/>
      <c r="AQ167" s="104"/>
      <c r="AR167" s="104"/>
      <c r="AS167" s="104"/>
      <c r="AT167" s="104"/>
      <c r="AU167" s="104"/>
      <c r="AV167" s="104"/>
      <c r="AW167" s="104"/>
      <c r="AX167" s="104"/>
      <c r="AY167" s="104"/>
      <c r="AZ167" s="104"/>
      <c r="BA167" s="104"/>
      <c r="BB167" s="66"/>
      <c r="BC167" s="103" t="n">
        <v>-1</v>
      </c>
      <c r="BD167" s="103" t="n">
        <v>1</v>
      </c>
      <c r="BE167" s="103" t="n">
        <v>2</v>
      </c>
      <c r="BF167" s="103" t="n">
        <v>3</v>
      </c>
      <c r="BG167" s="103"/>
      <c r="BH167" s="103"/>
      <c r="BI167" s="103"/>
      <c r="BJ167" s="103"/>
      <c r="BK167" s="103"/>
      <c r="BL167" s="103"/>
      <c r="BM167" s="103"/>
      <c r="BN167" s="103"/>
      <c r="BO167" s="103"/>
      <c r="BP167" s="103"/>
      <c r="BQ167" s="103"/>
      <c r="BR167" s="103"/>
      <c r="BS167" s="104" t="n">
        <v>-1</v>
      </c>
      <c r="BT167" s="104" t="n">
        <v>1</v>
      </c>
      <c r="BU167" s="104" t="n">
        <v>2</v>
      </c>
      <c r="BV167" s="104" t="n">
        <v>3</v>
      </c>
      <c r="BW167" s="104"/>
      <c r="BX167" s="104"/>
      <c r="BY167" s="104"/>
      <c r="BZ167" s="104"/>
      <c r="CA167" s="104"/>
      <c r="CB167" s="104"/>
      <c r="CC167" s="104"/>
      <c r="CD167" s="104"/>
      <c r="CE167" s="104"/>
      <c r="CF167" s="104"/>
      <c r="CG167" s="104"/>
      <c r="CH167" s="104"/>
      <c r="CJ167" s="95"/>
      <c r="CK167" s="95"/>
      <c r="CL167" s="95"/>
      <c r="CM167" s="95"/>
      <c r="CN167" s="95"/>
      <c r="CO167" s="95"/>
      <c r="CP167" s="95"/>
      <c r="CQ167" s="95"/>
      <c r="CR167" s="95"/>
      <c r="CS167" s="95"/>
      <c r="CT167" s="95"/>
      <c r="CU167" s="95"/>
      <c r="CV167" s="95"/>
      <c r="CW167" s="95"/>
      <c r="CX167" s="95"/>
      <c r="CY167" s="95"/>
      <c r="CZ167" s="95" t="n">
        <v>3</v>
      </c>
      <c r="DA167" s="95" t="n">
        <v>0</v>
      </c>
      <c r="DB167" s="95" t="n">
        <v>2</v>
      </c>
      <c r="DC167" s="95" t="n">
        <v>1</v>
      </c>
      <c r="DD167" s="95" t="n">
        <v>1</v>
      </c>
      <c r="DE167" s="95" t="n">
        <v>2</v>
      </c>
      <c r="DF167" s="95" t="n">
        <v>1</v>
      </c>
      <c r="DG167" s="95" t="n">
        <v>0</v>
      </c>
      <c r="DL167" s="108"/>
      <c r="DM167" s="108"/>
      <c r="DN167" s="109" t="str">
        <f aca="false">"D6.scenario.defInput["""&amp;B167&amp;"""] = {  "&amp;E$2&amp;":"""&amp;E167&amp;""",  "&amp;C$2&amp;":"""&amp;CLEAN(SUBSTITUTE(C167,"""",""""))&amp;""",  "&amp;F$2&amp;":"""&amp;F167&amp;""",  "&amp;H$2&amp;":"""&amp;CLEAN(SUBSTITUTE(H167,"""",""""))&amp;""", "&amp;J$2&amp;":"""&amp;J167&amp;""", "&amp;L$2&amp;":"""&amp;L167&amp;""", "&amp;M$2&amp;":"""&amp;M167&amp;""", "&amp;N$2&amp;":"""&amp;N167&amp;""", "&amp;O$2&amp;":"""&amp;O167&amp;""", "&amp;P$2&amp;":"""&amp;P167&amp;""", "&amp;Q$2&amp;":"""&amp;Q167&amp;""", "&amp;R$2&amp;":"""&amp;R167&amp;""", d11t:"""&amp;CJ167&amp;""",d11p:"""&amp;CK167&amp;""",d12t:"""&amp;CL167&amp;""",d12p:"""&amp;CM167&amp;""",d13t:"""&amp;CN167&amp;""",d13p:"""&amp;CO167&amp;""",d1w:"""&amp;CP167&amp;""",d1d:"""&amp;CQ167&amp;""", d21t:"""&amp;CR167&amp;""",d21p:"""&amp;CS167&amp;""",d22t:"""&amp;CT167&amp;""",d22p:"""&amp;CU167&amp;""",d23t:"""&amp;CV167&amp;""",d23p:"""&amp;CW167&amp;""",d2w:"""&amp;CX167&amp;""",d2d:"""&amp;CY167&amp;""", d31t:"""&amp;CZ167&amp;""",d31p:"""&amp;DA167&amp;""",d32t:"""&amp;DB167&amp;""",d32p:"""&amp;DC167&amp;""",d33t:"""&amp;DD167&amp;""",d33p:"""&amp;DE167&amp;""",d3w:"""&amp;DF167&amp;""",d3d:"""&amp;DG167&amp;"""}; "</f>
        <v>D6.scenario.defInput["i933"] = {  cons:"consCRsum",  title:"加減速の少ない運転",  unit:"",  text:"加減速の少ない運転をしていますか", inputType:"sel933", right:"", postfix:"", nodata:"", varType:"Number", min:"", max:"", defaultValue:"-1", d11t:"",d11p:"",d12t:"",d12p:"",d13t:"",d13p:"",d1w:"",d1d:"", d21t:"",d21p:"",d22t:"",d22p:"",d23t:"",d23p:"",d2w:"",d2d:"", d31t:"3",d31p:"0",d32t:"2",d32p:"1",d33t:"1",d33p:"2",d3w:"1",d3d:"0"}; </v>
      </c>
      <c r="DO167" s="110"/>
      <c r="DP167" s="110"/>
      <c r="DQ167" s="111" t="str">
        <f aca="false">"D6.scenario.defSelectValue["""&amp;U167&amp;"""]= [ """&amp;CLEAN(V167)&amp;""", """&amp;CLEAN(W167)&amp;IF(X167="","",""", """&amp;CLEAN(X167))&amp;IF(Y167="","",""", """&amp;CLEAN(Y167))&amp;IF(Z167="","",""", """&amp;CLEAN(Z167))&amp;IF(AA167="","",""", """&amp;CLEAN(AA167))&amp;IF(AB167="","",""", """&amp;CLEAN(AB167))&amp;IF(AC167="","",""", """&amp;CLEAN(AC167))&amp;IF(AD167="","",""", """&amp;CLEAN(AD167))&amp;IF(AE167="","",""", """&amp;CLEAN(AE167))&amp;IF(AF167="","",""", """&amp;CLEAN(AF167))&amp;IF(AG167="","",""", """&amp;CLEAN(AG167))&amp;IF(AH167="","",""", """&amp;CLEAN(AH167))&amp;IF(AI167="","",""", """&amp;CLEAN(AI167))&amp;IF(AJ167="","",""", """&amp;CLEAN(AJ167))&amp;IF(AK167="","",""", """&amp;CLEAN(AK167))&amp;""" ];"</f>
        <v>D6.scenario.defSelectValue["sel933"]= [ "選んで下さい", "いつもしている", "時々している", "していない" ];</v>
      </c>
      <c r="DR167" s="112"/>
      <c r="DS167" s="112"/>
      <c r="DT167" s="112" t="str">
        <f aca="false">"D6.scenario.defSelectData['"&amp;U167&amp;"']= [ '"&amp;BC167&amp;"', '"&amp;BD167&amp;"', '"&amp;BE167&amp;IF(BF167="","","', '"&amp;BF167)&amp;IF(BG167="","","', '"&amp;BG167)&amp;IF(BH167="","","', '"&amp;BH167)&amp;IF(BI167="","","', '"&amp;BI167)&amp;IF(BJ167="","","', '"&amp;BJ167)&amp;IF(BK167="","","', '"&amp;BK167)&amp;IF(BL167="","","', '"&amp;BL167)&amp;IF(BM167="","","', '"&amp;BM167)&amp;IF(BN167="","","', '"&amp;BN167)&amp;IF(BO167="","","', '"&amp;BO167)&amp;IF(BP167="","","', '"&amp;BP167)&amp;IF(BQ167="","","', '"&amp;BQ167)&amp;IF(BR167="","","', '"&amp;BR167)&amp;"' ];"</f>
        <v>D6.scenario.defSelectData['sel933']= [ '-1', '1', '2', '3' ];</v>
      </c>
    </row>
    <row r="168" s="88" customFormat="true" ht="43.5" hidden="false" customHeight="true" outlineLevel="0" collapsed="false">
      <c r="A168" s="66"/>
      <c r="B168" s="95" t="s">
        <v>1952</v>
      </c>
      <c r="C168" s="103" t="s">
        <v>1953</v>
      </c>
      <c r="D168" s="104" t="s">
        <v>1953</v>
      </c>
      <c r="E168" s="95" t="s">
        <v>279</v>
      </c>
      <c r="F168" s="103"/>
      <c r="G168" s="104"/>
      <c r="H168" s="103" t="s">
        <v>1954</v>
      </c>
      <c r="I168" s="104" t="s">
        <v>1953</v>
      </c>
      <c r="J168" s="103" t="str">
        <f aca="false">IF(K168="","",K168)</f>
        <v>sel934</v>
      </c>
      <c r="K168" s="104" t="str">
        <f aca="false">"sel"&amp;MID($B168,2,5)</f>
        <v>sel934</v>
      </c>
      <c r="L168" s="105"/>
      <c r="M168" s="105"/>
      <c r="N168" s="105"/>
      <c r="O168" s="95" t="s">
        <v>931</v>
      </c>
      <c r="P168" s="105"/>
      <c r="Q168" s="105"/>
      <c r="R168" s="95" t="n">
        <v>-1</v>
      </c>
      <c r="S168" s="66"/>
      <c r="U168" s="106" t="str">
        <f aca="false">J168</f>
        <v>sel934</v>
      </c>
      <c r="V168" s="103" t="s">
        <v>979</v>
      </c>
      <c r="W168" s="103" t="s">
        <v>1945</v>
      </c>
      <c r="X168" s="103" t="s">
        <v>1335</v>
      </c>
      <c r="Y168" s="103" t="s">
        <v>1098</v>
      </c>
      <c r="Z168" s="103"/>
      <c r="AA168" s="103"/>
      <c r="AB168" s="103"/>
      <c r="AC168" s="103"/>
      <c r="AD168" s="103"/>
      <c r="AE168" s="103"/>
      <c r="AF168" s="103"/>
      <c r="AG168" s="103"/>
      <c r="AH168" s="103"/>
      <c r="AI168" s="103"/>
      <c r="AJ168" s="103"/>
      <c r="AK168" s="103"/>
      <c r="AL168" s="104" t="s">
        <v>979</v>
      </c>
      <c r="AM168" s="107" t="s">
        <v>1945</v>
      </c>
      <c r="AN168" s="107" t="s">
        <v>1335</v>
      </c>
      <c r="AO168" s="107" t="s">
        <v>1098</v>
      </c>
      <c r="AP168" s="104"/>
      <c r="AQ168" s="104"/>
      <c r="AR168" s="104"/>
      <c r="AS168" s="104"/>
      <c r="AT168" s="104"/>
      <c r="AU168" s="104"/>
      <c r="AV168" s="104"/>
      <c r="AW168" s="104"/>
      <c r="AX168" s="104"/>
      <c r="AY168" s="104"/>
      <c r="AZ168" s="104"/>
      <c r="BA168" s="104"/>
      <c r="BB168" s="66"/>
      <c r="BC168" s="103" t="n">
        <v>-1</v>
      </c>
      <c r="BD168" s="103" t="n">
        <v>1</v>
      </c>
      <c r="BE168" s="103" t="n">
        <v>2</v>
      </c>
      <c r="BF168" s="103" t="n">
        <v>3</v>
      </c>
      <c r="BG168" s="103"/>
      <c r="BH168" s="103"/>
      <c r="BI168" s="103"/>
      <c r="BJ168" s="103"/>
      <c r="BK168" s="103"/>
      <c r="BL168" s="103"/>
      <c r="BM168" s="103"/>
      <c r="BN168" s="103"/>
      <c r="BO168" s="103"/>
      <c r="BP168" s="103"/>
      <c r="BQ168" s="103"/>
      <c r="BR168" s="103"/>
      <c r="BS168" s="104" t="n">
        <v>-1</v>
      </c>
      <c r="BT168" s="104" t="n">
        <v>1</v>
      </c>
      <c r="BU168" s="104" t="n">
        <v>2</v>
      </c>
      <c r="BV168" s="104" t="n">
        <v>3</v>
      </c>
      <c r="BW168" s="104"/>
      <c r="BX168" s="104"/>
      <c r="BY168" s="104"/>
      <c r="BZ168" s="104"/>
      <c r="CA168" s="104"/>
      <c r="CB168" s="104"/>
      <c r="CC168" s="104"/>
      <c r="CD168" s="104"/>
      <c r="CE168" s="104"/>
      <c r="CF168" s="104"/>
      <c r="CG168" s="104"/>
      <c r="CH168" s="104"/>
      <c r="CJ168" s="95"/>
      <c r="CK168" s="95"/>
      <c r="CL168" s="95"/>
      <c r="CM168" s="95"/>
      <c r="CN168" s="95"/>
      <c r="CO168" s="95"/>
      <c r="CP168" s="95"/>
      <c r="CQ168" s="95"/>
      <c r="CR168" s="95"/>
      <c r="CS168" s="95"/>
      <c r="CT168" s="95"/>
      <c r="CU168" s="95"/>
      <c r="CV168" s="95"/>
      <c r="CW168" s="95"/>
      <c r="CX168" s="95"/>
      <c r="CY168" s="95"/>
      <c r="CZ168" s="95"/>
      <c r="DA168" s="95"/>
      <c r="DB168" s="95"/>
      <c r="DC168" s="95"/>
      <c r="DD168" s="95"/>
      <c r="DE168" s="95"/>
      <c r="DF168" s="95"/>
      <c r="DG168" s="95"/>
      <c r="DL168" s="108"/>
      <c r="DM168" s="108"/>
      <c r="DN168" s="109" t="str">
        <f aca="false">"D6.scenario.defInput["""&amp;B168&amp;"""] = {  "&amp;E$2&amp;":"""&amp;E168&amp;""",  "&amp;C$2&amp;":"""&amp;CLEAN(SUBSTITUTE(C168,"""",""""))&amp;""",  "&amp;F$2&amp;":"""&amp;F168&amp;""",  "&amp;H$2&amp;":"""&amp;CLEAN(SUBSTITUTE(H168,"""",""""))&amp;""", "&amp;J$2&amp;":"""&amp;J168&amp;""", "&amp;L$2&amp;":"""&amp;L168&amp;""", "&amp;M$2&amp;":"""&amp;M168&amp;""", "&amp;N$2&amp;":"""&amp;N168&amp;""", "&amp;O$2&amp;":"""&amp;O168&amp;""", "&amp;P$2&amp;":"""&amp;P168&amp;""", "&amp;Q$2&amp;":"""&amp;Q168&amp;""", "&amp;R$2&amp;":"""&amp;R168&amp;""", d11t:"""&amp;CJ168&amp;""",d11p:"""&amp;CK168&amp;""",d12t:"""&amp;CL168&amp;""",d12p:"""&amp;CM168&amp;""",d13t:"""&amp;CN168&amp;""",d13p:"""&amp;CO168&amp;""",d1w:"""&amp;CP168&amp;""",d1d:"""&amp;CQ168&amp;""", d21t:"""&amp;CR168&amp;""",d21p:"""&amp;CS168&amp;""",d22t:"""&amp;CT168&amp;""",d22p:"""&amp;CU168&amp;""",d23t:"""&amp;CV168&amp;""",d23p:"""&amp;CW168&amp;""",d2w:"""&amp;CX168&amp;""",d2d:"""&amp;CY168&amp;""", d31t:"""&amp;CZ168&amp;""",d31p:"""&amp;DA168&amp;""",d32t:"""&amp;DB168&amp;""",d32p:"""&amp;DC168&amp;""",d33t:"""&amp;DD168&amp;""",d33p:"""&amp;DE168&amp;""",d3w:"""&amp;DF168&amp;""",d3d:"""&amp;DG168&amp;"""}; "</f>
        <v>D6.scenario.defInput["i934"] = {  cons:"consCRsum",  title:"早めのアクセルオフ",  unit:"",  text:"早めのアクセルオフをしていますか", inputType:"sel934", right:"", postfix:"", nodata:"", varType:"Number", min:"", max:"", defaultValue:"-1", d11t:"",d11p:"",d12t:"",d12p:"",d13t:"",d13p:"",d1w:"",d1d:"", d21t:"",d21p:"",d22t:"",d22p:"",d23t:"",d23p:"",d2w:"",d2d:"", d31t:"",d31p:"",d32t:"",d32p:"",d33t:"",d33p:"",d3w:"",d3d:""}; </v>
      </c>
      <c r="DO168" s="110"/>
      <c r="DP168" s="110"/>
      <c r="DQ168" s="111" t="str">
        <f aca="false">"D6.scenario.defSelectValue["""&amp;U168&amp;"""]= [ """&amp;CLEAN(V168)&amp;""", """&amp;CLEAN(W168)&amp;IF(X168="","",""", """&amp;CLEAN(X168))&amp;IF(Y168="","",""", """&amp;CLEAN(Y168))&amp;IF(Z168="","",""", """&amp;CLEAN(Z168))&amp;IF(AA168="","",""", """&amp;CLEAN(AA168))&amp;IF(AB168="","",""", """&amp;CLEAN(AB168))&amp;IF(AC168="","",""", """&amp;CLEAN(AC168))&amp;IF(AD168="","",""", """&amp;CLEAN(AD168))&amp;IF(AE168="","",""", """&amp;CLEAN(AE168))&amp;IF(AF168="","",""", """&amp;CLEAN(AF168))&amp;IF(AG168="","",""", """&amp;CLEAN(AG168))&amp;IF(AH168="","",""", """&amp;CLEAN(AH168))&amp;IF(AI168="","",""", """&amp;CLEAN(AI168))&amp;IF(AJ168="","",""", """&amp;CLEAN(AJ168))&amp;IF(AK168="","",""", """&amp;CLEAN(AK168))&amp;""" ];"</f>
        <v>D6.scenario.defSelectValue["sel934"]= [ "選んで下さい", "いつもしている", "時々している", "していない" ];</v>
      </c>
      <c r="DR168" s="112"/>
      <c r="DS168" s="112"/>
      <c r="DT168" s="112" t="str">
        <f aca="false">"D6.scenario.defSelectData['"&amp;U168&amp;"']= [ '"&amp;BC168&amp;"', '"&amp;BD168&amp;"', '"&amp;BE168&amp;IF(BF168="","","', '"&amp;BF168)&amp;IF(BG168="","","', '"&amp;BG168)&amp;IF(BH168="","","', '"&amp;BH168)&amp;IF(BI168="","","', '"&amp;BI168)&amp;IF(BJ168="","","', '"&amp;BJ168)&amp;IF(BK168="","","', '"&amp;BK168)&amp;IF(BL168="","","', '"&amp;BL168)&amp;IF(BM168="","","', '"&amp;BM168)&amp;IF(BN168="","","', '"&amp;BN168)&amp;IF(BO168="","","', '"&amp;BO168)&amp;IF(BP168="","","', '"&amp;BP168)&amp;IF(BQ168="","","', '"&amp;BQ168)&amp;IF(BR168="","","', '"&amp;BR168)&amp;"' ];"</f>
        <v>D6.scenario.defSelectData['sel934']= [ '-1', '1', '2', '3' ];</v>
      </c>
    </row>
    <row r="169" s="88" customFormat="true" ht="43.5" hidden="false" customHeight="true" outlineLevel="0" collapsed="false">
      <c r="A169" s="66"/>
      <c r="B169" s="95" t="s">
        <v>1955</v>
      </c>
      <c r="C169" s="103" t="s">
        <v>1956</v>
      </c>
      <c r="D169" s="104" t="s">
        <v>1956</v>
      </c>
      <c r="E169" s="95" t="s">
        <v>279</v>
      </c>
      <c r="F169" s="103"/>
      <c r="G169" s="104"/>
      <c r="H169" s="103" t="s">
        <v>1957</v>
      </c>
      <c r="I169" s="104" t="s">
        <v>1956</v>
      </c>
      <c r="J169" s="103" t="str">
        <f aca="false">IF(K169="","",K169)</f>
        <v>sel935</v>
      </c>
      <c r="K169" s="104" t="str">
        <f aca="false">"sel"&amp;MID($B169,2,5)</f>
        <v>sel935</v>
      </c>
      <c r="L169" s="105"/>
      <c r="M169" s="105"/>
      <c r="N169" s="105"/>
      <c r="O169" s="95" t="s">
        <v>931</v>
      </c>
      <c r="P169" s="105"/>
      <c r="Q169" s="105"/>
      <c r="R169" s="95" t="n">
        <v>-1</v>
      </c>
      <c r="S169" s="66"/>
      <c r="U169" s="106" t="str">
        <f aca="false">J169</f>
        <v>sel935</v>
      </c>
      <c r="V169" s="103" t="s">
        <v>979</v>
      </c>
      <c r="W169" s="103" t="s">
        <v>1945</v>
      </c>
      <c r="X169" s="103" t="s">
        <v>1335</v>
      </c>
      <c r="Y169" s="103" t="s">
        <v>1098</v>
      </c>
      <c r="Z169" s="103"/>
      <c r="AA169" s="103"/>
      <c r="AB169" s="103"/>
      <c r="AC169" s="103"/>
      <c r="AD169" s="103"/>
      <c r="AE169" s="103"/>
      <c r="AF169" s="103"/>
      <c r="AG169" s="103"/>
      <c r="AH169" s="103"/>
      <c r="AI169" s="103"/>
      <c r="AJ169" s="103"/>
      <c r="AK169" s="103"/>
      <c r="AL169" s="104" t="s">
        <v>979</v>
      </c>
      <c r="AM169" s="107" t="s">
        <v>1945</v>
      </c>
      <c r="AN169" s="107" t="s">
        <v>1335</v>
      </c>
      <c r="AO169" s="107" t="s">
        <v>1098</v>
      </c>
      <c r="AP169" s="104"/>
      <c r="AQ169" s="104"/>
      <c r="AR169" s="104"/>
      <c r="AS169" s="104"/>
      <c r="AT169" s="104"/>
      <c r="AU169" s="104"/>
      <c r="AV169" s="104"/>
      <c r="AW169" s="104"/>
      <c r="AX169" s="104"/>
      <c r="AY169" s="104"/>
      <c r="AZ169" s="104"/>
      <c r="BA169" s="104"/>
      <c r="BB169" s="66"/>
      <c r="BC169" s="103" t="n">
        <v>-1</v>
      </c>
      <c r="BD169" s="103" t="n">
        <v>1</v>
      </c>
      <c r="BE169" s="103" t="n">
        <v>2</v>
      </c>
      <c r="BF169" s="103" t="n">
        <v>3</v>
      </c>
      <c r="BG169" s="103"/>
      <c r="BH169" s="103"/>
      <c r="BI169" s="103"/>
      <c r="BJ169" s="103"/>
      <c r="BK169" s="103"/>
      <c r="BL169" s="103"/>
      <c r="BM169" s="103"/>
      <c r="BN169" s="103"/>
      <c r="BO169" s="103"/>
      <c r="BP169" s="103"/>
      <c r="BQ169" s="103"/>
      <c r="BR169" s="103"/>
      <c r="BS169" s="104" t="n">
        <v>-1</v>
      </c>
      <c r="BT169" s="104" t="n">
        <v>1</v>
      </c>
      <c r="BU169" s="104" t="n">
        <v>2</v>
      </c>
      <c r="BV169" s="104" t="n">
        <v>3</v>
      </c>
      <c r="BW169" s="104"/>
      <c r="BX169" s="104"/>
      <c r="BY169" s="104"/>
      <c r="BZ169" s="104"/>
      <c r="CA169" s="104"/>
      <c r="CB169" s="104"/>
      <c r="CC169" s="104"/>
      <c r="CD169" s="104"/>
      <c r="CE169" s="104"/>
      <c r="CF169" s="104"/>
      <c r="CG169" s="104"/>
      <c r="CH169" s="104"/>
      <c r="CJ169" s="95"/>
      <c r="CK169" s="95"/>
      <c r="CL169" s="95"/>
      <c r="CM169" s="95"/>
      <c r="CN169" s="95"/>
      <c r="CO169" s="95"/>
      <c r="CP169" s="95"/>
      <c r="CQ169" s="95"/>
      <c r="CR169" s="95"/>
      <c r="CS169" s="95"/>
      <c r="CT169" s="95"/>
      <c r="CU169" s="95"/>
      <c r="CV169" s="95"/>
      <c r="CW169" s="95"/>
      <c r="CX169" s="95"/>
      <c r="CY169" s="95"/>
      <c r="CZ169" s="95" t="n">
        <v>3</v>
      </c>
      <c r="DA169" s="95" t="n">
        <v>0</v>
      </c>
      <c r="DB169" s="95" t="n">
        <v>2</v>
      </c>
      <c r="DC169" s="95" t="n">
        <v>1</v>
      </c>
      <c r="DD169" s="95" t="n">
        <v>1</v>
      </c>
      <c r="DE169" s="95" t="n">
        <v>2</v>
      </c>
      <c r="DF169" s="95" t="n">
        <v>1</v>
      </c>
      <c r="DG169" s="95" t="n">
        <v>0</v>
      </c>
      <c r="DL169" s="108"/>
      <c r="DM169" s="108"/>
      <c r="DN169" s="109" t="str">
        <f aca="false">"D6.scenario.defInput["""&amp;B169&amp;"""] = {  "&amp;E$2&amp;":"""&amp;E169&amp;""",  "&amp;C$2&amp;":"""&amp;CLEAN(SUBSTITUTE(C169,"""",""""))&amp;""",  "&amp;F$2&amp;":"""&amp;F169&amp;""",  "&amp;H$2&amp;":"""&amp;CLEAN(SUBSTITUTE(H169,"""",""""))&amp;""", "&amp;J$2&amp;":"""&amp;J169&amp;""", "&amp;L$2&amp;":"""&amp;L169&amp;""", "&amp;M$2&amp;":"""&amp;M169&amp;""", "&amp;N$2&amp;":"""&amp;N169&amp;""", "&amp;O$2&amp;":"""&amp;O169&amp;""", "&amp;P$2&amp;":"""&amp;P169&amp;""", "&amp;Q$2&amp;":"""&amp;Q169&amp;""", "&amp;R$2&amp;":"""&amp;R169&amp;""", d11t:"""&amp;CJ169&amp;""",d11p:"""&amp;CK169&amp;""",d12t:"""&amp;CL169&amp;""",d12p:"""&amp;CM169&amp;""",d13t:"""&amp;CN169&amp;""",d13p:"""&amp;CO169&amp;""",d1w:"""&amp;CP169&amp;""",d1d:"""&amp;CQ169&amp;""", d21t:"""&amp;CR169&amp;""",d21p:"""&amp;CS169&amp;""",d22t:"""&amp;CT169&amp;""",d22p:"""&amp;CU169&amp;""",d23t:"""&amp;CV169&amp;""",d23p:"""&amp;CW169&amp;""",d2w:"""&amp;CX169&amp;""",d2d:"""&amp;CY169&amp;""", d31t:"""&amp;CZ169&amp;""",d31p:"""&amp;DA169&amp;""",d32t:"""&amp;DB169&amp;""",d32p:"""&amp;DC169&amp;""",d33t:"""&amp;DD169&amp;""",d33p:"""&amp;DE169&amp;""",d3w:"""&amp;DF169&amp;""",d3d:"""&amp;DG169&amp;"""}; "</f>
        <v>D6.scenario.defInput["i935"] = {  cons:"consCRsum",  title:"道路交通情報の活用",  unit:"",  text:"道路交通情報の活用をしていますか", inputType:"sel935", right:"", postfix:"", nodata:"", varType:"Number", min:"", max:"", defaultValue:"-1", d11t:"",d11p:"",d12t:"",d12p:"",d13t:"",d13p:"",d1w:"",d1d:"", d21t:"",d21p:"",d22t:"",d22p:"",d23t:"",d23p:"",d2w:"",d2d:"", d31t:"3",d31p:"0",d32t:"2",d32p:"1",d33t:"1",d33p:"2",d3w:"1",d3d:"0"}; </v>
      </c>
      <c r="DO169" s="110"/>
      <c r="DP169" s="110"/>
      <c r="DQ169" s="111" t="str">
        <f aca="false">"D6.scenario.defSelectValue["""&amp;U169&amp;"""]= [ """&amp;CLEAN(V169)&amp;""", """&amp;CLEAN(W169)&amp;IF(X169="","",""", """&amp;CLEAN(X169))&amp;IF(Y169="","",""", """&amp;CLEAN(Y169))&amp;IF(Z169="","",""", """&amp;CLEAN(Z169))&amp;IF(AA169="","",""", """&amp;CLEAN(AA169))&amp;IF(AB169="","",""", """&amp;CLEAN(AB169))&amp;IF(AC169="","",""", """&amp;CLEAN(AC169))&amp;IF(AD169="","",""", """&amp;CLEAN(AD169))&amp;IF(AE169="","",""", """&amp;CLEAN(AE169))&amp;IF(AF169="","",""", """&amp;CLEAN(AF169))&amp;IF(AG169="","",""", """&amp;CLEAN(AG169))&amp;IF(AH169="","",""", """&amp;CLEAN(AH169))&amp;IF(AI169="","",""", """&amp;CLEAN(AI169))&amp;IF(AJ169="","",""", """&amp;CLEAN(AJ169))&amp;IF(AK169="","",""", """&amp;CLEAN(AK169))&amp;""" ];"</f>
        <v>D6.scenario.defSelectValue["sel935"]= [ "選んで下さい", "いつもしている", "時々している", "していない" ];</v>
      </c>
      <c r="DR169" s="112"/>
      <c r="DS169" s="112"/>
      <c r="DT169" s="112" t="str">
        <f aca="false">"D6.scenario.defSelectData['"&amp;U169&amp;"']= [ '"&amp;BC169&amp;"', '"&amp;BD169&amp;"', '"&amp;BE169&amp;IF(BF169="","","', '"&amp;BF169)&amp;IF(BG169="","","', '"&amp;BG169)&amp;IF(BH169="","","', '"&amp;BH169)&amp;IF(BI169="","","', '"&amp;BI169)&amp;IF(BJ169="","","', '"&amp;BJ169)&amp;IF(BK169="","","', '"&amp;BK169)&amp;IF(BL169="","","', '"&amp;BL169)&amp;IF(BM169="","","', '"&amp;BM169)&amp;IF(BN169="","","', '"&amp;BN169)&amp;IF(BO169="","","', '"&amp;BO169)&amp;IF(BP169="","","', '"&amp;BP169)&amp;IF(BQ169="","","', '"&amp;BQ169)&amp;IF(BR169="","","', '"&amp;BR169)&amp;"' ];"</f>
        <v>D6.scenario.defSelectData['sel935']= [ '-1', '1', '2', '3' ];</v>
      </c>
    </row>
    <row r="170" s="88" customFormat="true" ht="43.5" hidden="false" customHeight="true" outlineLevel="0" collapsed="false">
      <c r="A170" s="66"/>
      <c r="B170" s="95" t="s">
        <v>1958</v>
      </c>
      <c r="C170" s="103" t="s">
        <v>1959</v>
      </c>
      <c r="D170" s="104" t="s">
        <v>1959</v>
      </c>
      <c r="E170" s="95" t="s">
        <v>279</v>
      </c>
      <c r="F170" s="103"/>
      <c r="G170" s="104"/>
      <c r="H170" s="103" t="s">
        <v>1960</v>
      </c>
      <c r="I170" s="104" t="s">
        <v>1961</v>
      </c>
      <c r="J170" s="103" t="str">
        <f aca="false">IF(K170="","",K170)</f>
        <v>sel936</v>
      </c>
      <c r="K170" s="104" t="str">
        <f aca="false">"sel"&amp;MID($B170,2,5)</f>
        <v>sel936</v>
      </c>
      <c r="L170" s="105"/>
      <c r="M170" s="105"/>
      <c r="N170" s="105"/>
      <c r="O170" s="95" t="s">
        <v>931</v>
      </c>
      <c r="P170" s="105"/>
      <c r="Q170" s="105"/>
      <c r="R170" s="95" t="n">
        <v>-1</v>
      </c>
      <c r="S170" s="66"/>
      <c r="U170" s="106" t="str">
        <f aca="false">J170</f>
        <v>sel936</v>
      </c>
      <c r="V170" s="103" t="s">
        <v>979</v>
      </c>
      <c r="W170" s="103" t="s">
        <v>1945</v>
      </c>
      <c r="X170" s="103" t="s">
        <v>1335</v>
      </c>
      <c r="Y170" s="103" t="s">
        <v>1098</v>
      </c>
      <c r="Z170" s="103"/>
      <c r="AA170" s="103"/>
      <c r="AB170" s="103"/>
      <c r="AC170" s="103"/>
      <c r="AD170" s="103"/>
      <c r="AE170" s="103"/>
      <c r="AF170" s="103"/>
      <c r="AG170" s="103"/>
      <c r="AH170" s="103"/>
      <c r="AI170" s="103"/>
      <c r="AJ170" s="103"/>
      <c r="AK170" s="103"/>
      <c r="AL170" s="104" t="s">
        <v>979</v>
      </c>
      <c r="AM170" s="107" t="s">
        <v>1945</v>
      </c>
      <c r="AN170" s="107" t="s">
        <v>1335</v>
      </c>
      <c r="AO170" s="107" t="s">
        <v>1098</v>
      </c>
      <c r="AP170" s="104"/>
      <c r="AQ170" s="104"/>
      <c r="AR170" s="104"/>
      <c r="AS170" s="104"/>
      <c r="AT170" s="104"/>
      <c r="AU170" s="104"/>
      <c r="AV170" s="104"/>
      <c r="AW170" s="104"/>
      <c r="AX170" s="104"/>
      <c r="AY170" s="104"/>
      <c r="AZ170" s="104"/>
      <c r="BA170" s="104"/>
      <c r="BB170" s="66"/>
      <c r="BC170" s="103" t="n">
        <v>-1</v>
      </c>
      <c r="BD170" s="103" t="n">
        <v>1</v>
      </c>
      <c r="BE170" s="103" t="n">
        <v>2</v>
      </c>
      <c r="BF170" s="103" t="n">
        <v>3</v>
      </c>
      <c r="BG170" s="103"/>
      <c r="BH170" s="103"/>
      <c r="BI170" s="103"/>
      <c r="BJ170" s="103"/>
      <c r="BK170" s="103"/>
      <c r="BL170" s="103"/>
      <c r="BM170" s="103"/>
      <c r="BN170" s="103"/>
      <c r="BO170" s="103"/>
      <c r="BP170" s="103"/>
      <c r="BQ170" s="103"/>
      <c r="BR170" s="103"/>
      <c r="BS170" s="104" t="n">
        <v>-1</v>
      </c>
      <c r="BT170" s="104" t="n">
        <v>1</v>
      </c>
      <c r="BU170" s="104" t="n">
        <v>2</v>
      </c>
      <c r="BV170" s="104" t="n">
        <v>3</v>
      </c>
      <c r="BW170" s="104"/>
      <c r="BX170" s="104"/>
      <c r="BY170" s="104"/>
      <c r="BZ170" s="104"/>
      <c r="CA170" s="104"/>
      <c r="CB170" s="104"/>
      <c r="CC170" s="104"/>
      <c r="CD170" s="104"/>
      <c r="CE170" s="104"/>
      <c r="CF170" s="104"/>
      <c r="CG170" s="104"/>
      <c r="CH170" s="104"/>
      <c r="CJ170" s="95"/>
      <c r="CK170" s="95"/>
      <c r="CL170" s="95"/>
      <c r="CM170" s="95"/>
      <c r="CN170" s="95"/>
      <c r="CO170" s="95"/>
      <c r="CP170" s="95"/>
      <c r="CQ170" s="95"/>
      <c r="CR170" s="95"/>
      <c r="CS170" s="95"/>
      <c r="CT170" s="95"/>
      <c r="CU170" s="95"/>
      <c r="CV170" s="95"/>
      <c r="CW170" s="95"/>
      <c r="CX170" s="95"/>
      <c r="CY170" s="95"/>
      <c r="CZ170" s="95"/>
      <c r="DA170" s="95"/>
      <c r="DB170" s="95"/>
      <c r="DC170" s="95"/>
      <c r="DD170" s="95"/>
      <c r="DE170" s="95"/>
      <c r="DF170" s="95"/>
      <c r="DG170" s="95"/>
      <c r="DL170" s="108"/>
      <c r="DM170" s="108"/>
      <c r="DN170" s="109" t="str">
        <f aca="false">"D6.scenario.defInput["""&amp;B170&amp;"""] = {  "&amp;E$2&amp;":"""&amp;E170&amp;""",  "&amp;C$2&amp;":"""&amp;CLEAN(SUBSTITUTE(C170,"""",""""))&amp;""",  "&amp;F$2&amp;":"""&amp;F170&amp;""",  "&amp;H$2&amp;":"""&amp;CLEAN(SUBSTITUTE(H170,"""",""""))&amp;""", "&amp;J$2&amp;":"""&amp;J170&amp;""", "&amp;L$2&amp;":"""&amp;L170&amp;""", "&amp;M$2&amp;":"""&amp;M170&amp;""", "&amp;N$2&amp;":"""&amp;N170&amp;""", "&amp;O$2&amp;":"""&amp;O170&amp;""", "&amp;P$2&amp;":"""&amp;P170&amp;""", "&amp;Q$2&amp;":"""&amp;Q170&amp;""", "&amp;R$2&amp;":"""&amp;R170&amp;""", d11t:"""&amp;CJ170&amp;""",d11p:"""&amp;CK170&amp;""",d12t:"""&amp;CL170&amp;""",d12p:"""&amp;CM170&amp;""",d13t:"""&amp;CN170&amp;""",d13p:"""&amp;CO170&amp;""",d1w:"""&amp;CP170&amp;""",d1d:"""&amp;CQ170&amp;""", d21t:"""&amp;CR170&amp;""",d21p:"""&amp;CS170&amp;""",d22t:"""&amp;CT170&amp;""",d22p:"""&amp;CU170&amp;""",d23t:"""&amp;CV170&amp;""",d23p:"""&amp;CW170&amp;""",d2w:"""&amp;CX170&amp;""",d2d:"""&amp;CY170&amp;""", d31t:"""&amp;CZ170&amp;""",d31p:"""&amp;DA170&amp;""",d32t:"""&amp;DB170&amp;""",d32p:"""&amp;DC170&amp;""",d33t:"""&amp;DD170&amp;""",d33p:"""&amp;DE170&amp;""",d3w:"""&amp;DF170&amp;""",d3d:"""&amp;DG170&amp;"""}; "</f>
        <v>D6.scenario.defInput["i936"] = {  cons:"consCRsum",  title:" 不要な荷物を積まない",  unit:"",  text:" 不要な荷物は積まずに走行をしていますか", inputType:"sel936", right:"", postfix:"", nodata:"", varType:"Number", min:"", max:"", defaultValue:"-1", d11t:"",d11p:"",d12t:"",d12p:"",d13t:"",d13p:"",d1w:"",d1d:"", d21t:"",d21p:"",d22t:"",d22p:"",d23t:"",d23p:"",d2w:"",d2d:"", d31t:"",d31p:"",d32t:"",d32p:"",d33t:"",d33p:"",d3w:"",d3d:""}; </v>
      </c>
      <c r="DO170" s="110"/>
      <c r="DP170" s="110"/>
      <c r="DQ170" s="111" t="str">
        <f aca="false">"D6.scenario.defSelectValue["""&amp;U170&amp;"""]= [ """&amp;CLEAN(V170)&amp;""", """&amp;CLEAN(W170)&amp;IF(X170="","",""", """&amp;CLEAN(X170))&amp;IF(Y170="","",""", """&amp;CLEAN(Y170))&amp;IF(Z170="","",""", """&amp;CLEAN(Z170))&amp;IF(AA170="","",""", """&amp;CLEAN(AA170))&amp;IF(AB170="","",""", """&amp;CLEAN(AB170))&amp;IF(AC170="","",""", """&amp;CLEAN(AC170))&amp;IF(AD170="","",""", """&amp;CLEAN(AD170))&amp;IF(AE170="","",""", """&amp;CLEAN(AE170))&amp;IF(AF170="","",""", """&amp;CLEAN(AF170))&amp;IF(AG170="","",""", """&amp;CLEAN(AG170))&amp;IF(AH170="","",""", """&amp;CLEAN(AH170))&amp;IF(AI170="","",""", """&amp;CLEAN(AI170))&amp;IF(AJ170="","",""", """&amp;CLEAN(AJ170))&amp;IF(AK170="","",""", """&amp;CLEAN(AK170))&amp;""" ];"</f>
        <v>D6.scenario.defSelectValue["sel936"]= [ "選んで下さい", "いつもしている", "時々している", "していない" ];</v>
      </c>
      <c r="DR170" s="112"/>
      <c r="DS170" s="112"/>
      <c r="DT170" s="112" t="str">
        <f aca="false">"D6.scenario.defSelectData['"&amp;U170&amp;"']= [ '"&amp;BC170&amp;"', '"&amp;BD170&amp;"', '"&amp;BE170&amp;IF(BF170="","","', '"&amp;BF170)&amp;IF(BG170="","","', '"&amp;BG170)&amp;IF(BH170="","","', '"&amp;BH170)&amp;IF(BI170="","","', '"&amp;BI170)&amp;IF(BJ170="","","', '"&amp;BJ170)&amp;IF(BK170="","","', '"&amp;BK170)&amp;IF(BL170="","","', '"&amp;BL170)&amp;IF(BM170="","","', '"&amp;BM170)&amp;IF(BN170="","","', '"&amp;BN170)&amp;IF(BO170="","","', '"&amp;BO170)&amp;IF(BP170="","","', '"&amp;BP170)&amp;IF(BQ170="","","', '"&amp;BQ170)&amp;IF(BR170="","","', '"&amp;BR170)&amp;"' ];"</f>
        <v>D6.scenario.defSelectData['sel936']= [ '-1', '1', '2', '3' ];</v>
      </c>
    </row>
    <row r="171" s="88" customFormat="true" ht="50.25" hidden="false" customHeight="true" outlineLevel="0" collapsed="false">
      <c r="A171" s="66"/>
      <c r="B171" s="95" t="s">
        <v>1962</v>
      </c>
      <c r="C171" s="103" t="s">
        <v>1963</v>
      </c>
      <c r="D171" s="104" t="s">
        <v>1963</v>
      </c>
      <c r="E171" s="95" t="s">
        <v>279</v>
      </c>
      <c r="F171" s="103"/>
      <c r="G171" s="104"/>
      <c r="H171" s="103" t="s">
        <v>1964</v>
      </c>
      <c r="I171" s="104" t="s">
        <v>1964</v>
      </c>
      <c r="J171" s="103" t="str">
        <f aca="false">IF(K171="","",K171)</f>
        <v>sel937</v>
      </c>
      <c r="K171" s="104" t="str">
        <f aca="false">"sel"&amp;MID($B171,2,5)</f>
        <v>sel937</v>
      </c>
      <c r="L171" s="105"/>
      <c r="M171" s="105"/>
      <c r="N171" s="105"/>
      <c r="O171" s="95" t="s">
        <v>931</v>
      </c>
      <c r="P171" s="105"/>
      <c r="Q171" s="105"/>
      <c r="R171" s="95" t="n">
        <v>-1</v>
      </c>
      <c r="S171" s="66"/>
      <c r="U171" s="106" t="str">
        <f aca="false">J171</f>
        <v>sel937</v>
      </c>
      <c r="V171" s="103" t="s">
        <v>979</v>
      </c>
      <c r="W171" s="103" t="s">
        <v>1945</v>
      </c>
      <c r="X171" s="103" t="s">
        <v>1335</v>
      </c>
      <c r="Y171" s="103" t="s">
        <v>1098</v>
      </c>
      <c r="Z171" s="103"/>
      <c r="AA171" s="103"/>
      <c r="AB171" s="103"/>
      <c r="AC171" s="103"/>
      <c r="AD171" s="103"/>
      <c r="AE171" s="103"/>
      <c r="AF171" s="103"/>
      <c r="AG171" s="103"/>
      <c r="AH171" s="103"/>
      <c r="AI171" s="103"/>
      <c r="AJ171" s="103"/>
      <c r="AK171" s="103"/>
      <c r="AL171" s="104" t="s">
        <v>979</v>
      </c>
      <c r="AM171" s="107" t="s">
        <v>1945</v>
      </c>
      <c r="AN171" s="107" t="s">
        <v>1335</v>
      </c>
      <c r="AO171" s="107" t="s">
        <v>1098</v>
      </c>
      <c r="AP171" s="104"/>
      <c r="AQ171" s="104"/>
      <c r="AR171" s="104"/>
      <c r="AS171" s="104"/>
      <c r="AT171" s="104"/>
      <c r="AU171" s="104"/>
      <c r="AV171" s="104"/>
      <c r="AW171" s="104"/>
      <c r="AX171" s="104"/>
      <c r="AY171" s="104"/>
      <c r="AZ171" s="104"/>
      <c r="BA171" s="104"/>
      <c r="BB171" s="66"/>
      <c r="BC171" s="103" t="n">
        <v>-1</v>
      </c>
      <c r="BD171" s="103" t="n">
        <v>1</v>
      </c>
      <c r="BE171" s="103" t="n">
        <v>2</v>
      </c>
      <c r="BF171" s="103" t="n">
        <v>3</v>
      </c>
      <c r="BG171" s="103"/>
      <c r="BH171" s="103"/>
      <c r="BI171" s="103"/>
      <c r="BJ171" s="103"/>
      <c r="BK171" s="103"/>
      <c r="BL171" s="103"/>
      <c r="BM171" s="103"/>
      <c r="BN171" s="103"/>
      <c r="BO171" s="103"/>
      <c r="BP171" s="103"/>
      <c r="BQ171" s="103"/>
      <c r="BR171" s="103"/>
      <c r="BS171" s="104" t="n">
        <v>-1</v>
      </c>
      <c r="BT171" s="104" t="n">
        <v>1</v>
      </c>
      <c r="BU171" s="104" t="n">
        <v>2</v>
      </c>
      <c r="BV171" s="104" t="n">
        <v>3</v>
      </c>
      <c r="BW171" s="104"/>
      <c r="BX171" s="104"/>
      <c r="BY171" s="104"/>
      <c r="BZ171" s="104"/>
      <c r="CA171" s="104"/>
      <c r="CB171" s="104"/>
      <c r="CC171" s="104"/>
      <c r="CD171" s="104"/>
      <c r="CE171" s="104"/>
      <c r="CF171" s="104"/>
      <c r="CG171" s="104"/>
      <c r="CH171" s="104"/>
      <c r="CJ171" s="95"/>
      <c r="CK171" s="95"/>
      <c r="CL171" s="95"/>
      <c r="CM171" s="95"/>
      <c r="CN171" s="95"/>
      <c r="CO171" s="95"/>
      <c r="CP171" s="95"/>
      <c r="CQ171" s="95"/>
      <c r="CR171" s="95"/>
      <c r="CS171" s="95"/>
      <c r="CT171" s="95"/>
      <c r="CU171" s="95"/>
      <c r="CV171" s="95"/>
      <c r="CW171" s="95"/>
      <c r="CX171" s="95"/>
      <c r="CY171" s="95"/>
      <c r="CZ171" s="95" t="n">
        <v>3</v>
      </c>
      <c r="DA171" s="95" t="n">
        <v>0</v>
      </c>
      <c r="DB171" s="95" t="n">
        <v>2</v>
      </c>
      <c r="DC171" s="95" t="n">
        <v>1</v>
      </c>
      <c r="DD171" s="95" t="n">
        <v>1</v>
      </c>
      <c r="DE171" s="95" t="n">
        <v>2</v>
      </c>
      <c r="DF171" s="95" t="n">
        <v>1</v>
      </c>
      <c r="DG171" s="95" t="n">
        <v>0</v>
      </c>
      <c r="DN171" s="109" t="str">
        <f aca="false">"D6.scenario.defInput["""&amp;B171&amp;"""] = {  "&amp;E$2&amp;":"""&amp;E171&amp;""",  "&amp;C$2&amp;":"""&amp;CLEAN(SUBSTITUTE(C171,"""",""""))&amp;""",  "&amp;F$2&amp;":"""&amp;F171&amp;""",  "&amp;H$2&amp;":"""&amp;CLEAN(SUBSTITUTE(H171,"""",""""))&amp;""", "&amp;J$2&amp;":"""&amp;J171&amp;""", "&amp;L$2&amp;":"""&amp;L171&amp;""", "&amp;M$2&amp;":"""&amp;M171&amp;""", "&amp;N$2&amp;":"""&amp;N171&amp;""", "&amp;O$2&amp;":"""&amp;O171&amp;""", "&amp;P$2&amp;":"""&amp;P171&amp;""", "&amp;Q$2&amp;":"""&amp;Q171&amp;""", "&amp;R$2&amp;":"""&amp;R171&amp;""", d11t:"""&amp;CJ171&amp;""",d11p:"""&amp;CK171&amp;""",d12t:"""&amp;CL171&amp;""",d12p:"""&amp;CM171&amp;""",d13t:"""&amp;CN171&amp;""",d13p:"""&amp;CO171&amp;""",d1w:"""&amp;CP171&amp;""",d1d:"""&amp;CQ171&amp;""", d21t:"""&amp;CR171&amp;""",d21p:"""&amp;CS171&amp;""",d22t:"""&amp;CT171&amp;""",d22p:"""&amp;CU171&amp;""",d23t:"""&amp;CV171&amp;""",d23p:"""&amp;CW171&amp;""",d2w:"""&amp;CX171&amp;""",d2d:"""&amp;CY171&amp;""", d31t:"""&amp;CZ171&amp;""",d31p:"""&amp;DA171&amp;""",d32t:"""&amp;DB171&amp;""",d32p:"""&amp;DC171&amp;""",d33t:"""&amp;DD171&amp;""",d33p:"""&amp;DE171&amp;""",d3w:"""&amp;DF171&amp;""",d3d:"""&amp;DG171&amp;"""}; "</f>
        <v>D6.scenario.defInput["i937"] = {  cons:"consCRsum",  title:"カーエアコンの温度調節",  unit:"",  text:"カーエアコンの温度・風量をこまめに調節していますか", inputType:"sel937", right:"", postfix:"", nodata:"", varType:"Number", min:"", max:"", defaultValue:"-1", d11t:"",d11p:"",d12t:"",d12p:"",d13t:"",d13p:"",d1w:"",d1d:"", d21t:"",d21p:"",d22t:"",d22p:"",d23t:"",d23p:"",d2w:"",d2d:"", d31t:"3",d31p:"0",d32t:"2",d32p:"1",d33t:"1",d33p:"2",d3w:"1",d3d:"0"}; </v>
      </c>
      <c r="DO171" s="110"/>
      <c r="DP171" s="110"/>
      <c r="DQ171" s="111" t="str">
        <f aca="false">"D6.scenario.defSelectValue["""&amp;U171&amp;"""]= [ """&amp;CLEAN(V171)&amp;""", """&amp;CLEAN(W171)&amp;IF(X171="","",""", """&amp;CLEAN(X171))&amp;IF(Y171="","",""", """&amp;CLEAN(Y171))&amp;IF(Z171="","",""", """&amp;CLEAN(Z171))&amp;IF(AA171="","",""", """&amp;CLEAN(AA171))&amp;IF(AB171="","",""", """&amp;CLEAN(AB171))&amp;IF(AC171="","",""", """&amp;CLEAN(AC171))&amp;IF(AD171="","",""", """&amp;CLEAN(AD171))&amp;IF(AE171="","",""", """&amp;CLEAN(AE171))&amp;IF(AF171="","",""", """&amp;CLEAN(AF171))&amp;IF(AG171="","",""", """&amp;CLEAN(AG171))&amp;IF(AH171="","",""", """&amp;CLEAN(AH171))&amp;IF(AI171="","",""", """&amp;CLEAN(AI171))&amp;IF(AJ171="","",""", """&amp;CLEAN(AJ171))&amp;IF(AK171="","",""", """&amp;CLEAN(AK171))&amp;""" ];"</f>
        <v>D6.scenario.defSelectValue["sel937"]= [ "選んで下さい", "いつもしている", "時々している", "していない" ];</v>
      </c>
      <c r="DR171" s="112"/>
      <c r="DS171" s="112"/>
      <c r="DT171" s="112" t="str">
        <f aca="false">"D6.scenario.defSelectData['"&amp;U171&amp;"']= [ '"&amp;BC171&amp;"', '"&amp;BD171&amp;"', '"&amp;BE171&amp;IF(BF171="","","', '"&amp;BF171)&amp;IF(BG171="","","', '"&amp;BG171)&amp;IF(BH171="","","', '"&amp;BH171)&amp;IF(BI171="","","', '"&amp;BI171)&amp;IF(BJ171="","","', '"&amp;BJ171)&amp;IF(BK171="","","', '"&amp;BK171)&amp;IF(BL171="","","', '"&amp;BL171)&amp;IF(BM171="","","', '"&amp;BM171)&amp;IF(BN171="","","', '"&amp;BN171)&amp;IF(BO171="","","', '"&amp;BO171)&amp;IF(BP171="","","', '"&amp;BP171)&amp;IF(BQ171="","","', '"&amp;BQ171)&amp;IF(BR171="","","', '"&amp;BR171)&amp;"' ];"</f>
        <v>D6.scenario.defSelectData['sel937']= [ '-1', '1', '2', '3' ];</v>
      </c>
    </row>
    <row r="172" s="88" customFormat="true" ht="50.25" hidden="false" customHeight="true" outlineLevel="0" collapsed="false">
      <c r="A172" s="66"/>
      <c r="B172" s="95" t="s">
        <v>1965</v>
      </c>
      <c r="C172" s="103" t="s">
        <v>1966</v>
      </c>
      <c r="D172" s="104" t="s">
        <v>1966</v>
      </c>
      <c r="E172" s="95" t="s">
        <v>279</v>
      </c>
      <c r="F172" s="113"/>
      <c r="G172" s="114"/>
      <c r="H172" s="103" t="s">
        <v>1967</v>
      </c>
      <c r="I172" s="104" t="s">
        <v>1967</v>
      </c>
      <c r="J172" s="103" t="str">
        <f aca="false">IF(K172="","",K172)</f>
        <v>sel938</v>
      </c>
      <c r="K172" s="104" t="str">
        <f aca="false">"sel"&amp;MID($B172,2,5)</f>
        <v>sel938</v>
      </c>
      <c r="L172" s="105"/>
      <c r="M172" s="105"/>
      <c r="N172" s="105"/>
      <c r="O172" s="95" t="s">
        <v>931</v>
      </c>
      <c r="P172" s="105"/>
      <c r="Q172" s="105"/>
      <c r="R172" s="95" t="n">
        <v>-1</v>
      </c>
      <c r="S172" s="66"/>
      <c r="U172" s="106" t="str">
        <f aca="false">J172</f>
        <v>sel938</v>
      </c>
      <c r="V172" s="103" t="s">
        <v>979</v>
      </c>
      <c r="W172" s="103" t="s">
        <v>1945</v>
      </c>
      <c r="X172" s="103" t="s">
        <v>1335</v>
      </c>
      <c r="Y172" s="103" t="s">
        <v>1098</v>
      </c>
      <c r="Z172" s="103"/>
      <c r="AA172" s="103"/>
      <c r="AB172" s="103"/>
      <c r="AC172" s="103"/>
      <c r="AD172" s="103"/>
      <c r="AE172" s="103"/>
      <c r="AF172" s="103"/>
      <c r="AG172" s="103"/>
      <c r="AH172" s="103"/>
      <c r="AI172" s="103"/>
      <c r="AJ172" s="103"/>
      <c r="AK172" s="103"/>
      <c r="AL172" s="104" t="s">
        <v>979</v>
      </c>
      <c r="AM172" s="107" t="s">
        <v>1945</v>
      </c>
      <c r="AN172" s="107" t="s">
        <v>1335</v>
      </c>
      <c r="AO172" s="107" t="s">
        <v>1098</v>
      </c>
      <c r="AP172" s="104"/>
      <c r="AQ172" s="104"/>
      <c r="AR172" s="104"/>
      <c r="AS172" s="104"/>
      <c r="AT172" s="104"/>
      <c r="AU172" s="104"/>
      <c r="AV172" s="104"/>
      <c r="AW172" s="104"/>
      <c r="AX172" s="104"/>
      <c r="AY172" s="104"/>
      <c r="AZ172" s="104"/>
      <c r="BA172" s="104"/>
      <c r="BB172" s="66"/>
      <c r="BC172" s="103" t="n">
        <v>-1</v>
      </c>
      <c r="BD172" s="103" t="n">
        <v>1</v>
      </c>
      <c r="BE172" s="103" t="n">
        <v>2</v>
      </c>
      <c r="BF172" s="103" t="n">
        <v>3</v>
      </c>
      <c r="BG172" s="103"/>
      <c r="BH172" s="103"/>
      <c r="BI172" s="103"/>
      <c r="BJ172" s="103"/>
      <c r="BK172" s="103"/>
      <c r="BL172" s="103"/>
      <c r="BM172" s="103"/>
      <c r="BN172" s="103"/>
      <c r="BO172" s="103"/>
      <c r="BP172" s="103"/>
      <c r="BQ172" s="103"/>
      <c r="BR172" s="103"/>
      <c r="BS172" s="104" t="n">
        <v>-1</v>
      </c>
      <c r="BT172" s="104" t="n">
        <v>1</v>
      </c>
      <c r="BU172" s="104" t="n">
        <v>2</v>
      </c>
      <c r="BV172" s="104" t="n">
        <v>3</v>
      </c>
      <c r="BW172" s="104"/>
      <c r="BX172" s="104"/>
      <c r="BY172" s="104"/>
      <c r="BZ172" s="104"/>
      <c r="CA172" s="104"/>
      <c r="CB172" s="104"/>
      <c r="CC172" s="104"/>
      <c r="CD172" s="104"/>
      <c r="CE172" s="104"/>
      <c r="CF172" s="104"/>
      <c r="CG172" s="104"/>
      <c r="CH172" s="104"/>
      <c r="CJ172" s="95"/>
      <c r="CK172" s="95"/>
      <c r="CL172" s="95"/>
      <c r="CM172" s="95"/>
      <c r="CN172" s="95"/>
      <c r="CO172" s="95"/>
      <c r="CP172" s="95"/>
      <c r="CQ172" s="95"/>
      <c r="CR172" s="95"/>
      <c r="CS172" s="95"/>
      <c r="CT172" s="95"/>
      <c r="CU172" s="95"/>
      <c r="CV172" s="95"/>
      <c r="CW172" s="95"/>
      <c r="CX172" s="95"/>
      <c r="CY172" s="95"/>
      <c r="CZ172" s="95" t="n">
        <v>3</v>
      </c>
      <c r="DA172" s="95" t="n">
        <v>0</v>
      </c>
      <c r="DB172" s="95" t="n">
        <v>2</v>
      </c>
      <c r="DC172" s="95" t="n">
        <v>1</v>
      </c>
      <c r="DD172" s="95" t="n">
        <v>1</v>
      </c>
      <c r="DE172" s="95" t="n">
        <v>2</v>
      </c>
      <c r="DF172" s="95" t="n">
        <v>1</v>
      </c>
      <c r="DG172" s="95" t="n">
        <v>0</v>
      </c>
      <c r="DN172" s="109" t="str">
        <f aca="false">"D6.scenario.defInput["""&amp;B172&amp;"""] = {  "&amp;E$2&amp;":"""&amp;E172&amp;""",  "&amp;C$2&amp;":"""&amp;CLEAN(SUBSTITUTE(C172,"""",""""))&amp;""",  "&amp;F$2&amp;":"""&amp;F172&amp;""",  "&amp;H$2&amp;":"""&amp;CLEAN(SUBSTITUTE(H172,"""",""""))&amp;""", "&amp;J$2&amp;":"""&amp;J172&amp;""", "&amp;L$2&amp;":"""&amp;L172&amp;""", "&amp;M$2&amp;":"""&amp;M172&amp;""", "&amp;N$2&amp;":"""&amp;N172&amp;""", "&amp;O$2&amp;":"""&amp;O172&amp;""", "&amp;P$2&amp;":"""&amp;P172&amp;""", "&amp;Q$2&amp;":"""&amp;Q172&amp;""", "&amp;R$2&amp;":"""&amp;R172&amp;""", d11t:"""&amp;CJ172&amp;""",d11p:"""&amp;CK172&amp;""",d12t:"""&amp;CL172&amp;""",d12p:"""&amp;CM172&amp;""",d13t:"""&amp;CN172&amp;""",d13p:"""&amp;CO172&amp;""",d1w:"""&amp;CP172&amp;""",d1d:"""&amp;CQ172&amp;""", d21t:"""&amp;CR172&amp;""",d21p:"""&amp;CS172&amp;""",d22t:"""&amp;CT172&amp;""",d22p:"""&amp;CU172&amp;""",d23t:"""&amp;CV172&amp;""",d23p:"""&amp;CW172&amp;""",d2w:"""&amp;CX172&amp;""",d2d:"""&amp;CY172&amp;""", d31t:"""&amp;CZ172&amp;""",d31p:"""&amp;DA172&amp;""",d32t:"""&amp;DB172&amp;""",d32p:"""&amp;DC172&amp;""",d33t:"""&amp;DD172&amp;""",d33p:"""&amp;DE172&amp;""",d3w:"""&amp;DF172&amp;""",d3d:"""&amp;DG172&amp;"""}; "</f>
        <v>D6.scenario.defInput["i938"] = {  cons:"consCRsum",  title:"暖機運転せずに走行する",  unit:"",  text:"寒い日に暖機運転をしていますか", inputType:"sel938", right:"", postfix:"", nodata:"", varType:"Number", min:"", max:"", defaultValue:"-1", d11t:"",d11p:"",d12t:"",d12p:"",d13t:"",d13p:"",d1w:"",d1d:"", d21t:"",d21p:"",d22t:"",d22p:"",d23t:"",d23p:"",d2w:"",d2d:"", d31t:"3",d31p:"0",d32t:"2",d32p:"1",d33t:"1",d33p:"2",d3w:"1",d3d:"0"}; </v>
      </c>
      <c r="DO172" s="110"/>
      <c r="DP172" s="110"/>
      <c r="DQ172" s="111" t="str">
        <f aca="false">"D6.scenario.defSelectValue["""&amp;U172&amp;"""]= [ """&amp;CLEAN(V172)&amp;""", """&amp;CLEAN(W172)&amp;IF(X172="","",""", """&amp;CLEAN(X172))&amp;IF(Y172="","",""", """&amp;CLEAN(Y172))&amp;IF(Z172="","",""", """&amp;CLEAN(Z172))&amp;IF(AA172="","",""", """&amp;CLEAN(AA172))&amp;IF(AB172="","",""", """&amp;CLEAN(AB172))&amp;IF(AC172="","",""", """&amp;CLEAN(AC172))&amp;IF(AD172="","",""", """&amp;CLEAN(AD172))&amp;IF(AE172="","",""", """&amp;CLEAN(AE172))&amp;IF(AF172="","",""", """&amp;CLEAN(AF172))&amp;IF(AG172="","",""", """&amp;CLEAN(AG172))&amp;IF(AH172="","",""", """&amp;CLEAN(AH172))&amp;IF(AI172="","",""", """&amp;CLEAN(AI172))&amp;IF(AJ172="","",""", """&amp;CLEAN(AJ172))&amp;IF(AK172="","",""", """&amp;CLEAN(AK172))&amp;""" ];"</f>
        <v>D6.scenario.defSelectValue["sel938"]= [ "選んで下さい", "いつもしている", "時々している", "していない" ];</v>
      </c>
      <c r="DR172" s="112"/>
      <c r="DS172" s="112"/>
      <c r="DT172" s="112" t="str">
        <f aca="false">"D6.scenario.defSelectData['"&amp;U172&amp;"']= [ '"&amp;BC172&amp;"', '"&amp;BD172&amp;"', '"&amp;BE172&amp;IF(BF172="","","', '"&amp;BF172)&amp;IF(BG172="","","', '"&amp;BG172)&amp;IF(BH172="","","', '"&amp;BH172)&amp;IF(BI172="","","', '"&amp;BI172)&amp;IF(BJ172="","","', '"&amp;BJ172)&amp;IF(BK172="","","', '"&amp;BK172)&amp;IF(BL172="","","', '"&amp;BL172)&amp;IF(BM172="","","', '"&amp;BM172)&amp;IF(BN172="","","', '"&amp;BN172)&amp;IF(BO172="","","', '"&amp;BO172)&amp;IF(BP172="","","', '"&amp;BP172)&amp;IF(BQ172="","","', '"&amp;BQ172)&amp;IF(BR172="","","', '"&amp;BR172)&amp;"' ];"</f>
        <v>D6.scenario.defSelectData['sel938']= [ '-1', '1', '2', '3' ];</v>
      </c>
    </row>
    <row r="173" s="88" customFormat="true" ht="58.5" hidden="false" customHeight="true" outlineLevel="0" collapsed="false">
      <c r="A173" s="66"/>
      <c r="B173" s="95" t="s">
        <v>1968</v>
      </c>
      <c r="C173" s="103" t="s">
        <v>1969</v>
      </c>
      <c r="D173" s="104" t="s">
        <v>1969</v>
      </c>
      <c r="E173" s="95" t="s">
        <v>279</v>
      </c>
      <c r="F173" s="113"/>
      <c r="G173" s="114"/>
      <c r="H173" s="103" t="s">
        <v>1970</v>
      </c>
      <c r="I173" s="104" t="s">
        <v>1970</v>
      </c>
      <c r="J173" s="103" t="str">
        <f aca="false">IF(K173="","",K173)</f>
        <v>sel939</v>
      </c>
      <c r="K173" s="104" t="str">
        <f aca="false">"sel"&amp;MID($B173,2,5)</f>
        <v>sel939</v>
      </c>
      <c r="L173" s="105"/>
      <c r="M173" s="105"/>
      <c r="N173" s="105"/>
      <c r="O173" s="95" t="s">
        <v>931</v>
      </c>
      <c r="P173" s="105"/>
      <c r="Q173" s="105"/>
      <c r="R173" s="95" t="n">
        <v>-1</v>
      </c>
      <c r="S173" s="66"/>
      <c r="T173" s="66"/>
      <c r="U173" s="106" t="str">
        <f aca="false">J173</f>
        <v>sel939</v>
      </c>
      <c r="V173" s="103" t="s">
        <v>979</v>
      </c>
      <c r="W173" s="103" t="s">
        <v>1945</v>
      </c>
      <c r="X173" s="103" t="s">
        <v>1335</v>
      </c>
      <c r="Y173" s="103" t="s">
        <v>1098</v>
      </c>
      <c r="Z173" s="103"/>
      <c r="AA173" s="103"/>
      <c r="AB173" s="103"/>
      <c r="AC173" s="103"/>
      <c r="AD173" s="103"/>
      <c r="AE173" s="103"/>
      <c r="AF173" s="103"/>
      <c r="AG173" s="103"/>
      <c r="AH173" s="103"/>
      <c r="AI173" s="103"/>
      <c r="AJ173" s="103"/>
      <c r="AK173" s="103"/>
      <c r="AL173" s="104" t="s">
        <v>979</v>
      </c>
      <c r="AM173" s="104" t="s">
        <v>1945</v>
      </c>
      <c r="AN173" s="107" t="s">
        <v>1335</v>
      </c>
      <c r="AO173" s="107" t="s">
        <v>1098</v>
      </c>
      <c r="AP173" s="104"/>
      <c r="AQ173" s="104"/>
      <c r="AR173" s="104"/>
      <c r="AS173" s="104"/>
      <c r="AT173" s="104"/>
      <c r="AU173" s="104"/>
      <c r="AV173" s="104"/>
      <c r="AW173" s="104"/>
      <c r="AX173" s="104"/>
      <c r="AY173" s="104"/>
      <c r="AZ173" s="104"/>
      <c r="BA173" s="104"/>
      <c r="BB173" s="66"/>
      <c r="BC173" s="103" t="n">
        <v>-1</v>
      </c>
      <c r="BD173" s="103" t="n">
        <v>1</v>
      </c>
      <c r="BE173" s="103" t="n">
        <v>2</v>
      </c>
      <c r="BF173" s="103" t="n">
        <v>3</v>
      </c>
      <c r="BG173" s="103"/>
      <c r="BH173" s="103"/>
      <c r="BI173" s="103"/>
      <c r="BJ173" s="103"/>
      <c r="BK173" s="103"/>
      <c r="BL173" s="103"/>
      <c r="BM173" s="103"/>
      <c r="BN173" s="103"/>
      <c r="BO173" s="103"/>
      <c r="BP173" s="103"/>
      <c r="BQ173" s="103"/>
      <c r="BR173" s="103"/>
      <c r="BS173" s="104" t="n">
        <v>-1</v>
      </c>
      <c r="BT173" s="104" t="n">
        <v>1</v>
      </c>
      <c r="BU173" s="104" t="n">
        <v>2</v>
      </c>
      <c r="BV173" s="104" t="n">
        <v>3</v>
      </c>
      <c r="BW173" s="104"/>
      <c r="BX173" s="104"/>
      <c r="BY173" s="104"/>
      <c r="BZ173" s="104"/>
      <c r="CA173" s="104"/>
      <c r="CB173" s="104"/>
      <c r="CC173" s="104"/>
      <c r="CD173" s="104"/>
      <c r="CE173" s="104"/>
      <c r="CF173" s="104"/>
      <c r="CG173" s="104"/>
      <c r="CH173" s="104"/>
      <c r="CJ173" s="95"/>
      <c r="CK173" s="95"/>
      <c r="CL173" s="95"/>
      <c r="CM173" s="95"/>
      <c r="CN173" s="95"/>
      <c r="CO173" s="95"/>
      <c r="CP173" s="95"/>
      <c r="CQ173" s="95"/>
      <c r="CR173" s="95"/>
      <c r="CS173" s="95"/>
      <c r="CT173" s="95"/>
      <c r="CU173" s="95"/>
      <c r="CV173" s="95"/>
      <c r="CW173" s="95"/>
      <c r="CX173" s="95"/>
      <c r="CY173" s="95"/>
      <c r="CZ173" s="95"/>
      <c r="DA173" s="95"/>
      <c r="DB173" s="95"/>
      <c r="DC173" s="95"/>
      <c r="DD173" s="95"/>
      <c r="DE173" s="95"/>
      <c r="DF173" s="95"/>
      <c r="DG173" s="95"/>
      <c r="DL173" s="66"/>
      <c r="DM173" s="66"/>
      <c r="DN173" s="109" t="str">
        <f aca="false">"D6.scenario.defInput["""&amp;B173&amp;"""] = {  "&amp;E$2&amp;":"""&amp;E173&amp;""",  "&amp;C$2&amp;":"""&amp;CLEAN(SUBSTITUTE(C173,"""",""""))&amp;""",  "&amp;F$2&amp;":"""&amp;F173&amp;""",  "&amp;H$2&amp;":"""&amp;CLEAN(SUBSTITUTE(H173,"""",""""))&amp;""", "&amp;J$2&amp;":"""&amp;J173&amp;""", "&amp;L$2&amp;":"""&amp;L173&amp;""", "&amp;M$2&amp;":"""&amp;M173&amp;""", "&amp;N$2&amp;":"""&amp;N173&amp;""", "&amp;O$2&amp;":"""&amp;O173&amp;""", "&amp;P$2&amp;":"""&amp;P173&amp;""", "&amp;Q$2&amp;":"""&amp;Q173&amp;""", "&amp;R$2&amp;":"""&amp;R173&amp;""", d11t:"""&amp;CJ173&amp;""",d11p:"""&amp;CK173&amp;""",d12t:"""&amp;CL173&amp;""",d12p:"""&amp;CM173&amp;""",d13t:"""&amp;CN173&amp;""",d13p:"""&amp;CO173&amp;""",d1w:"""&amp;CP173&amp;""",d1d:"""&amp;CQ173&amp;""", d21t:"""&amp;CR173&amp;""",d21p:"""&amp;CS173&amp;""",d22t:"""&amp;CT173&amp;""",d22p:"""&amp;CU173&amp;""",d23t:"""&amp;CV173&amp;""",d23p:"""&amp;CW173&amp;""",d2w:"""&amp;CX173&amp;""",d2d:"""&amp;CY173&amp;""", d31t:"""&amp;CZ173&amp;""",d31p:"""&amp;DA173&amp;""",d32t:"""&amp;DB173&amp;""",d32p:"""&amp;DC173&amp;""",d33t:"""&amp;DD173&amp;""",d33p:"""&amp;DE173&amp;""",d3w:"""&amp;DF173&amp;""",d3d:"""&amp;DG173&amp;"""}; "</f>
        <v>D6.scenario.defInput["i939"] = {  cons:"consCRsum",  title:"タイヤの空気圧のチェック",  unit:"",  text:"タイヤの空気圧を適切に保つよう心がけていますか", inputType:"sel939", right:"", postfix:"", nodata:"", varType:"Number", min:"", max:"", defaultValue:"-1", d11t:"",d11p:"",d12t:"",d12p:"",d13t:"",d13p:"",d1w:"",d1d:"", d21t:"",d21p:"",d22t:"",d22p:"",d23t:"",d23p:"",d2w:"",d2d:"", d31t:"",d31p:"",d32t:"",d32p:"",d33t:"",d33p:"",d3w:"",d3d:""}; </v>
      </c>
      <c r="DO173" s="110"/>
      <c r="DP173" s="110"/>
      <c r="DQ173" s="111" t="str">
        <f aca="false">"D6.scenario.defSelectValue["""&amp;U173&amp;"""]= [ """&amp;CLEAN(V173)&amp;""", """&amp;CLEAN(W173)&amp;IF(X173="","",""", """&amp;CLEAN(X173))&amp;IF(Y173="","",""", """&amp;CLEAN(Y173))&amp;IF(Z173="","",""", """&amp;CLEAN(Z173))&amp;IF(AA173="","",""", """&amp;CLEAN(AA173))&amp;IF(AB173="","",""", """&amp;CLEAN(AB173))&amp;IF(AC173="","",""", """&amp;CLEAN(AC173))&amp;IF(AD173="","",""", """&amp;CLEAN(AD173))&amp;IF(AE173="","",""", """&amp;CLEAN(AE173))&amp;IF(AF173="","",""", """&amp;CLEAN(AF173))&amp;IF(AG173="","",""", """&amp;CLEAN(AG173))&amp;IF(AH173="","",""", """&amp;CLEAN(AH173))&amp;IF(AI173="","",""", """&amp;CLEAN(AI173))&amp;IF(AJ173="","",""", """&amp;CLEAN(AJ173))&amp;IF(AK173="","",""", """&amp;CLEAN(AK173))&amp;""" ];"</f>
        <v>D6.scenario.defSelectValue["sel939"]= [ "選んで下さい", "いつもしている", "時々している", "していない" ];</v>
      </c>
      <c r="DR173" s="112"/>
      <c r="DS173" s="112"/>
      <c r="DT173" s="112" t="str">
        <f aca="false">"D6.scenario.defSelectData['"&amp;U173&amp;"']= [ '"&amp;BC173&amp;"', '"&amp;BD173&amp;"', '"&amp;BE173&amp;IF(BF173="","","', '"&amp;BF173)&amp;IF(BG173="","","', '"&amp;BG173)&amp;IF(BH173="","","', '"&amp;BH173)&amp;IF(BI173="","","', '"&amp;BI173)&amp;IF(BJ173="","","', '"&amp;BJ173)&amp;IF(BK173="","","', '"&amp;BK173)&amp;IF(BL173="","","', '"&amp;BL173)&amp;IF(BM173="","","', '"&amp;BM173)&amp;IF(BN173="","","', '"&amp;BN173)&amp;IF(BO173="","","', '"&amp;BO173)&amp;IF(BP173="","","', '"&amp;BP173)&amp;IF(BQ173="","","', '"&amp;BQ173)&amp;IF(BR173="","","', '"&amp;BR173)&amp;"' ];"</f>
        <v>D6.scenario.defSelectData['sel939']= [ '-1', '1', '2', '3' ];</v>
      </c>
    </row>
    <row r="174" s="88" customFormat="true" ht="58.5" hidden="false" customHeight="true" outlineLevel="0" collapsed="false">
      <c r="A174" s="66"/>
      <c r="B174" s="95" t="s">
        <v>1971</v>
      </c>
      <c r="C174" s="103" t="s">
        <v>1972</v>
      </c>
      <c r="D174" s="104" t="s">
        <v>1972</v>
      </c>
      <c r="E174" s="95" t="s">
        <v>244</v>
      </c>
      <c r="F174" s="113"/>
      <c r="G174" s="114"/>
      <c r="H174" s="103" t="s">
        <v>1973</v>
      </c>
      <c r="I174" s="104" t="s">
        <v>1974</v>
      </c>
      <c r="J174" s="103" t="str">
        <f aca="false">IF(K174="","",K174)</f>
        <v>sel221</v>
      </c>
      <c r="K174" s="104" t="str">
        <f aca="false">"sel"&amp;MID($B174,2,5)</f>
        <v>sel221</v>
      </c>
      <c r="L174" s="105"/>
      <c r="M174" s="105"/>
      <c r="N174" s="105"/>
      <c r="O174" s="95" t="s">
        <v>931</v>
      </c>
      <c r="P174" s="105"/>
      <c r="Q174" s="105"/>
      <c r="R174" s="95" t="n">
        <v>-1</v>
      </c>
      <c r="S174" s="66"/>
      <c r="T174" s="66"/>
      <c r="U174" s="106" t="str">
        <f aca="false">J174</f>
        <v>sel221</v>
      </c>
      <c r="V174" s="103" t="s">
        <v>979</v>
      </c>
      <c r="W174" s="103" t="s">
        <v>1036</v>
      </c>
      <c r="X174" s="103" t="s">
        <v>1370</v>
      </c>
      <c r="Y174" s="103" t="s">
        <v>1975</v>
      </c>
      <c r="Z174" s="103" t="s">
        <v>1062</v>
      </c>
      <c r="AA174" s="103"/>
      <c r="AB174" s="103"/>
      <c r="AC174" s="103"/>
      <c r="AD174" s="103"/>
      <c r="AE174" s="103"/>
      <c r="AF174" s="103"/>
      <c r="AG174" s="103"/>
      <c r="AH174" s="103"/>
      <c r="AI174" s="103"/>
      <c r="AJ174" s="103"/>
      <c r="AK174" s="103"/>
      <c r="AL174" s="104" t="s">
        <v>979</v>
      </c>
      <c r="AM174" s="104" t="s">
        <v>1036</v>
      </c>
      <c r="AN174" s="107" t="s">
        <v>1370</v>
      </c>
      <c r="AO174" s="107" t="s">
        <v>1975</v>
      </c>
      <c r="AP174" s="104" t="s">
        <v>1062</v>
      </c>
      <c r="AQ174" s="104"/>
      <c r="AR174" s="104"/>
      <c r="AS174" s="104"/>
      <c r="AT174" s="104"/>
      <c r="AU174" s="104"/>
      <c r="AV174" s="104"/>
      <c r="AW174" s="104"/>
      <c r="AX174" s="104"/>
      <c r="AY174" s="104"/>
      <c r="AZ174" s="104"/>
      <c r="BA174" s="104"/>
      <c r="BB174" s="66"/>
      <c r="BC174" s="103" t="n">
        <v>-1</v>
      </c>
      <c r="BD174" s="103" t="n">
        <v>1</v>
      </c>
      <c r="BE174" s="103" t="n">
        <v>2</v>
      </c>
      <c r="BF174" s="103" t="n">
        <v>3</v>
      </c>
      <c r="BG174" s="103" t="n">
        <v>4</v>
      </c>
      <c r="BH174" s="103"/>
      <c r="BI174" s="103"/>
      <c r="BJ174" s="103"/>
      <c r="BK174" s="103"/>
      <c r="BL174" s="103"/>
      <c r="BM174" s="103"/>
      <c r="BN174" s="103"/>
      <c r="BO174" s="103"/>
      <c r="BP174" s="103"/>
      <c r="BQ174" s="103"/>
      <c r="BR174" s="103"/>
      <c r="BS174" s="104" t="n">
        <v>-1</v>
      </c>
      <c r="BT174" s="104" t="n">
        <v>1</v>
      </c>
      <c r="BU174" s="104" t="n">
        <v>2</v>
      </c>
      <c r="BV174" s="104" t="n">
        <v>3</v>
      </c>
      <c r="BW174" s="104" t="n">
        <v>4</v>
      </c>
      <c r="BX174" s="104"/>
      <c r="BY174" s="104"/>
      <c r="BZ174" s="104"/>
      <c r="CA174" s="104"/>
      <c r="CB174" s="104"/>
      <c r="CC174" s="104"/>
      <c r="CD174" s="104"/>
      <c r="CE174" s="104"/>
      <c r="CF174" s="104"/>
      <c r="CG174" s="104"/>
      <c r="CH174" s="104"/>
      <c r="CJ174" s="95" t="n">
        <v>3</v>
      </c>
      <c r="CK174" s="95" t="n">
        <v>0</v>
      </c>
      <c r="CL174" s="95" t="n">
        <v>2</v>
      </c>
      <c r="CM174" s="95" t="n">
        <v>1</v>
      </c>
      <c r="CN174" s="95" t="n">
        <v>1</v>
      </c>
      <c r="CO174" s="95" t="n">
        <v>2</v>
      </c>
      <c r="CP174" s="95" t="n">
        <v>1</v>
      </c>
      <c r="CQ174" s="95" t="n">
        <v>0</v>
      </c>
      <c r="CR174" s="95" t="n">
        <v>3</v>
      </c>
      <c r="CS174" s="95" t="n">
        <v>0</v>
      </c>
      <c r="CT174" s="95" t="n">
        <v>2</v>
      </c>
      <c r="CU174" s="95" t="n">
        <v>1</v>
      </c>
      <c r="CV174" s="95" t="n">
        <v>1</v>
      </c>
      <c r="CW174" s="95" t="n">
        <v>2</v>
      </c>
      <c r="CX174" s="95" t="n">
        <v>1</v>
      </c>
      <c r="CY174" s="95" t="n">
        <v>0</v>
      </c>
      <c r="CZ174" s="95"/>
      <c r="DA174" s="95"/>
      <c r="DB174" s="95"/>
      <c r="DC174" s="95"/>
      <c r="DD174" s="95"/>
      <c r="DE174" s="95"/>
      <c r="DF174" s="95"/>
      <c r="DG174" s="95"/>
      <c r="DL174" s="66"/>
      <c r="DM174" s="66"/>
      <c r="DN174" s="109" t="str">
        <f aca="false">"D6.scenario.defInput["""&amp;B174&amp;"""] = {  "&amp;E$2&amp;":"""&amp;E174&amp;""",  "&amp;C$2&amp;":"""&amp;CLEAN(SUBSTITUTE(C174,"""",""""))&amp;""",  "&amp;F$2&amp;":"""&amp;F174&amp;""",  "&amp;H$2&amp;":"""&amp;CLEAN(SUBSTITUTE(H174,"""",""""))&amp;""", "&amp;J$2&amp;":"""&amp;J174&amp;""", "&amp;L$2&amp;":"""&amp;L174&amp;""", "&amp;M$2&amp;":"""&amp;M174&amp;""", "&amp;N$2&amp;":"""&amp;N174&amp;""", "&amp;O$2&amp;":"""&amp;O174&amp;""", "&amp;P$2&amp;":"""&amp;P174&amp;""", "&amp;Q$2&amp;":"""&amp;Q174&amp;""", "&amp;R$2&amp;":"""&amp;R174&amp;""", d11t:"""&amp;CJ174&amp;""",d11p:"""&amp;CK174&amp;""",d12t:"""&amp;CL174&amp;""",d12p:"""&amp;CM174&amp;""",d13t:"""&amp;CN174&amp;""",d13p:"""&amp;CO174&amp;""",d1w:"""&amp;CP174&amp;""",d1d:"""&amp;CQ174&amp;""", d21t:"""&amp;CR174&amp;""",d21p:"""&amp;CS174&amp;""",d22t:"""&amp;CT174&amp;""",d22p:"""&amp;CU174&amp;""",d23t:"""&amp;CV174&amp;""",d23p:"""&amp;CW174&amp;""",d2w:"""&amp;CX174&amp;""",d2d:"""&amp;CY174&amp;""", d31t:"""&amp;CZ174&amp;""",d31p:"""&amp;DA174&amp;""",d32t:"""&amp;DB174&amp;""",d32p:"""&amp;DC174&amp;""",d33t:"""&amp;DD174&amp;""",d33p:"""&amp;DE174&amp;""",d3w:"""&amp;DF174&amp;""",d3d:"""&amp;DG174&amp;"""}; "</f>
        <v>D6.scenario.defInput["i221"] = {  cons:"consCOsum",  title:"エアコンの性能",  unit:"",  text:"エアコンの省エネ性能は良いですか", inputType:"sel221", right:"", postfix:"", nodata:"", varType:"Number", min:"", max:"", defaultValue:"-1", d11t:"3",d11p:"0",d12t:"2",d12p:"1",d13t:"1",d13p:"2",d1w:"1",d1d:"0", d21t:"3",d21p:"0",d22t:"2",d22p:"1",d23t:"1",d23p:"2",d2w:"1",d2d:"0", d31t:"",d31p:"",d32t:"",d32p:"",d33t:"",d33p:"",d3w:"",d3d:""}; </v>
      </c>
      <c r="DO174" s="110"/>
      <c r="DP174" s="110"/>
      <c r="DQ174" s="111" t="str">
        <f aca="false">"D6.scenario.defSelectValue["""&amp;U174&amp;"""]= [ """&amp;CLEAN(V174)&amp;""", """&amp;CLEAN(W174)&amp;IF(X174="","",""", """&amp;CLEAN(X174))&amp;IF(Y174="","",""", """&amp;CLEAN(Y174))&amp;IF(Z174="","",""", """&amp;CLEAN(Z174))&amp;IF(AA174="","",""", """&amp;CLEAN(AA174))&amp;IF(AB174="","",""", """&amp;CLEAN(AB174))&amp;IF(AC174="","",""", """&amp;CLEAN(AC174))&amp;IF(AD174="","",""", """&amp;CLEAN(AD174))&amp;IF(AE174="","",""", """&amp;CLEAN(AE174))&amp;IF(AF174="","",""", """&amp;CLEAN(AF174))&amp;IF(AG174="","",""", """&amp;CLEAN(AG174))&amp;IF(AH174="","",""", """&amp;CLEAN(AH174))&amp;IF(AI174="","",""", """&amp;CLEAN(AI174))&amp;IF(AJ174="","",""", """&amp;CLEAN(AJ174))&amp;IF(AK174="","",""", """&amp;CLEAN(AK174))&amp;""" ];"</f>
        <v>D6.scenario.defSelectValue["sel221"]= [ "選んで下さい", "とてもよい", "ふつう", "あまりよくない", "わからない" ];</v>
      </c>
      <c r="DR174" s="112"/>
      <c r="DS174" s="112"/>
      <c r="DT174" s="112" t="str">
        <f aca="false">"D6.scenario.defSelectData['"&amp;U174&amp;"']= [ '"&amp;BC174&amp;"', '"&amp;BD174&amp;"', '"&amp;BE174&amp;IF(BF174="","","', '"&amp;BF174)&amp;IF(BG174="","","', '"&amp;BG174)&amp;IF(BH174="","","', '"&amp;BH174)&amp;IF(BI174="","","', '"&amp;BI174)&amp;IF(BJ174="","","', '"&amp;BJ174)&amp;IF(BK174="","","', '"&amp;BK174)&amp;IF(BL174="","","', '"&amp;BL174)&amp;IF(BM174="","","', '"&amp;BM174)&amp;IF(BN174="","","', '"&amp;BN174)&amp;IF(BO174="","","', '"&amp;BO174)&amp;IF(BP174="","","', '"&amp;BP174)&amp;IF(BQ174="","","', '"&amp;BQ174)&amp;IF(BR174="","","', '"&amp;BR174)&amp;"' ];"</f>
        <v>D6.scenario.defSelectData['sel221']= [ '-1', '1', '2', '3', '4' ];</v>
      </c>
    </row>
    <row r="175" s="88" customFormat="true" ht="58.5" hidden="false" customHeight="true" outlineLevel="0" collapsed="false">
      <c r="A175" s="66"/>
      <c r="B175" s="95" t="s">
        <v>1976</v>
      </c>
      <c r="C175" s="103" t="s">
        <v>1977</v>
      </c>
      <c r="D175" s="104" t="s">
        <v>1977</v>
      </c>
      <c r="E175" s="95" t="s">
        <v>228</v>
      </c>
      <c r="F175" s="113"/>
      <c r="G175" s="114"/>
      <c r="H175" s="103" t="s">
        <v>1978</v>
      </c>
      <c r="I175" s="104" t="s">
        <v>1979</v>
      </c>
      <c r="J175" s="103" t="str">
        <f aca="false">IF(K175="","",K175)</f>
        <v>sel121</v>
      </c>
      <c r="K175" s="104" t="str">
        <f aca="false">"sel"&amp;MID($B175,2,5)</f>
        <v>sel121</v>
      </c>
      <c r="L175" s="105"/>
      <c r="M175" s="105"/>
      <c r="N175" s="105"/>
      <c r="O175" s="95" t="s">
        <v>931</v>
      </c>
      <c r="P175" s="105"/>
      <c r="Q175" s="105"/>
      <c r="R175" s="95" t="n">
        <v>-1</v>
      </c>
      <c r="S175" s="66"/>
      <c r="T175" s="66"/>
      <c r="U175" s="106" t="str">
        <f aca="false">J175</f>
        <v>sel121</v>
      </c>
      <c r="V175" s="103" t="s">
        <v>979</v>
      </c>
      <c r="W175" s="103" t="s">
        <v>1036</v>
      </c>
      <c r="X175" s="103" t="s">
        <v>1370</v>
      </c>
      <c r="Y175" s="103" t="s">
        <v>1975</v>
      </c>
      <c r="Z175" s="103" t="s">
        <v>1062</v>
      </c>
      <c r="AA175" s="103"/>
      <c r="AB175" s="103"/>
      <c r="AC175" s="103"/>
      <c r="AD175" s="103"/>
      <c r="AE175" s="103"/>
      <c r="AF175" s="103"/>
      <c r="AG175" s="103"/>
      <c r="AH175" s="103"/>
      <c r="AI175" s="103"/>
      <c r="AJ175" s="103"/>
      <c r="AK175" s="103"/>
      <c r="AL175" s="104" t="s">
        <v>979</v>
      </c>
      <c r="AM175" s="104" t="s">
        <v>1036</v>
      </c>
      <c r="AN175" s="107" t="s">
        <v>1370</v>
      </c>
      <c r="AO175" s="107" t="s">
        <v>1975</v>
      </c>
      <c r="AP175" s="104" t="s">
        <v>1062</v>
      </c>
      <c r="AQ175" s="104"/>
      <c r="AR175" s="104"/>
      <c r="AS175" s="104"/>
      <c r="AT175" s="104"/>
      <c r="AU175" s="104"/>
      <c r="AV175" s="104"/>
      <c r="AW175" s="104"/>
      <c r="AX175" s="104"/>
      <c r="AY175" s="104"/>
      <c r="AZ175" s="104"/>
      <c r="BA175" s="104"/>
      <c r="BB175" s="66"/>
      <c r="BC175" s="103" t="n">
        <v>-1</v>
      </c>
      <c r="BD175" s="103" t="n">
        <v>1</v>
      </c>
      <c r="BE175" s="103" t="n">
        <v>2</v>
      </c>
      <c r="BF175" s="103" t="n">
        <v>3</v>
      </c>
      <c r="BG175" s="103" t="n">
        <v>4</v>
      </c>
      <c r="BH175" s="103"/>
      <c r="BI175" s="103"/>
      <c r="BJ175" s="103"/>
      <c r="BK175" s="103"/>
      <c r="BL175" s="103"/>
      <c r="BM175" s="103"/>
      <c r="BN175" s="103"/>
      <c r="BO175" s="103"/>
      <c r="BP175" s="103"/>
      <c r="BQ175" s="103"/>
      <c r="BR175" s="103"/>
      <c r="BS175" s="104" t="n">
        <v>-1</v>
      </c>
      <c r="BT175" s="104" t="n">
        <v>1</v>
      </c>
      <c r="BU175" s="104" t="n">
        <v>2</v>
      </c>
      <c r="BV175" s="104" t="n">
        <v>3</v>
      </c>
      <c r="BW175" s="104" t="n">
        <v>4</v>
      </c>
      <c r="BX175" s="104"/>
      <c r="BY175" s="104"/>
      <c r="BZ175" s="104"/>
      <c r="CA175" s="104"/>
      <c r="CB175" s="104"/>
      <c r="CC175" s="104"/>
      <c r="CD175" s="104"/>
      <c r="CE175" s="104"/>
      <c r="CF175" s="104"/>
      <c r="CG175" s="104"/>
      <c r="CH175" s="104"/>
      <c r="CJ175" s="95" t="n">
        <v>3</v>
      </c>
      <c r="CK175" s="95" t="n">
        <v>0</v>
      </c>
      <c r="CL175" s="95" t="n">
        <v>2</v>
      </c>
      <c r="CM175" s="95" t="n">
        <v>1</v>
      </c>
      <c r="CN175" s="95" t="n">
        <v>1</v>
      </c>
      <c r="CO175" s="95" t="n">
        <v>2</v>
      </c>
      <c r="CP175" s="95" t="n">
        <v>1</v>
      </c>
      <c r="CQ175" s="95" t="n">
        <v>0</v>
      </c>
      <c r="CR175" s="95" t="n">
        <v>3</v>
      </c>
      <c r="CS175" s="95" t="n">
        <v>0</v>
      </c>
      <c r="CT175" s="95" t="n">
        <v>2</v>
      </c>
      <c r="CU175" s="95" t="n">
        <v>1</v>
      </c>
      <c r="CV175" s="95" t="n">
        <v>1</v>
      </c>
      <c r="CW175" s="95" t="n">
        <v>2</v>
      </c>
      <c r="CX175" s="95" t="n">
        <v>1</v>
      </c>
      <c r="CY175" s="95" t="n">
        <v>0</v>
      </c>
      <c r="CZ175" s="95"/>
      <c r="DA175" s="95"/>
      <c r="DB175" s="95"/>
      <c r="DC175" s="95"/>
      <c r="DD175" s="95"/>
      <c r="DE175" s="95"/>
      <c r="DF175" s="95"/>
      <c r="DG175" s="95"/>
      <c r="DL175" s="66"/>
      <c r="DM175" s="66"/>
      <c r="DN175" s="109" t="str">
        <f aca="false">"D6.scenario.defInput["""&amp;B175&amp;"""] = {  "&amp;E$2&amp;":"""&amp;E175&amp;""",  "&amp;C$2&amp;":"""&amp;CLEAN(SUBSTITUTE(C175,"""",""""))&amp;""",  "&amp;F$2&amp;":"""&amp;F175&amp;""",  "&amp;H$2&amp;":"""&amp;CLEAN(SUBSTITUTE(H175,"""",""""))&amp;""", "&amp;J$2&amp;":"""&amp;J175&amp;""", "&amp;L$2&amp;":"""&amp;L175&amp;""", "&amp;M$2&amp;":"""&amp;M175&amp;""", "&amp;N$2&amp;":"""&amp;N175&amp;""", "&amp;O$2&amp;":"""&amp;O175&amp;""", "&amp;P$2&amp;":"""&amp;P175&amp;""", "&amp;Q$2&amp;":"""&amp;Q175&amp;""", "&amp;R$2&amp;":"""&amp;R175&amp;""", d11t:"""&amp;CJ175&amp;""",d11p:"""&amp;CK175&amp;""",d12t:"""&amp;CL175&amp;""",d12p:"""&amp;CM175&amp;""",d13t:"""&amp;CN175&amp;""",d13p:"""&amp;CO175&amp;""",d1w:"""&amp;CP175&amp;""",d1d:"""&amp;CQ175&amp;""", d21t:"""&amp;CR175&amp;""",d21p:"""&amp;CS175&amp;""",d22t:"""&amp;CT175&amp;""",d22p:"""&amp;CU175&amp;""",d23t:"""&amp;CV175&amp;""",d23p:"""&amp;CW175&amp;""",d2w:"""&amp;CX175&amp;""",d2d:"""&amp;CY175&amp;""", d31t:"""&amp;CZ175&amp;""",d31p:"""&amp;DA175&amp;""",d32t:"""&amp;DB175&amp;""",d32p:"""&amp;DC175&amp;""",d33t:"""&amp;DD175&amp;""",d33p:"""&amp;DE175&amp;""",d3w:"""&amp;DF175&amp;""",d3d:"""&amp;DG175&amp;"""}; "</f>
        <v>D6.scenario.defInput["i121"] = {  cons:"consHWsum",  title:"温水器の性能",  unit:"",  text:"温水器の省エネ性能は良いですか。", inputType:"sel121", right:"", postfix:"", nodata:"", varType:"Number", min:"", max:"", defaultValue:"-1", d11t:"3",d11p:"0",d12t:"2",d12p:"1",d13t:"1",d13p:"2",d1w:"1",d1d:"0", d21t:"3",d21p:"0",d22t:"2",d22p:"1",d23t:"1",d23p:"2",d2w:"1",d2d:"0", d31t:"",d31p:"",d32t:"",d32p:"",d33t:"",d33p:"",d3w:"",d3d:""}; </v>
      </c>
      <c r="DO175" s="110"/>
      <c r="DP175" s="110"/>
      <c r="DQ175" s="111" t="str">
        <f aca="false">"D6.scenario.defSelectValue["""&amp;U175&amp;"""]= [ """&amp;CLEAN(V175)&amp;""", """&amp;CLEAN(W175)&amp;IF(X175="","",""", """&amp;CLEAN(X175))&amp;IF(Y175="","",""", """&amp;CLEAN(Y175))&amp;IF(Z175="","",""", """&amp;CLEAN(Z175))&amp;IF(AA175="","",""", """&amp;CLEAN(AA175))&amp;IF(AB175="","",""", """&amp;CLEAN(AB175))&amp;IF(AC175="","",""", """&amp;CLEAN(AC175))&amp;IF(AD175="","",""", """&amp;CLEAN(AD175))&amp;IF(AE175="","",""", """&amp;CLEAN(AE175))&amp;IF(AF175="","",""", """&amp;CLEAN(AF175))&amp;IF(AG175="","",""", """&amp;CLEAN(AG175))&amp;IF(AH175="","",""", """&amp;CLEAN(AH175))&amp;IF(AI175="","",""", """&amp;CLEAN(AI175))&amp;IF(AJ175="","",""", """&amp;CLEAN(AJ175))&amp;IF(AK175="","",""", """&amp;CLEAN(AK175))&amp;""" ];"</f>
        <v>D6.scenario.defSelectValue["sel121"]= [ "選んで下さい", "とてもよい", "ふつう", "あまりよくない", "わからない" ];</v>
      </c>
      <c r="DR175" s="112"/>
      <c r="DS175" s="112"/>
      <c r="DT175" s="112" t="str">
        <f aca="false">"D6.scenario.defSelectData['"&amp;U175&amp;"']= [ '"&amp;BC175&amp;"', '"&amp;BD175&amp;"', '"&amp;BE175&amp;IF(BF175="","","', '"&amp;BF175)&amp;IF(BG175="","","', '"&amp;BG175)&amp;IF(BH175="","","', '"&amp;BH175)&amp;IF(BI175="","","', '"&amp;BI175)&amp;IF(BJ175="","","', '"&amp;BJ175)&amp;IF(BK175="","","', '"&amp;BK175)&amp;IF(BL175="","","', '"&amp;BL175)&amp;IF(BM175="","","', '"&amp;BM175)&amp;IF(BN175="","","', '"&amp;BN175)&amp;IF(BO175="","","', '"&amp;BO175)&amp;IF(BP175="","","', '"&amp;BP175)&amp;IF(BQ175="","","', '"&amp;BQ175)&amp;IF(BR175="","","', '"&amp;BR175)&amp;"' ];"</f>
        <v>D6.scenario.defSelectData['sel121']= [ '-1', '1', '2', '3', '4' ];</v>
      </c>
    </row>
    <row r="176" s="88" customFormat="true" ht="58.5" hidden="false" customHeight="true" outlineLevel="0" collapsed="false">
      <c r="A176" s="66"/>
      <c r="B176" s="95" t="s">
        <v>1980</v>
      </c>
      <c r="C176" s="103" t="s">
        <v>1981</v>
      </c>
      <c r="D176" s="104" t="s">
        <v>1981</v>
      </c>
      <c r="E176" s="95" t="s">
        <v>276</v>
      </c>
      <c r="F176" s="113"/>
      <c r="G176" s="114"/>
      <c r="H176" s="103" t="s">
        <v>1982</v>
      </c>
      <c r="I176" s="104" t="s">
        <v>1983</v>
      </c>
      <c r="J176" s="103" t="str">
        <f aca="false">IF(K176="","",K176)</f>
        <v>sel621</v>
      </c>
      <c r="K176" s="104" t="str">
        <f aca="false">"sel"&amp;MID($B176,2,5)</f>
        <v>sel621</v>
      </c>
      <c r="L176" s="105"/>
      <c r="M176" s="105"/>
      <c r="N176" s="105"/>
      <c r="O176" s="95" t="s">
        <v>931</v>
      </c>
      <c r="P176" s="105"/>
      <c r="Q176" s="105"/>
      <c r="R176" s="95" t="n">
        <v>-1</v>
      </c>
      <c r="S176" s="66"/>
      <c r="T176" s="66"/>
      <c r="U176" s="106" t="str">
        <f aca="false">J176</f>
        <v>sel621</v>
      </c>
      <c r="V176" s="103" t="s">
        <v>979</v>
      </c>
      <c r="W176" s="103" t="s">
        <v>1036</v>
      </c>
      <c r="X176" s="103" t="s">
        <v>1370</v>
      </c>
      <c r="Y176" s="103" t="s">
        <v>1975</v>
      </c>
      <c r="Z176" s="103" t="s">
        <v>1062</v>
      </c>
      <c r="AA176" s="103"/>
      <c r="AB176" s="103"/>
      <c r="AC176" s="103"/>
      <c r="AD176" s="103"/>
      <c r="AE176" s="103"/>
      <c r="AF176" s="103"/>
      <c r="AG176" s="103"/>
      <c r="AH176" s="103"/>
      <c r="AI176" s="103"/>
      <c r="AJ176" s="103"/>
      <c r="AK176" s="103"/>
      <c r="AL176" s="104" t="s">
        <v>979</v>
      </c>
      <c r="AM176" s="104" t="s">
        <v>1036</v>
      </c>
      <c r="AN176" s="107" t="s">
        <v>1370</v>
      </c>
      <c r="AO176" s="107" t="s">
        <v>1975</v>
      </c>
      <c r="AP176" s="104" t="s">
        <v>1062</v>
      </c>
      <c r="AQ176" s="104"/>
      <c r="AR176" s="104"/>
      <c r="AS176" s="104"/>
      <c r="AT176" s="104"/>
      <c r="AU176" s="104"/>
      <c r="AV176" s="104"/>
      <c r="AW176" s="104"/>
      <c r="AX176" s="104"/>
      <c r="AY176" s="104"/>
      <c r="AZ176" s="104"/>
      <c r="BA176" s="104"/>
      <c r="BB176" s="66"/>
      <c r="BC176" s="103" t="n">
        <v>-1</v>
      </c>
      <c r="BD176" s="103" t="n">
        <v>1</v>
      </c>
      <c r="BE176" s="103" t="n">
        <v>2</v>
      </c>
      <c r="BF176" s="103" t="n">
        <v>3</v>
      </c>
      <c r="BG176" s="103" t="n">
        <v>4</v>
      </c>
      <c r="BH176" s="103"/>
      <c r="BI176" s="103"/>
      <c r="BJ176" s="103"/>
      <c r="BK176" s="103"/>
      <c r="BL176" s="103"/>
      <c r="BM176" s="103"/>
      <c r="BN176" s="103"/>
      <c r="BO176" s="103"/>
      <c r="BP176" s="103"/>
      <c r="BQ176" s="103"/>
      <c r="BR176" s="103"/>
      <c r="BS176" s="104" t="n">
        <v>-1</v>
      </c>
      <c r="BT176" s="104" t="n">
        <v>1</v>
      </c>
      <c r="BU176" s="104" t="n">
        <v>2</v>
      </c>
      <c r="BV176" s="104" t="n">
        <v>3</v>
      </c>
      <c r="BW176" s="104" t="n">
        <v>4</v>
      </c>
      <c r="BX176" s="104"/>
      <c r="BY176" s="104"/>
      <c r="BZ176" s="104"/>
      <c r="CA176" s="104"/>
      <c r="CB176" s="104"/>
      <c r="CC176" s="104"/>
      <c r="CD176" s="104"/>
      <c r="CE176" s="104"/>
      <c r="CF176" s="104"/>
      <c r="CG176" s="104"/>
      <c r="CH176" s="104"/>
      <c r="CJ176" s="95" t="n">
        <v>3</v>
      </c>
      <c r="CK176" s="95" t="n">
        <v>0</v>
      </c>
      <c r="CL176" s="95" t="n">
        <v>2</v>
      </c>
      <c r="CM176" s="95" t="n">
        <v>1</v>
      </c>
      <c r="CN176" s="95" t="n">
        <v>1</v>
      </c>
      <c r="CO176" s="95" t="n">
        <v>2</v>
      </c>
      <c r="CP176" s="95" t="n">
        <v>1</v>
      </c>
      <c r="CQ176" s="95" t="n">
        <v>0</v>
      </c>
      <c r="CR176" s="95" t="n">
        <v>3</v>
      </c>
      <c r="CS176" s="95" t="n">
        <v>0</v>
      </c>
      <c r="CT176" s="95" t="n">
        <v>2</v>
      </c>
      <c r="CU176" s="95" t="n">
        <v>1</v>
      </c>
      <c r="CV176" s="95" t="n">
        <v>1</v>
      </c>
      <c r="CW176" s="95" t="n">
        <v>2</v>
      </c>
      <c r="CX176" s="95" t="n">
        <v>1</v>
      </c>
      <c r="CY176" s="95" t="n">
        <v>0</v>
      </c>
      <c r="CZ176" s="95"/>
      <c r="DA176" s="95"/>
      <c r="DB176" s="95"/>
      <c r="DC176" s="95"/>
      <c r="DD176" s="95"/>
      <c r="DE176" s="95"/>
      <c r="DF176" s="95"/>
      <c r="DG176" s="95"/>
      <c r="DL176" s="66"/>
      <c r="DM176" s="66"/>
      <c r="DN176" s="109" t="str">
        <f aca="false">"D6.scenario.defInput["""&amp;B176&amp;"""] = {  "&amp;E$2&amp;":"""&amp;E176&amp;""",  "&amp;C$2&amp;":"""&amp;CLEAN(SUBSTITUTE(C176,"""",""""))&amp;""",  "&amp;F$2&amp;":"""&amp;F176&amp;""",  "&amp;H$2&amp;":"""&amp;CLEAN(SUBSTITUTE(H176,"""",""""))&amp;""", "&amp;J$2&amp;":"""&amp;J176&amp;""", "&amp;L$2&amp;":"""&amp;L176&amp;""", "&amp;M$2&amp;":"""&amp;M176&amp;""", "&amp;N$2&amp;":"""&amp;N176&amp;""", "&amp;O$2&amp;":"""&amp;O176&amp;""", "&amp;P$2&amp;":"""&amp;P176&amp;""", "&amp;Q$2&amp;":"""&amp;Q176&amp;""", "&amp;R$2&amp;":"""&amp;R176&amp;""", d11t:"""&amp;CJ176&amp;""",d11p:"""&amp;CK176&amp;""",d12t:"""&amp;CL176&amp;""",d12p:"""&amp;CM176&amp;""",d13t:"""&amp;CN176&amp;""",d13p:"""&amp;CO176&amp;""",d1w:"""&amp;CP176&amp;""",d1d:"""&amp;CQ176&amp;""", d21t:"""&amp;CR176&amp;""",d21p:"""&amp;CS176&amp;""",d22t:"""&amp;CT176&amp;""",d22p:"""&amp;CU176&amp;""",d23t:"""&amp;CV176&amp;""",d23p:"""&amp;CW176&amp;""",d2w:"""&amp;CX176&amp;""",d2d:"""&amp;CY176&amp;""", d31t:"""&amp;CZ176&amp;""",d31p:"""&amp;DA176&amp;""",d32t:"""&amp;DB176&amp;""",d32p:"""&amp;DC176&amp;""",d33t:"""&amp;DD176&amp;""",d33p:"""&amp;DE176&amp;""",d3w:"""&amp;DF176&amp;""",d3d:"""&amp;DG176&amp;"""}; "</f>
        <v>D6.scenario.defInput["i621"] = {  cons:"consTVsum",  title:"テレビの性能",  unit:"",  text:"テレビの省エネ性能は良いですか。", inputType:"sel621", right:"", postfix:"", nodata:"", varType:"Number", min:"", max:"", defaultValue:"-1", d11t:"3",d11p:"0",d12t:"2",d12p:"1",d13t:"1",d13p:"2",d1w:"1",d1d:"0", d21t:"3",d21p:"0",d22t:"2",d22p:"1",d23t:"1",d23p:"2",d2w:"1",d2d:"0", d31t:"",d31p:"",d32t:"",d32p:"",d33t:"",d33p:"",d3w:"",d3d:""}; </v>
      </c>
      <c r="DO176" s="110"/>
      <c r="DP176" s="110"/>
      <c r="DQ176" s="111" t="str">
        <f aca="false">"D6.scenario.defSelectValue["""&amp;U176&amp;"""]= [ """&amp;CLEAN(V176)&amp;""", """&amp;CLEAN(W176)&amp;IF(X176="","",""", """&amp;CLEAN(X176))&amp;IF(Y176="","",""", """&amp;CLEAN(Y176))&amp;IF(Z176="","",""", """&amp;CLEAN(Z176))&amp;IF(AA176="","",""", """&amp;CLEAN(AA176))&amp;IF(AB176="","",""", """&amp;CLEAN(AB176))&amp;IF(AC176="","",""", """&amp;CLEAN(AC176))&amp;IF(AD176="","",""", """&amp;CLEAN(AD176))&amp;IF(AE176="","",""", """&amp;CLEAN(AE176))&amp;IF(AF176="","",""", """&amp;CLEAN(AF176))&amp;IF(AG176="","",""", """&amp;CLEAN(AG176))&amp;IF(AH176="","",""", """&amp;CLEAN(AH176))&amp;IF(AI176="","",""", """&amp;CLEAN(AI176))&amp;IF(AJ176="","",""", """&amp;CLEAN(AJ176))&amp;IF(AK176="","",""", """&amp;CLEAN(AK176))&amp;""" ];"</f>
        <v>D6.scenario.defSelectValue["sel621"]= [ "選んで下さい", "とてもよい", "ふつう", "あまりよくない", "わからない" ];</v>
      </c>
      <c r="DR176" s="112"/>
      <c r="DS176" s="112"/>
      <c r="DT176" s="112" t="str">
        <f aca="false">"D6.scenario.defSelectData['"&amp;U176&amp;"']= [ '"&amp;BC176&amp;"', '"&amp;BD176&amp;"', '"&amp;BE176&amp;IF(BF176="","","', '"&amp;BF176)&amp;IF(BG176="","","', '"&amp;BG176)&amp;IF(BH176="","","', '"&amp;BH176)&amp;IF(BI176="","","', '"&amp;BI176)&amp;IF(BJ176="","","', '"&amp;BJ176)&amp;IF(BK176="","","', '"&amp;BK176)&amp;IF(BL176="","","', '"&amp;BL176)&amp;IF(BM176="","","', '"&amp;BM176)&amp;IF(BN176="","","', '"&amp;BN176)&amp;IF(BO176="","","', '"&amp;BO176)&amp;IF(BP176="","","', '"&amp;BP176)&amp;IF(BQ176="","","', '"&amp;BQ176)&amp;IF(BR176="","","', '"&amp;BR176)&amp;"' ];"</f>
        <v>D6.scenario.defSelectData['sel621']= [ '-1', '1', '2', '3', '4' ];</v>
      </c>
    </row>
    <row r="177" s="88" customFormat="true" ht="58.5" hidden="false" customHeight="true" outlineLevel="0" collapsed="false">
      <c r="A177" s="66"/>
      <c r="B177" s="95" t="s">
        <v>1984</v>
      </c>
      <c r="C177" s="103" t="s">
        <v>1985</v>
      </c>
      <c r="D177" s="104" t="s">
        <v>1985</v>
      </c>
      <c r="E177" s="95" t="s">
        <v>266</v>
      </c>
      <c r="F177" s="113"/>
      <c r="G177" s="114"/>
      <c r="H177" s="103" t="s">
        <v>1986</v>
      </c>
      <c r="I177" s="104" t="s">
        <v>1987</v>
      </c>
      <c r="J177" s="103" t="str">
        <f aca="false">IF(K177="","",K177)</f>
        <v>sel421</v>
      </c>
      <c r="K177" s="104" t="str">
        <f aca="false">"sel"&amp;MID($B177,2,5)</f>
        <v>sel421</v>
      </c>
      <c r="L177" s="105"/>
      <c r="M177" s="105"/>
      <c r="N177" s="105"/>
      <c r="O177" s="95" t="s">
        <v>931</v>
      </c>
      <c r="P177" s="105"/>
      <c r="Q177" s="105"/>
      <c r="R177" s="95" t="n">
        <v>-1</v>
      </c>
      <c r="S177" s="66"/>
      <c r="T177" s="66"/>
      <c r="U177" s="106" t="str">
        <f aca="false">J177</f>
        <v>sel421</v>
      </c>
      <c r="V177" s="103" t="s">
        <v>979</v>
      </c>
      <c r="W177" s="103" t="s">
        <v>1036</v>
      </c>
      <c r="X177" s="103" t="s">
        <v>1370</v>
      </c>
      <c r="Y177" s="103" t="s">
        <v>1975</v>
      </c>
      <c r="Z177" s="103" t="s">
        <v>1062</v>
      </c>
      <c r="AA177" s="103"/>
      <c r="AB177" s="103"/>
      <c r="AC177" s="103"/>
      <c r="AD177" s="103"/>
      <c r="AE177" s="103"/>
      <c r="AF177" s="103"/>
      <c r="AG177" s="103"/>
      <c r="AH177" s="103"/>
      <c r="AI177" s="103"/>
      <c r="AJ177" s="103"/>
      <c r="AK177" s="103"/>
      <c r="AL177" s="104" t="s">
        <v>979</v>
      </c>
      <c r="AM177" s="104" t="s">
        <v>1036</v>
      </c>
      <c r="AN177" s="107" t="s">
        <v>1370</v>
      </c>
      <c r="AO177" s="107" t="s">
        <v>1975</v>
      </c>
      <c r="AP177" s="104" t="s">
        <v>1062</v>
      </c>
      <c r="AQ177" s="104"/>
      <c r="AR177" s="104"/>
      <c r="AS177" s="104"/>
      <c r="AT177" s="104"/>
      <c r="AU177" s="104"/>
      <c r="AV177" s="104"/>
      <c r="AW177" s="104"/>
      <c r="AX177" s="104"/>
      <c r="AY177" s="104"/>
      <c r="AZ177" s="104"/>
      <c r="BA177" s="104"/>
      <c r="BB177" s="66"/>
      <c r="BC177" s="103" t="n">
        <v>-1</v>
      </c>
      <c r="BD177" s="103" t="n">
        <v>1</v>
      </c>
      <c r="BE177" s="103" t="n">
        <v>2</v>
      </c>
      <c r="BF177" s="103" t="n">
        <v>3</v>
      </c>
      <c r="BG177" s="103" t="n">
        <v>4</v>
      </c>
      <c r="BH177" s="103"/>
      <c r="BI177" s="103"/>
      <c r="BJ177" s="103"/>
      <c r="BK177" s="103"/>
      <c r="BL177" s="103"/>
      <c r="BM177" s="103"/>
      <c r="BN177" s="103"/>
      <c r="BO177" s="103"/>
      <c r="BP177" s="103"/>
      <c r="BQ177" s="103"/>
      <c r="BR177" s="103"/>
      <c r="BS177" s="104" t="n">
        <v>-1</v>
      </c>
      <c r="BT177" s="104" t="n">
        <v>1</v>
      </c>
      <c r="BU177" s="104" t="n">
        <v>2</v>
      </c>
      <c r="BV177" s="104" t="n">
        <v>3</v>
      </c>
      <c r="BW177" s="104" t="n">
        <v>4</v>
      </c>
      <c r="BX177" s="104"/>
      <c r="BY177" s="104"/>
      <c r="BZ177" s="104"/>
      <c r="CA177" s="104"/>
      <c r="CB177" s="104"/>
      <c r="CC177" s="104"/>
      <c r="CD177" s="104"/>
      <c r="CE177" s="104"/>
      <c r="CF177" s="104"/>
      <c r="CG177" s="104"/>
      <c r="CH177" s="104"/>
      <c r="CJ177" s="95" t="n">
        <v>3</v>
      </c>
      <c r="CK177" s="95" t="n">
        <v>0</v>
      </c>
      <c r="CL177" s="95" t="n">
        <v>2</v>
      </c>
      <c r="CM177" s="95" t="n">
        <v>1</v>
      </c>
      <c r="CN177" s="95" t="n">
        <v>1</v>
      </c>
      <c r="CO177" s="95" t="n">
        <v>2</v>
      </c>
      <c r="CP177" s="95" t="n">
        <v>1</v>
      </c>
      <c r="CQ177" s="95" t="n">
        <v>0</v>
      </c>
      <c r="CR177" s="95" t="n">
        <v>3</v>
      </c>
      <c r="CS177" s="95" t="n">
        <v>0</v>
      </c>
      <c r="CT177" s="95" t="n">
        <v>2</v>
      </c>
      <c r="CU177" s="95" t="n">
        <v>1</v>
      </c>
      <c r="CV177" s="95" t="n">
        <v>1</v>
      </c>
      <c r="CW177" s="95" t="n">
        <v>2</v>
      </c>
      <c r="CX177" s="95" t="n">
        <v>1</v>
      </c>
      <c r="CY177" s="95" t="n">
        <v>0</v>
      </c>
      <c r="CZ177" s="95"/>
      <c r="DA177" s="95"/>
      <c r="DB177" s="95"/>
      <c r="DC177" s="95"/>
      <c r="DD177" s="95"/>
      <c r="DE177" s="95"/>
      <c r="DF177" s="95"/>
      <c r="DG177" s="95"/>
      <c r="DL177" s="66"/>
      <c r="DM177" s="66"/>
      <c r="DN177" s="109" t="str">
        <f aca="false">"D6.scenario.defInput["""&amp;B177&amp;"""] = {  "&amp;E$2&amp;":"""&amp;E177&amp;""",  "&amp;C$2&amp;":"""&amp;CLEAN(SUBSTITUTE(C177,"""",""""))&amp;""",  "&amp;F$2&amp;":"""&amp;F177&amp;""",  "&amp;H$2&amp;":"""&amp;CLEAN(SUBSTITUTE(H177,"""",""""))&amp;""", "&amp;J$2&amp;":"""&amp;J177&amp;""", "&amp;L$2&amp;":"""&amp;L177&amp;""", "&amp;M$2&amp;":"""&amp;M177&amp;""", "&amp;N$2&amp;":"""&amp;N177&amp;""", "&amp;O$2&amp;":"""&amp;O177&amp;""", "&amp;P$2&amp;":"""&amp;P177&amp;""", "&amp;Q$2&amp;":"""&amp;Q177&amp;""", "&amp;R$2&amp;":"""&amp;R177&amp;""", d11t:"""&amp;CJ177&amp;""",d11p:"""&amp;CK177&amp;""",d12t:"""&amp;CL177&amp;""",d12p:"""&amp;CM177&amp;""",d13t:"""&amp;CN177&amp;""",d13p:"""&amp;CO177&amp;""",d1w:"""&amp;CP177&amp;""",d1d:"""&amp;CQ177&amp;""", d21t:"""&amp;CR177&amp;""",d21p:"""&amp;CS177&amp;""",d22t:"""&amp;CT177&amp;""",d22p:"""&amp;CU177&amp;""",d23t:"""&amp;CV177&amp;""",d23p:"""&amp;CW177&amp;""",d2w:"""&amp;CX177&amp;""",d2d:"""&amp;CY177&amp;""", d31t:"""&amp;CZ177&amp;""",d31p:"""&amp;DA177&amp;""",d32t:"""&amp;DB177&amp;""",d32p:"""&amp;DC177&amp;""",d33t:"""&amp;DD177&amp;""",d33p:"""&amp;DE177&amp;""",d3w:"""&amp;DF177&amp;""",d3d:"""&amp;DG177&amp;"""}; "</f>
        <v>D6.scenario.defInput["i421"] = {  cons:"consDRsum",  title:"洗濯機の性能",  unit:"",  text:"洗濯機の省エネ性能は良いですか。", inputType:"sel421", right:"", postfix:"", nodata:"", varType:"Number", min:"", max:"", defaultValue:"-1", d11t:"3",d11p:"0",d12t:"2",d12p:"1",d13t:"1",d13p:"2",d1w:"1",d1d:"0", d21t:"3",d21p:"0",d22t:"2",d22p:"1",d23t:"1",d23p:"2",d2w:"1",d2d:"0", d31t:"",d31p:"",d32t:"",d32p:"",d33t:"",d33p:"",d3w:"",d3d:""}; </v>
      </c>
      <c r="DO177" s="110"/>
      <c r="DP177" s="110"/>
      <c r="DQ177" s="111" t="str">
        <f aca="false">"D6.scenario.defSelectValue["""&amp;U177&amp;"""]= [ """&amp;CLEAN(V177)&amp;""", """&amp;CLEAN(W177)&amp;IF(X177="","",""", """&amp;CLEAN(X177))&amp;IF(Y177="","",""", """&amp;CLEAN(Y177))&amp;IF(Z177="","",""", """&amp;CLEAN(Z177))&amp;IF(AA177="","",""", """&amp;CLEAN(AA177))&amp;IF(AB177="","",""", """&amp;CLEAN(AB177))&amp;IF(AC177="","",""", """&amp;CLEAN(AC177))&amp;IF(AD177="","",""", """&amp;CLEAN(AD177))&amp;IF(AE177="","",""", """&amp;CLEAN(AE177))&amp;IF(AF177="","",""", """&amp;CLEAN(AF177))&amp;IF(AG177="","",""", """&amp;CLEAN(AG177))&amp;IF(AH177="","",""", """&amp;CLEAN(AH177))&amp;IF(AI177="","",""", """&amp;CLEAN(AI177))&amp;IF(AJ177="","",""", """&amp;CLEAN(AJ177))&amp;IF(AK177="","",""", """&amp;CLEAN(AK177))&amp;""" ];"</f>
        <v>D6.scenario.defSelectValue["sel421"]= [ "選んで下さい", "とてもよい", "ふつう", "あまりよくない", "わからない" ];</v>
      </c>
      <c r="DR177" s="112"/>
      <c r="DS177" s="112"/>
      <c r="DT177" s="112" t="str">
        <f aca="false">"D6.scenario.defSelectData['"&amp;U177&amp;"']= [ '"&amp;BC177&amp;"', '"&amp;BD177&amp;"', '"&amp;BE177&amp;IF(BF177="","","', '"&amp;BF177)&amp;IF(BG177="","","', '"&amp;BG177)&amp;IF(BH177="","","', '"&amp;BH177)&amp;IF(BI177="","","', '"&amp;BI177)&amp;IF(BJ177="","","', '"&amp;BJ177)&amp;IF(BK177="","","', '"&amp;BK177)&amp;IF(BL177="","","', '"&amp;BL177)&amp;IF(BM177="","","', '"&amp;BM177)&amp;IF(BN177="","","', '"&amp;BN177)&amp;IF(BO177="","","', '"&amp;BO177)&amp;IF(BP177="","","', '"&amp;BP177)&amp;IF(BQ177="","","', '"&amp;BQ177)&amp;IF(BR177="","","', '"&amp;BR177)&amp;"' ];"</f>
        <v>D6.scenario.defSelectData['sel421']= [ '-1', '1', '2', '3', '4' ];</v>
      </c>
    </row>
    <row r="178" s="88" customFormat="true" ht="58.5" hidden="false" customHeight="true" outlineLevel="0" collapsed="false">
      <c r="A178" s="66"/>
      <c r="B178" s="95" t="s">
        <v>1988</v>
      </c>
      <c r="C178" s="103" t="s">
        <v>1989</v>
      </c>
      <c r="D178" s="104" t="s">
        <v>1989</v>
      </c>
      <c r="E178" s="95" t="s">
        <v>253</v>
      </c>
      <c r="F178" s="113"/>
      <c r="G178" s="114"/>
      <c r="H178" s="103" t="s">
        <v>1990</v>
      </c>
      <c r="I178" s="104" t="s">
        <v>1991</v>
      </c>
      <c r="J178" s="103" t="str">
        <f aca="false">IF(K178="","",K178)</f>
        <v>sel721</v>
      </c>
      <c r="K178" s="104" t="str">
        <f aca="false">"sel"&amp;MID($B178,2,5)</f>
        <v>sel721</v>
      </c>
      <c r="L178" s="105"/>
      <c r="M178" s="105"/>
      <c r="N178" s="105"/>
      <c r="O178" s="95" t="s">
        <v>931</v>
      </c>
      <c r="P178" s="105"/>
      <c r="Q178" s="105"/>
      <c r="R178" s="95" t="n">
        <v>-1</v>
      </c>
      <c r="S178" s="66"/>
      <c r="T178" s="66"/>
      <c r="U178" s="106" t="str">
        <f aca="false">J178</f>
        <v>sel721</v>
      </c>
      <c r="V178" s="103" t="s">
        <v>979</v>
      </c>
      <c r="W178" s="103" t="s">
        <v>1036</v>
      </c>
      <c r="X178" s="103" t="s">
        <v>1370</v>
      </c>
      <c r="Y178" s="103" t="s">
        <v>1975</v>
      </c>
      <c r="Z178" s="103" t="s">
        <v>1062</v>
      </c>
      <c r="AA178" s="103"/>
      <c r="AB178" s="103"/>
      <c r="AC178" s="103"/>
      <c r="AD178" s="103"/>
      <c r="AE178" s="103"/>
      <c r="AF178" s="103"/>
      <c r="AG178" s="103"/>
      <c r="AH178" s="103"/>
      <c r="AI178" s="103"/>
      <c r="AJ178" s="103"/>
      <c r="AK178" s="103"/>
      <c r="AL178" s="104" t="s">
        <v>979</v>
      </c>
      <c r="AM178" s="104" t="s">
        <v>1036</v>
      </c>
      <c r="AN178" s="107" t="s">
        <v>1370</v>
      </c>
      <c r="AO178" s="107" t="s">
        <v>1975</v>
      </c>
      <c r="AP178" s="104" t="s">
        <v>1062</v>
      </c>
      <c r="AQ178" s="104"/>
      <c r="AR178" s="104"/>
      <c r="AS178" s="104"/>
      <c r="AT178" s="104"/>
      <c r="AU178" s="104"/>
      <c r="AV178" s="104"/>
      <c r="AW178" s="104"/>
      <c r="AX178" s="104"/>
      <c r="AY178" s="104"/>
      <c r="AZ178" s="104"/>
      <c r="BA178" s="104"/>
      <c r="BB178" s="66"/>
      <c r="BC178" s="103" t="n">
        <v>-1</v>
      </c>
      <c r="BD178" s="103" t="n">
        <v>1</v>
      </c>
      <c r="BE178" s="103" t="n">
        <v>2</v>
      </c>
      <c r="BF178" s="103" t="n">
        <v>3</v>
      </c>
      <c r="BG178" s="103" t="n">
        <v>4</v>
      </c>
      <c r="BH178" s="103"/>
      <c r="BI178" s="103"/>
      <c r="BJ178" s="103"/>
      <c r="BK178" s="103"/>
      <c r="BL178" s="103"/>
      <c r="BM178" s="103"/>
      <c r="BN178" s="103"/>
      <c r="BO178" s="103"/>
      <c r="BP178" s="103"/>
      <c r="BQ178" s="103"/>
      <c r="BR178" s="103"/>
      <c r="BS178" s="104" t="n">
        <v>-1</v>
      </c>
      <c r="BT178" s="104" t="n">
        <v>1</v>
      </c>
      <c r="BU178" s="104" t="n">
        <v>2</v>
      </c>
      <c r="BV178" s="104" t="n">
        <v>3</v>
      </c>
      <c r="BW178" s="104" t="n">
        <v>4</v>
      </c>
      <c r="BX178" s="104"/>
      <c r="BY178" s="104"/>
      <c r="BZ178" s="104"/>
      <c r="CA178" s="104"/>
      <c r="CB178" s="104"/>
      <c r="CC178" s="104"/>
      <c r="CD178" s="104"/>
      <c r="CE178" s="104"/>
      <c r="CF178" s="104"/>
      <c r="CG178" s="104"/>
      <c r="CH178" s="104"/>
      <c r="CJ178" s="95" t="n">
        <v>3</v>
      </c>
      <c r="CK178" s="95" t="n">
        <v>0</v>
      </c>
      <c r="CL178" s="95" t="n">
        <v>2</v>
      </c>
      <c r="CM178" s="95" t="n">
        <v>1</v>
      </c>
      <c r="CN178" s="95" t="n">
        <v>1</v>
      </c>
      <c r="CO178" s="95" t="n">
        <v>2</v>
      </c>
      <c r="CP178" s="95" t="n">
        <v>1</v>
      </c>
      <c r="CQ178" s="95" t="n">
        <v>0</v>
      </c>
      <c r="CR178" s="95" t="n">
        <v>3</v>
      </c>
      <c r="CS178" s="95" t="n">
        <v>0</v>
      </c>
      <c r="CT178" s="95" t="n">
        <v>2</v>
      </c>
      <c r="CU178" s="95" t="n">
        <v>1</v>
      </c>
      <c r="CV178" s="95" t="n">
        <v>1</v>
      </c>
      <c r="CW178" s="95" t="n">
        <v>2</v>
      </c>
      <c r="CX178" s="95" t="n">
        <v>1</v>
      </c>
      <c r="CY178" s="95" t="n">
        <v>0</v>
      </c>
      <c r="CZ178" s="95"/>
      <c r="DA178" s="95"/>
      <c r="DB178" s="95"/>
      <c r="DC178" s="95"/>
      <c r="DD178" s="95"/>
      <c r="DE178" s="95"/>
      <c r="DF178" s="95"/>
      <c r="DG178" s="95"/>
      <c r="DL178" s="66"/>
      <c r="DM178" s="66"/>
      <c r="DN178" s="109" t="str">
        <f aca="false">"D6.scenario.defInput["""&amp;B178&amp;"""] = {  "&amp;E$2&amp;":"""&amp;E178&amp;""",  "&amp;C$2&amp;":"""&amp;CLEAN(SUBSTITUTE(C178,"""",""""))&amp;""",  "&amp;F$2&amp;":"""&amp;F178&amp;""",  "&amp;H$2&amp;":"""&amp;CLEAN(SUBSTITUTE(H178,"""",""""))&amp;""", "&amp;J$2&amp;":"""&amp;J178&amp;""", "&amp;L$2&amp;":"""&amp;L178&amp;""", "&amp;M$2&amp;":"""&amp;M178&amp;""", "&amp;N$2&amp;":"""&amp;N178&amp;""", "&amp;O$2&amp;":"""&amp;O178&amp;""", "&amp;P$2&amp;":"""&amp;P178&amp;""", "&amp;Q$2&amp;":"""&amp;Q178&amp;""", "&amp;R$2&amp;":"""&amp;R178&amp;""", d11t:"""&amp;CJ178&amp;""",d11p:"""&amp;CK178&amp;""",d12t:"""&amp;CL178&amp;""",d12p:"""&amp;CM178&amp;""",d13t:"""&amp;CN178&amp;""",d13p:"""&amp;CO178&amp;""",d1w:"""&amp;CP178&amp;""",d1d:"""&amp;CQ178&amp;""", d21t:"""&amp;CR178&amp;""",d21p:"""&amp;CS178&amp;""",d22t:"""&amp;CT178&amp;""",d22p:"""&amp;CU178&amp;""",d23t:"""&amp;CV178&amp;""",d23p:"""&amp;CW178&amp;""",d2w:"""&amp;CX178&amp;""",d2d:"""&amp;CY178&amp;""", d31t:"""&amp;CZ178&amp;""",d31p:"""&amp;DA178&amp;""",d32t:"""&amp;DB178&amp;""",d32p:"""&amp;DC178&amp;""",d33t:"""&amp;DD178&amp;""",d33p:"""&amp;DE178&amp;""",d3w:"""&amp;DF178&amp;""",d3d:"""&amp;DG178&amp;"""}; "</f>
        <v>D6.scenario.defInput["i721"] = {  cons:"consRFsum",  title:"冷蔵庫の性能",  unit:"",  text:"冷蔵庫の省エネ性能は良いですか。", inputType:"sel721", right:"", postfix:"", nodata:"", varType:"Number", min:"", max:"", defaultValue:"-1", d11t:"3",d11p:"0",d12t:"2",d12p:"1",d13t:"1",d13p:"2",d1w:"1",d1d:"0", d21t:"3",d21p:"0",d22t:"2",d22p:"1",d23t:"1",d23p:"2",d2w:"1",d2d:"0", d31t:"",d31p:"",d32t:"",d32p:"",d33t:"",d33p:"",d3w:"",d3d:""}; </v>
      </c>
      <c r="DO178" s="110"/>
      <c r="DP178" s="110"/>
      <c r="DQ178" s="111" t="str">
        <f aca="false">"D6.scenario.defSelectValue["""&amp;U178&amp;"""]= [ """&amp;CLEAN(V178)&amp;""", """&amp;CLEAN(W178)&amp;IF(X178="","",""", """&amp;CLEAN(X178))&amp;IF(Y178="","",""", """&amp;CLEAN(Y178))&amp;IF(Z178="","",""", """&amp;CLEAN(Z178))&amp;IF(AA178="","",""", """&amp;CLEAN(AA178))&amp;IF(AB178="","",""", """&amp;CLEAN(AB178))&amp;IF(AC178="","",""", """&amp;CLEAN(AC178))&amp;IF(AD178="","",""", """&amp;CLEAN(AD178))&amp;IF(AE178="","",""", """&amp;CLEAN(AE178))&amp;IF(AF178="","",""", """&amp;CLEAN(AF178))&amp;IF(AG178="","",""", """&amp;CLEAN(AG178))&amp;IF(AH178="","",""", """&amp;CLEAN(AH178))&amp;IF(AI178="","",""", """&amp;CLEAN(AI178))&amp;IF(AJ178="","",""", """&amp;CLEAN(AJ178))&amp;IF(AK178="","",""", """&amp;CLEAN(AK178))&amp;""" ];"</f>
        <v>D6.scenario.defSelectValue["sel721"]= [ "選んで下さい", "とてもよい", "ふつう", "あまりよくない", "わからない" ];</v>
      </c>
      <c r="DR178" s="112"/>
      <c r="DS178" s="112"/>
      <c r="DT178" s="112" t="str">
        <f aca="false">"D6.scenario.defSelectData['"&amp;U178&amp;"']= [ '"&amp;BC178&amp;"', '"&amp;BD178&amp;"', '"&amp;BE178&amp;IF(BF178="","","', '"&amp;BF178)&amp;IF(BG178="","","', '"&amp;BG178)&amp;IF(BH178="","","', '"&amp;BH178)&amp;IF(BI178="","","', '"&amp;BI178)&amp;IF(BJ178="","","', '"&amp;BJ178)&amp;IF(BK178="","","', '"&amp;BK178)&amp;IF(BL178="","","', '"&amp;BL178)&amp;IF(BM178="","","', '"&amp;BM178)&amp;IF(BN178="","","', '"&amp;BN178)&amp;IF(BO178="","","', '"&amp;BO178)&amp;IF(BP178="","","', '"&amp;BP178)&amp;IF(BQ178="","","', '"&amp;BQ178)&amp;IF(BR178="","","', '"&amp;BR178)&amp;"' ];"</f>
        <v>D6.scenario.defSelectData['sel721']= [ '-1', '1', '2', '3', '4' ];</v>
      </c>
    </row>
    <row r="179" s="88" customFormat="true" ht="43.5" hidden="false" customHeight="true" outlineLevel="0" collapsed="false">
      <c r="A179" s="66"/>
      <c r="B179" s="105" t="s">
        <v>1992</v>
      </c>
      <c r="C179" s="103" t="s">
        <v>1993</v>
      </c>
      <c r="D179" s="104" t="s">
        <v>1871</v>
      </c>
      <c r="E179" s="95" t="s">
        <v>279</v>
      </c>
      <c r="F179" s="103"/>
      <c r="G179" s="104"/>
      <c r="H179" s="103" t="s">
        <v>1994</v>
      </c>
      <c r="I179" s="104" t="s">
        <v>1871</v>
      </c>
      <c r="J179" s="103" t="str">
        <f aca="false">IF(K179="","",K179)</f>
        <v>sel941</v>
      </c>
      <c r="K179" s="104" t="str">
        <f aca="false">"sel"&amp;MID($B179,2,5)</f>
        <v>sel941</v>
      </c>
      <c r="L179" s="105"/>
      <c r="M179" s="105"/>
      <c r="N179" s="105"/>
      <c r="O179" s="95" t="s">
        <v>931</v>
      </c>
      <c r="P179" s="105"/>
      <c r="Q179" s="105"/>
      <c r="R179" s="95" t="n">
        <v>-1</v>
      </c>
      <c r="S179" s="66"/>
      <c r="U179" s="106" t="str">
        <f aca="false">J179</f>
        <v>sel941</v>
      </c>
      <c r="V179" s="103" t="s">
        <v>979</v>
      </c>
      <c r="W179" s="103" t="s">
        <v>1806</v>
      </c>
      <c r="X179" s="103" t="s">
        <v>1807</v>
      </c>
      <c r="Y179" s="103" t="s">
        <v>1995</v>
      </c>
      <c r="Z179" s="103" t="s">
        <v>1996</v>
      </c>
      <c r="AA179" s="103"/>
      <c r="AB179" s="103"/>
      <c r="AC179" s="103"/>
      <c r="AD179" s="103"/>
      <c r="AE179" s="103"/>
      <c r="AF179" s="103"/>
      <c r="AG179" s="103"/>
      <c r="AH179" s="103"/>
      <c r="AI179" s="103"/>
      <c r="AJ179" s="103"/>
      <c r="AK179" s="103"/>
      <c r="AL179" s="104" t="s">
        <v>979</v>
      </c>
      <c r="AM179" s="107" t="s">
        <v>1459</v>
      </c>
      <c r="AN179" s="107" t="s">
        <v>1806</v>
      </c>
      <c r="AO179" s="107" t="s">
        <v>1807</v>
      </c>
      <c r="AP179" s="107" t="s">
        <v>1808</v>
      </c>
      <c r="AQ179" s="107" t="s">
        <v>1809</v>
      </c>
      <c r="AR179" s="104" t="s">
        <v>1873</v>
      </c>
      <c r="AS179" s="104"/>
      <c r="AT179" s="104"/>
      <c r="AU179" s="104"/>
      <c r="AV179" s="104"/>
      <c r="AW179" s="104"/>
      <c r="AX179" s="104"/>
      <c r="AY179" s="104"/>
      <c r="AZ179" s="104"/>
      <c r="BA179" s="104"/>
      <c r="BB179" s="66"/>
      <c r="BC179" s="103" t="n">
        <v>-1</v>
      </c>
      <c r="BD179" s="103" t="n">
        <v>1</v>
      </c>
      <c r="BE179" s="103" t="n">
        <v>2</v>
      </c>
      <c r="BF179" s="103" t="n">
        <v>3</v>
      </c>
      <c r="BG179" s="103" t="n">
        <v>0</v>
      </c>
      <c r="BH179" s="103"/>
      <c r="BI179" s="103"/>
      <c r="BJ179" s="103"/>
      <c r="BK179" s="103"/>
      <c r="BL179" s="103"/>
      <c r="BM179" s="103"/>
      <c r="BN179" s="103"/>
      <c r="BO179" s="103"/>
      <c r="BP179" s="103"/>
      <c r="BQ179" s="103"/>
      <c r="BR179" s="103"/>
      <c r="BS179" s="104" t="n">
        <v>-1</v>
      </c>
      <c r="BT179" s="104" t="n">
        <v>0</v>
      </c>
      <c r="BU179" s="104" t="n">
        <v>1</v>
      </c>
      <c r="BV179" s="104" t="n">
        <v>2</v>
      </c>
      <c r="BW179" s="104" t="n">
        <v>3</v>
      </c>
      <c r="BX179" s="104" t="n">
        <v>4</v>
      </c>
      <c r="BY179" s="104" t="n">
        <v>5</v>
      </c>
      <c r="BZ179" s="104"/>
      <c r="CA179" s="104"/>
      <c r="CB179" s="104"/>
      <c r="CC179" s="104"/>
      <c r="CD179" s="104"/>
      <c r="CE179" s="104"/>
      <c r="CF179" s="104"/>
      <c r="CG179" s="104"/>
      <c r="CH179" s="104"/>
      <c r="CJ179" s="95" t="n">
        <v>4</v>
      </c>
      <c r="CK179" s="95" t="n">
        <v>0</v>
      </c>
      <c r="CL179" s="95" t="n">
        <v>2</v>
      </c>
      <c r="CM179" s="95" t="n">
        <v>1</v>
      </c>
      <c r="CN179" s="95" t="n">
        <v>0</v>
      </c>
      <c r="CO179" s="95" t="n">
        <v>2</v>
      </c>
      <c r="CP179" s="95" t="n">
        <v>2</v>
      </c>
      <c r="CQ179" s="95" t="n">
        <v>1</v>
      </c>
      <c r="CR179" s="95"/>
      <c r="CS179" s="95"/>
      <c r="CT179" s="95"/>
      <c r="CU179" s="95"/>
      <c r="CV179" s="95"/>
      <c r="CW179" s="95"/>
      <c r="CX179" s="95"/>
      <c r="CY179" s="95"/>
      <c r="CZ179" s="95"/>
      <c r="DA179" s="95"/>
      <c r="DB179" s="95"/>
      <c r="DC179" s="95"/>
      <c r="DD179" s="95"/>
      <c r="DE179" s="95"/>
      <c r="DF179" s="95"/>
      <c r="DG179" s="95"/>
      <c r="DL179" s="108"/>
      <c r="DM179" s="108"/>
      <c r="DN179" s="109" t="str">
        <f aca="false">"D6.scenario.defInput["""&amp;B179&amp;"""] = {  "&amp;E$2&amp;":"""&amp;E179&amp;""",  "&amp;C$2&amp;":"""&amp;CLEAN(SUBSTITUTE(C179,"""",""""))&amp;""",  "&amp;F$2&amp;":"""&amp;F179&amp;""",  "&amp;H$2&amp;":"""&amp;CLEAN(SUBSTITUTE(H179,"""",""""))&amp;""", "&amp;J$2&amp;":"""&amp;J179&amp;""", "&amp;L$2&amp;":"""&amp;L179&amp;""", "&amp;M$2&amp;":"""&amp;M179&amp;""", "&amp;N$2&amp;":"""&amp;N179&amp;""", "&amp;O$2&amp;":"""&amp;O179&amp;""", "&amp;P$2&amp;":"""&amp;P179&amp;""", "&amp;Q$2&amp;":"""&amp;Q179&amp;""", "&amp;R$2&amp;":"""&amp;R179&amp;""", d11t:"""&amp;CJ179&amp;""",d11p:"""&amp;CK179&amp;""",d12t:"""&amp;CL179&amp;""",d12p:"""&amp;CM179&amp;""",d13t:"""&amp;CN179&amp;""",d13p:"""&amp;CO179&amp;""",d1w:"""&amp;CP179&amp;""",d1d:"""&amp;CQ179&amp;""", d21t:"""&amp;CR179&amp;""",d21p:"""&amp;CS179&amp;""",d22t:"""&amp;CT179&amp;""",d22p:"""&amp;CU179&amp;""",d23t:"""&amp;CV179&amp;""",d23p:"""&amp;CW179&amp;""",d2w:"""&amp;CX179&amp;""",d2d:"""&amp;CY179&amp;""", d31t:"""&amp;CZ179&amp;""",d31p:"""&amp;DA179&amp;""",d32t:"""&amp;DB179&amp;""",d32p:"""&amp;DC179&amp;""",d33t:"""&amp;DD179&amp;""",d33p:"""&amp;DE179&amp;""",d3w:"""&amp;DF179&amp;""",d3d:"""&amp;DG179&amp;"""}; "</f>
        <v>D6.scenario.defInput["i941"] = {  cons:"consCRsum",  title:"ガソリン車",  unit:"",  text:"ガソリン車を何台お持ちですか", inputType:"sel941", right:"", postfix:"", nodata:"", varType:"Number", min:"", max:"", defaultValue:"-1", d11t:"4",d11p:"0",d12t:"2",d12p:"1",d13t:"0",d13p:"2",d1w:"2",d1d:"1", d21t:"",d21p:"",d22t:"",d22p:"",d23t:"",d23p:"",d2w:"",d2d:"", d31t:"",d31p:"",d32t:"",d32p:"",d33t:"",d33p:"",d3w:"",d3d:""}; </v>
      </c>
      <c r="DO179" s="110"/>
      <c r="DP179" s="110"/>
      <c r="DQ179" s="111" t="str">
        <f aca="false">"D6.scenario.defSelectValue["""&amp;U179&amp;"""]= [ """&amp;CLEAN(V179)&amp;""", """&amp;CLEAN(W179)&amp;IF(X179="","",""", """&amp;CLEAN(X179))&amp;IF(Y179="","",""", """&amp;CLEAN(Y179))&amp;IF(Z179="","",""", """&amp;CLEAN(Z179))&amp;IF(AA179="","",""", """&amp;CLEAN(AA179))&amp;IF(AB179="","",""", """&amp;CLEAN(AB179))&amp;IF(AC179="","",""", """&amp;CLEAN(AC179))&amp;IF(AD179="","",""", """&amp;CLEAN(AD179))&amp;IF(AE179="","",""", """&amp;CLEAN(AE179))&amp;IF(AF179="","",""", """&amp;CLEAN(AF179))&amp;IF(AG179="","",""", """&amp;CLEAN(AG179))&amp;IF(AH179="","",""", """&amp;CLEAN(AH179))&amp;IF(AI179="","",""", """&amp;CLEAN(AI179))&amp;IF(AJ179="","",""", """&amp;CLEAN(AJ179))&amp;IF(AK179="","",""", """&amp;CLEAN(AK179))&amp;""" ];"</f>
        <v>D6.scenario.defSelectValue["sel941"]= [ "選んで下さい", "1台", "2台", "3台以上", "無し" ];</v>
      </c>
      <c r="DR179" s="112"/>
      <c r="DS179" s="112"/>
      <c r="DT179" s="112" t="str">
        <f aca="false">"D6.scenario.defSelectData['"&amp;U179&amp;"']= [ '"&amp;BC179&amp;"', '"&amp;BD179&amp;"', '"&amp;BE179&amp;IF(BF179="","","', '"&amp;BF179)&amp;IF(BG179="","","', '"&amp;BG179)&amp;IF(BH179="","","', '"&amp;BH179)&amp;IF(BI179="","","', '"&amp;BI179)&amp;IF(BJ179="","","', '"&amp;BJ179)&amp;IF(BK179="","","', '"&amp;BK179)&amp;IF(BL179="","","', '"&amp;BL179)&amp;IF(BM179="","","', '"&amp;BM179)&amp;IF(BN179="","","', '"&amp;BN179)&amp;IF(BO179="","","', '"&amp;BO179)&amp;IF(BP179="","","', '"&amp;BP179)&amp;IF(BQ179="","","', '"&amp;BQ179)&amp;IF(BR179="","","', '"&amp;BR179)&amp;"' ];"</f>
        <v>D6.scenario.defSelectData['sel941']= [ '-1', '1', '2', '3', '0' ];</v>
      </c>
    </row>
    <row r="180" s="88" customFormat="true" ht="43.5" hidden="false" customHeight="true" outlineLevel="0" collapsed="false">
      <c r="A180" s="66"/>
      <c r="B180" s="105" t="s">
        <v>1997</v>
      </c>
      <c r="C180" s="103" t="s">
        <v>1998</v>
      </c>
      <c r="D180" s="104" t="s">
        <v>1871</v>
      </c>
      <c r="E180" s="95" t="s">
        <v>279</v>
      </c>
      <c r="F180" s="103"/>
      <c r="G180" s="104"/>
      <c r="H180" s="103" t="s">
        <v>1999</v>
      </c>
      <c r="I180" s="104" t="s">
        <v>1871</v>
      </c>
      <c r="J180" s="103" t="str">
        <f aca="false">IF(K180="","",K180)</f>
        <v>sel942</v>
      </c>
      <c r="K180" s="104" t="str">
        <f aca="false">"sel"&amp;MID($B180,2,5)</f>
        <v>sel942</v>
      </c>
      <c r="L180" s="105"/>
      <c r="M180" s="105"/>
      <c r="N180" s="105"/>
      <c r="O180" s="95" t="s">
        <v>931</v>
      </c>
      <c r="P180" s="105"/>
      <c r="Q180" s="105"/>
      <c r="R180" s="95" t="n">
        <v>-1</v>
      </c>
      <c r="S180" s="66"/>
      <c r="U180" s="106" t="str">
        <f aca="false">J180</f>
        <v>sel942</v>
      </c>
      <c r="V180" s="103" t="s">
        <v>979</v>
      </c>
      <c r="W180" s="103" t="s">
        <v>1806</v>
      </c>
      <c r="X180" s="103" t="s">
        <v>1807</v>
      </c>
      <c r="Y180" s="103" t="s">
        <v>1995</v>
      </c>
      <c r="Z180" s="103" t="s">
        <v>1996</v>
      </c>
      <c r="AA180" s="103"/>
      <c r="AB180" s="103"/>
      <c r="AC180" s="103"/>
      <c r="AD180" s="103"/>
      <c r="AE180" s="103"/>
      <c r="AF180" s="103"/>
      <c r="AG180" s="103"/>
      <c r="AH180" s="103"/>
      <c r="AI180" s="103"/>
      <c r="AJ180" s="103"/>
      <c r="AK180" s="103"/>
      <c r="AL180" s="104" t="s">
        <v>979</v>
      </c>
      <c r="AM180" s="107" t="s">
        <v>1459</v>
      </c>
      <c r="AN180" s="107" t="s">
        <v>1806</v>
      </c>
      <c r="AO180" s="107" t="s">
        <v>1807</v>
      </c>
      <c r="AP180" s="107" t="s">
        <v>1808</v>
      </c>
      <c r="AQ180" s="107" t="s">
        <v>1809</v>
      </c>
      <c r="AR180" s="104" t="s">
        <v>1873</v>
      </c>
      <c r="AS180" s="104"/>
      <c r="AT180" s="104"/>
      <c r="AU180" s="104"/>
      <c r="AV180" s="104"/>
      <c r="AW180" s="104"/>
      <c r="AX180" s="104"/>
      <c r="AY180" s="104"/>
      <c r="AZ180" s="104"/>
      <c r="BA180" s="104"/>
      <c r="BB180" s="66"/>
      <c r="BC180" s="103" t="n">
        <v>-1</v>
      </c>
      <c r="BD180" s="103" t="n">
        <v>1</v>
      </c>
      <c r="BE180" s="103" t="n">
        <v>2</v>
      </c>
      <c r="BF180" s="103" t="n">
        <v>3</v>
      </c>
      <c r="BG180" s="103" t="n">
        <v>0</v>
      </c>
      <c r="BH180" s="103"/>
      <c r="BI180" s="103"/>
      <c r="BJ180" s="103"/>
      <c r="BK180" s="103"/>
      <c r="BL180" s="103"/>
      <c r="BM180" s="103"/>
      <c r="BN180" s="103"/>
      <c r="BO180" s="103"/>
      <c r="BP180" s="103"/>
      <c r="BQ180" s="103"/>
      <c r="BR180" s="103"/>
      <c r="BS180" s="104" t="n">
        <v>-1</v>
      </c>
      <c r="BT180" s="104" t="n">
        <v>0</v>
      </c>
      <c r="BU180" s="104" t="n">
        <v>1</v>
      </c>
      <c r="BV180" s="104" t="n">
        <v>2</v>
      </c>
      <c r="BW180" s="104" t="n">
        <v>3</v>
      </c>
      <c r="BX180" s="104" t="n">
        <v>4</v>
      </c>
      <c r="BY180" s="104" t="n">
        <v>5</v>
      </c>
      <c r="BZ180" s="104"/>
      <c r="CA180" s="104"/>
      <c r="CB180" s="104"/>
      <c r="CC180" s="104"/>
      <c r="CD180" s="104"/>
      <c r="CE180" s="104"/>
      <c r="CF180" s="104"/>
      <c r="CG180" s="104"/>
      <c r="CH180" s="104"/>
      <c r="CJ180" s="95" t="n">
        <v>4</v>
      </c>
      <c r="CK180" s="95" t="n">
        <v>0</v>
      </c>
      <c r="CL180" s="95" t="n">
        <v>2</v>
      </c>
      <c r="CM180" s="95" t="n">
        <v>1</v>
      </c>
      <c r="CN180" s="95" t="n">
        <v>0</v>
      </c>
      <c r="CO180" s="95" t="n">
        <v>2</v>
      </c>
      <c r="CP180" s="95" t="n">
        <v>2</v>
      </c>
      <c r="CQ180" s="95" t="n">
        <v>1</v>
      </c>
      <c r="CR180" s="95"/>
      <c r="CS180" s="95"/>
      <c r="CT180" s="95"/>
      <c r="CU180" s="95"/>
      <c r="CV180" s="95"/>
      <c r="CW180" s="95"/>
      <c r="CX180" s="95"/>
      <c r="CY180" s="95"/>
      <c r="CZ180" s="95"/>
      <c r="DA180" s="95"/>
      <c r="DB180" s="95"/>
      <c r="DC180" s="95"/>
      <c r="DD180" s="95"/>
      <c r="DE180" s="95"/>
      <c r="DF180" s="95"/>
      <c r="DG180" s="95"/>
      <c r="DL180" s="108"/>
      <c r="DM180" s="108"/>
      <c r="DN180" s="109" t="str">
        <f aca="false">"D6.scenario.defInput["""&amp;B180&amp;"""] = {  "&amp;E$2&amp;":"""&amp;E180&amp;""",  "&amp;C$2&amp;":"""&amp;CLEAN(SUBSTITUTE(C180,"""",""""))&amp;""",  "&amp;F$2&amp;":"""&amp;F180&amp;""",  "&amp;H$2&amp;":"""&amp;CLEAN(SUBSTITUTE(H180,"""",""""))&amp;""", "&amp;J$2&amp;":"""&amp;J180&amp;""", "&amp;L$2&amp;":"""&amp;L180&amp;""", "&amp;M$2&amp;":"""&amp;M180&amp;""", "&amp;N$2&amp;":"""&amp;N180&amp;""", "&amp;O$2&amp;":"""&amp;O180&amp;""", "&amp;P$2&amp;":"""&amp;P180&amp;""", "&amp;Q$2&amp;":"""&amp;Q180&amp;""", "&amp;R$2&amp;":"""&amp;R180&amp;""", d11t:"""&amp;CJ180&amp;""",d11p:"""&amp;CK180&amp;""",d12t:"""&amp;CL180&amp;""",d12p:"""&amp;CM180&amp;""",d13t:"""&amp;CN180&amp;""",d13p:"""&amp;CO180&amp;""",d1w:"""&amp;CP180&amp;""",d1d:"""&amp;CQ180&amp;""", d21t:"""&amp;CR180&amp;""",d21p:"""&amp;CS180&amp;""",d22t:"""&amp;CT180&amp;""",d22p:"""&amp;CU180&amp;""",d23t:"""&amp;CV180&amp;""",d23p:"""&amp;CW180&amp;""",d2w:"""&amp;CX180&amp;""",d2d:"""&amp;CY180&amp;""", d31t:"""&amp;CZ180&amp;""",d31p:"""&amp;DA180&amp;""",d32t:"""&amp;DB180&amp;""",d32p:"""&amp;DC180&amp;""",d33t:"""&amp;DD180&amp;""",d33p:"""&amp;DE180&amp;""",d3w:"""&amp;DF180&amp;""",d3d:"""&amp;DG180&amp;"""}; "</f>
        <v>D6.scenario.defInput["i942"] = {  cons:"consCRsum",  title:"ハイブリッド車",  unit:"",  text:"ハイブリッド車を何台お持ちですか", inputType:"sel942", right:"", postfix:"", nodata:"", varType:"Number", min:"", max:"", defaultValue:"-1", d11t:"4",d11p:"0",d12t:"2",d12p:"1",d13t:"0",d13p:"2",d1w:"2",d1d:"1", d21t:"",d21p:"",d22t:"",d22p:"",d23t:"",d23p:"",d2w:"",d2d:"", d31t:"",d31p:"",d32t:"",d32p:"",d33t:"",d33p:"",d3w:"",d3d:""}; </v>
      </c>
      <c r="DO180" s="110"/>
      <c r="DP180" s="110"/>
      <c r="DQ180" s="111" t="str">
        <f aca="false">"D6.scenario.defSelectValue["""&amp;U180&amp;"""]= [ """&amp;CLEAN(V180)&amp;""", """&amp;CLEAN(W180)&amp;IF(X180="","",""", """&amp;CLEAN(X180))&amp;IF(Y180="","",""", """&amp;CLEAN(Y180))&amp;IF(Z180="","",""", """&amp;CLEAN(Z180))&amp;IF(AA180="","",""", """&amp;CLEAN(AA180))&amp;IF(AB180="","",""", """&amp;CLEAN(AB180))&amp;IF(AC180="","",""", """&amp;CLEAN(AC180))&amp;IF(AD180="","",""", """&amp;CLEAN(AD180))&amp;IF(AE180="","",""", """&amp;CLEAN(AE180))&amp;IF(AF180="","",""", """&amp;CLEAN(AF180))&amp;IF(AG180="","",""", """&amp;CLEAN(AG180))&amp;IF(AH180="","",""", """&amp;CLEAN(AH180))&amp;IF(AI180="","",""", """&amp;CLEAN(AI180))&amp;IF(AJ180="","",""", """&amp;CLEAN(AJ180))&amp;IF(AK180="","",""", """&amp;CLEAN(AK180))&amp;""" ];"</f>
        <v>D6.scenario.defSelectValue["sel942"]= [ "選んで下さい", "1台", "2台", "3台以上", "無し" ];</v>
      </c>
      <c r="DR180" s="112"/>
      <c r="DS180" s="112"/>
      <c r="DT180" s="112" t="str">
        <f aca="false">"D6.scenario.defSelectData['"&amp;U180&amp;"']= [ '"&amp;BC180&amp;"', '"&amp;BD180&amp;"', '"&amp;BE180&amp;IF(BF180="","","', '"&amp;BF180)&amp;IF(BG180="","","', '"&amp;BG180)&amp;IF(BH180="","","', '"&amp;BH180)&amp;IF(BI180="","","', '"&amp;BI180)&amp;IF(BJ180="","","', '"&amp;BJ180)&amp;IF(BK180="","","', '"&amp;BK180)&amp;IF(BL180="","","', '"&amp;BL180)&amp;IF(BM180="","","', '"&amp;BM180)&amp;IF(BN180="","","', '"&amp;BN180)&amp;IF(BO180="","","', '"&amp;BO180)&amp;IF(BP180="","","', '"&amp;BP180)&amp;IF(BQ180="","","', '"&amp;BQ180)&amp;IF(BR180="","","', '"&amp;BR180)&amp;"' ];"</f>
        <v>D6.scenario.defSelectData['sel942']= [ '-1', '1', '2', '3', '0' ];</v>
      </c>
    </row>
    <row r="181" s="88" customFormat="true" ht="43.5" hidden="false" customHeight="true" outlineLevel="0" collapsed="false">
      <c r="A181" s="66"/>
      <c r="B181" s="105" t="s">
        <v>2000</v>
      </c>
      <c r="C181" s="103" t="s">
        <v>902</v>
      </c>
      <c r="D181" s="104" t="s">
        <v>1871</v>
      </c>
      <c r="E181" s="95" t="s">
        <v>279</v>
      </c>
      <c r="F181" s="103"/>
      <c r="G181" s="104"/>
      <c r="H181" s="103" t="s">
        <v>2001</v>
      </c>
      <c r="I181" s="104" t="s">
        <v>1871</v>
      </c>
      <c r="J181" s="103" t="str">
        <f aca="false">IF(K181="","",K181)</f>
        <v>sel943</v>
      </c>
      <c r="K181" s="104" t="str">
        <f aca="false">"sel"&amp;MID($B181,2,5)</f>
        <v>sel943</v>
      </c>
      <c r="L181" s="105"/>
      <c r="M181" s="105"/>
      <c r="N181" s="105"/>
      <c r="O181" s="95" t="s">
        <v>931</v>
      </c>
      <c r="P181" s="105"/>
      <c r="Q181" s="105"/>
      <c r="R181" s="95" t="n">
        <v>-1</v>
      </c>
      <c r="S181" s="66"/>
      <c r="U181" s="106" t="str">
        <f aca="false">J181</f>
        <v>sel943</v>
      </c>
      <c r="V181" s="103" t="s">
        <v>979</v>
      </c>
      <c r="W181" s="103" t="s">
        <v>1806</v>
      </c>
      <c r="X181" s="103" t="s">
        <v>1807</v>
      </c>
      <c r="Y181" s="103" t="s">
        <v>1995</v>
      </c>
      <c r="Z181" s="103" t="s">
        <v>1996</v>
      </c>
      <c r="AA181" s="103"/>
      <c r="AB181" s="103"/>
      <c r="AC181" s="103"/>
      <c r="AD181" s="103"/>
      <c r="AE181" s="103"/>
      <c r="AF181" s="103"/>
      <c r="AG181" s="103"/>
      <c r="AH181" s="103"/>
      <c r="AI181" s="103"/>
      <c r="AJ181" s="103"/>
      <c r="AK181" s="103"/>
      <c r="AL181" s="104" t="s">
        <v>979</v>
      </c>
      <c r="AM181" s="107" t="s">
        <v>1459</v>
      </c>
      <c r="AN181" s="107" t="s">
        <v>1806</v>
      </c>
      <c r="AO181" s="107" t="s">
        <v>1807</v>
      </c>
      <c r="AP181" s="107" t="s">
        <v>1808</v>
      </c>
      <c r="AQ181" s="107" t="s">
        <v>1809</v>
      </c>
      <c r="AR181" s="104" t="s">
        <v>1873</v>
      </c>
      <c r="AS181" s="104"/>
      <c r="AT181" s="104"/>
      <c r="AU181" s="104"/>
      <c r="AV181" s="104"/>
      <c r="AW181" s="104"/>
      <c r="AX181" s="104"/>
      <c r="AY181" s="104"/>
      <c r="AZ181" s="104"/>
      <c r="BA181" s="104"/>
      <c r="BB181" s="66"/>
      <c r="BC181" s="103" t="n">
        <v>-1</v>
      </c>
      <c r="BD181" s="103" t="n">
        <v>1</v>
      </c>
      <c r="BE181" s="103" t="n">
        <v>2</v>
      </c>
      <c r="BF181" s="103" t="n">
        <v>3</v>
      </c>
      <c r="BG181" s="103" t="n">
        <v>0</v>
      </c>
      <c r="BH181" s="103"/>
      <c r="BI181" s="103"/>
      <c r="BJ181" s="103"/>
      <c r="BK181" s="103"/>
      <c r="BL181" s="103"/>
      <c r="BM181" s="103"/>
      <c r="BN181" s="103"/>
      <c r="BO181" s="103"/>
      <c r="BP181" s="103"/>
      <c r="BQ181" s="103"/>
      <c r="BR181" s="103"/>
      <c r="BS181" s="104" t="n">
        <v>-1</v>
      </c>
      <c r="BT181" s="104" t="n">
        <v>0</v>
      </c>
      <c r="BU181" s="104" t="n">
        <v>1</v>
      </c>
      <c r="BV181" s="104" t="n">
        <v>2</v>
      </c>
      <c r="BW181" s="104" t="n">
        <v>3</v>
      </c>
      <c r="BX181" s="104" t="n">
        <v>4</v>
      </c>
      <c r="BY181" s="104" t="n">
        <v>5</v>
      </c>
      <c r="BZ181" s="104"/>
      <c r="CA181" s="104"/>
      <c r="CB181" s="104"/>
      <c r="CC181" s="104"/>
      <c r="CD181" s="104"/>
      <c r="CE181" s="104"/>
      <c r="CF181" s="104"/>
      <c r="CG181" s="104"/>
      <c r="CH181" s="104"/>
      <c r="CJ181" s="95" t="n">
        <v>4</v>
      </c>
      <c r="CK181" s="95" t="n">
        <v>0</v>
      </c>
      <c r="CL181" s="95" t="n">
        <v>2</v>
      </c>
      <c r="CM181" s="95" t="n">
        <v>1</v>
      </c>
      <c r="CN181" s="95" t="n">
        <v>0</v>
      </c>
      <c r="CO181" s="95" t="n">
        <v>2</v>
      </c>
      <c r="CP181" s="95" t="n">
        <v>2</v>
      </c>
      <c r="CQ181" s="95" t="n">
        <v>1</v>
      </c>
      <c r="CR181" s="95"/>
      <c r="CS181" s="95"/>
      <c r="CT181" s="95"/>
      <c r="CU181" s="95"/>
      <c r="CV181" s="95"/>
      <c r="CW181" s="95"/>
      <c r="CX181" s="95"/>
      <c r="CY181" s="95"/>
      <c r="CZ181" s="95"/>
      <c r="DA181" s="95"/>
      <c r="DB181" s="95"/>
      <c r="DC181" s="95"/>
      <c r="DD181" s="95"/>
      <c r="DE181" s="95"/>
      <c r="DF181" s="95"/>
      <c r="DG181" s="95"/>
      <c r="DL181" s="108"/>
      <c r="DM181" s="108"/>
      <c r="DN181" s="109" t="str">
        <f aca="false">"D6.scenario.defInput["""&amp;B181&amp;"""] = {  "&amp;E$2&amp;":"""&amp;E181&amp;""",  "&amp;C$2&amp;":"""&amp;CLEAN(SUBSTITUTE(C181,"""",""""))&amp;""",  "&amp;F$2&amp;":"""&amp;F181&amp;""",  "&amp;H$2&amp;":"""&amp;CLEAN(SUBSTITUTE(H181,"""",""""))&amp;""", "&amp;J$2&amp;":"""&amp;J181&amp;""", "&amp;L$2&amp;":"""&amp;L181&amp;""", "&amp;M$2&amp;":"""&amp;M181&amp;""", "&amp;N$2&amp;":"""&amp;N181&amp;""", "&amp;O$2&amp;":"""&amp;O181&amp;""", "&amp;P$2&amp;":"""&amp;P181&amp;""", "&amp;Q$2&amp;":"""&amp;Q181&amp;""", "&amp;R$2&amp;":"""&amp;R181&amp;""", d11t:"""&amp;CJ181&amp;""",d11p:"""&amp;CK181&amp;""",d12t:"""&amp;CL181&amp;""",d12p:"""&amp;CM181&amp;""",d13t:"""&amp;CN181&amp;""",d13p:"""&amp;CO181&amp;""",d1w:"""&amp;CP181&amp;""",d1d:"""&amp;CQ181&amp;""", d21t:"""&amp;CR181&amp;""",d21p:"""&amp;CS181&amp;""",d22t:"""&amp;CT181&amp;""",d22p:"""&amp;CU181&amp;""",d23t:"""&amp;CV181&amp;""",d23p:"""&amp;CW181&amp;""",d2w:"""&amp;CX181&amp;""",d2d:"""&amp;CY181&amp;""", d31t:"""&amp;CZ181&amp;""",d31p:"""&amp;DA181&amp;""",d32t:"""&amp;DB181&amp;""",d32p:"""&amp;DC181&amp;""",d33t:"""&amp;DD181&amp;""",d33p:"""&amp;DE181&amp;""",d3w:"""&amp;DF181&amp;""",d3d:"""&amp;DG181&amp;"""}; "</f>
        <v>D6.scenario.defInput["i943"] = {  cons:"consCRsum",  title:"電気自動車",  unit:"",  text:"電気自動車を何台お持ちですか", inputType:"sel943", right:"", postfix:"", nodata:"", varType:"Number", min:"", max:"", defaultValue:"-1", d11t:"4",d11p:"0",d12t:"2",d12p:"1",d13t:"0",d13p:"2",d1w:"2",d1d:"1", d21t:"",d21p:"",d22t:"",d22p:"",d23t:"",d23p:"",d2w:"",d2d:"", d31t:"",d31p:"",d32t:"",d32p:"",d33t:"",d33p:"",d3w:"",d3d:""}; </v>
      </c>
      <c r="DO181" s="110"/>
      <c r="DP181" s="110"/>
      <c r="DQ181" s="111" t="str">
        <f aca="false">"D6.scenario.defSelectValue["""&amp;U181&amp;"""]= [ """&amp;CLEAN(V181)&amp;""", """&amp;CLEAN(W181)&amp;IF(X181="","",""", """&amp;CLEAN(X181))&amp;IF(Y181="","",""", """&amp;CLEAN(Y181))&amp;IF(Z181="","",""", """&amp;CLEAN(Z181))&amp;IF(AA181="","",""", """&amp;CLEAN(AA181))&amp;IF(AB181="","",""", """&amp;CLEAN(AB181))&amp;IF(AC181="","",""", """&amp;CLEAN(AC181))&amp;IF(AD181="","",""", """&amp;CLEAN(AD181))&amp;IF(AE181="","",""", """&amp;CLEAN(AE181))&amp;IF(AF181="","",""", """&amp;CLEAN(AF181))&amp;IF(AG181="","",""", """&amp;CLEAN(AG181))&amp;IF(AH181="","",""", """&amp;CLEAN(AH181))&amp;IF(AI181="","",""", """&amp;CLEAN(AI181))&amp;IF(AJ181="","",""", """&amp;CLEAN(AJ181))&amp;IF(AK181="","",""", """&amp;CLEAN(AK181))&amp;""" ];"</f>
        <v>D6.scenario.defSelectValue["sel943"]= [ "選んで下さい", "1台", "2台", "3台以上", "無し" ];</v>
      </c>
      <c r="DR181" s="112"/>
      <c r="DS181" s="112"/>
      <c r="DT181" s="112" t="str">
        <f aca="false">"D6.scenario.defSelectData['"&amp;U181&amp;"']= [ '"&amp;BC181&amp;"', '"&amp;BD181&amp;"', '"&amp;BE181&amp;IF(BF181="","","', '"&amp;BF181)&amp;IF(BG181="","","', '"&amp;BG181)&amp;IF(BH181="","","', '"&amp;BH181)&amp;IF(BI181="","","', '"&amp;BI181)&amp;IF(BJ181="","","', '"&amp;BJ181)&amp;IF(BK181="","","', '"&amp;BK181)&amp;IF(BL181="","","', '"&amp;BL181)&amp;IF(BM181="","","', '"&amp;BM181)&amp;IF(BN181="","","', '"&amp;BN181)&amp;IF(BO181="","","', '"&amp;BO181)&amp;IF(BP181="","","', '"&amp;BP181)&amp;IF(BQ181="","","', '"&amp;BQ181)&amp;IF(BR181="","","', '"&amp;BR181)&amp;"' ];"</f>
        <v>D6.scenario.defSelectData['sel943']= [ '-1', '1', '2', '3', '0' ];</v>
      </c>
    </row>
    <row r="182" s="88" customFormat="true" ht="43.5" hidden="false" customHeight="true" outlineLevel="0" collapsed="false">
      <c r="A182" s="66"/>
      <c r="B182" s="105" t="s">
        <v>2002</v>
      </c>
      <c r="C182" s="103" t="s">
        <v>2003</v>
      </c>
      <c r="D182" s="104" t="s">
        <v>2004</v>
      </c>
      <c r="E182" s="95" t="s">
        <v>1104</v>
      </c>
      <c r="F182" s="103" t="s">
        <v>1110</v>
      </c>
      <c r="G182" s="104" t="s">
        <v>1110</v>
      </c>
      <c r="H182" s="103" t="s">
        <v>2005</v>
      </c>
      <c r="I182" s="104"/>
      <c r="J182" s="103" t="str">
        <f aca="false">IF(K182="","",K182)</f>
        <v>sel951</v>
      </c>
      <c r="K182" s="104" t="str">
        <f aca="false">"sel"&amp;MID($B182,2,5)</f>
        <v>sel951</v>
      </c>
      <c r="L182" s="105"/>
      <c r="M182" s="105"/>
      <c r="N182" s="105"/>
      <c r="O182" s="95" t="s">
        <v>931</v>
      </c>
      <c r="P182" s="105"/>
      <c r="Q182" s="105"/>
      <c r="R182" s="95" t="n">
        <v>-1</v>
      </c>
      <c r="S182" s="66"/>
      <c r="T182" s="66"/>
      <c r="U182" s="106" t="str">
        <f aca="false">J182</f>
        <v>sel951</v>
      </c>
      <c r="V182" s="103" t="s">
        <v>979</v>
      </c>
      <c r="W182" s="103" t="s">
        <v>2006</v>
      </c>
      <c r="X182" s="103" t="s">
        <v>2007</v>
      </c>
      <c r="Y182" s="103" t="s">
        <v>2008</v>
      </c>
      <c r="Z182" s="103" t="s">
        <v>2009</v>
      </c>
      <c r="AA182" s="103" t="s">
        <v>2010</v>
      </c>
      <c r="AB182" s="103" t="s">
        <v>2011</v>
      </c>
      <c r="AC182" s="103" t="s">
        <v>2012</v>
      </c>
      <c r="AD182" s="103" t="s">
        <v>2013</v>
      </c>
      <c r="AE182" s="103" t="s">
        <v>2014</v>
      </c>
      <c r="AF182" s="103" t="s">
        <v>2015</v>
      </c>
      <c r="AG182" s="103" t="s">
        <v>2016</v>
      </c>
      <c r="AH182" s="103"/>
      <c r="AI182" s="103"/>
      <c r="AJ182" s="103"/>
      <c r="AK182" s="103"/>
      <c r="AL182" s="104" t="s">
        <v>979</v>
      </c>
      <c r="AM182" s="107"/>
      <c r="AN182" s="107"/>
      <c r="AO182" s="107"/>
      <c r="AP182" s="104"/>
      <c r="AQ182" s="104"/>
      <c r="AR182" s="104"/>
      <c r="AS182" s="104"/>
      <c r="AT182" s="104"/>
      <c r="AU182" s="104"/>
      <c r="AV182" s="104"/>
      <c r="AW182" s="104"/>
      <c r="AX182" s="104"/>
      <c r="AY182" s="104"/>
      <c r="AZ182" s="104"/>
      <c r="BA182" s="104"/>
      <c r="BB182" s="66"/>
      <c r="BC182" s="103" t="n">
        <v>-1</v>
      </c>
      <c r="BD182" s="103" t="n">
        <v>0</v>
      </c>
      <c r="BE182" s="103" t="n">
        <v>1</v>
      </c>
      <c r="BF182" s="103" t="n">
        <v>2</v>
      </c>
      <c r="BG182" s="103" t="n">
        <v>3</v>
      </c>
      <c r="BH182" s="103" t="n">
        <v>4</v>
      </c>
      <c r="BI182" s="103" t="n">
        <v>5</v>
      </c>
      <c r="BJ182" s="103" t="n">
        <v>6</v>
      </c>
      <c r="BK182" s="103" t="n">
        <v>7</v>
      </c>
      <c r="BL182" s="103" t="n">
        <v>8</v>
      </c>
      <c r="BM182" s="103" t="n">
        <v>9</v>
      </c>
      <c r="BN182" s="103" t="n">
        <v>10</v>
      </c>
      <c r="BO182" s="103"/>
      <c r="BP182" s="103"/>
      <c r="BQ182" s="103"/>
      <c r="BR182" s="103"/>
      <c r="BS182" s="104" t="n">
        <v>-1</v>
      </c>
      <c r="BT182" s="104"/>
      <c r="BU182" s="104"/>
      <c r="BV182" s="104"/>
      <c r="BW182" s="104"/>
      <c r="BX182" s="104"/>
      <c r="BY182" s="104"/>
      <c r="BZ182" s="104"/>
      <c r="CA182" s="104"/>
      <c r="CB182" s="104"/>
      <c r="CC182" s="104"/>
      <c r="CD182" s="104"/>
      <c r="CE182" s="104"/>
      <c r="CF182" s="104"/>
      <c r="CG182" s="104"/>
      <c r="CH182" s="104"/>
      <c r="CJ182" s="95" t="n">
        <v>5</v>
      </c>
      <c r="CK182" s="95" t="n">
        <v>2</v>
      </c>
      <c r="CL182" s="95" t="n">
        <v>2</v>
      </c>
      <c r="CM182" s="95" t="n">
        <v>1</v>
      </c>
      <c r="CN182" s="95"/>
      <c r="CO182" s="95"/>
      <c r="CP182" s="95" t="n">
        <v>2</v>
      </c>
      <c r="CQ182" s="95" t="n">
        <v>0</v>
      </c>
      <c r="CR182" s="95" t="n">
        <v>5</v>
      </c>
      <c r="CS182" s="95" t="n">
        <v>2</v>
      </c>
      <c r="CT182" s="95" t="n">
        <v>2</v>
      </c>
      <c r="CU182" s="95" t="n">
        <v>1</v>
      </c>
      <c r="CV182" s="95"/>
      <c r="CW182" s="95"/>
      <c r="CX182" s="95" t="n">
        <v>2</v>
      </c>
      <c r="CY182" s="95" t="n">
        <v>0</v>
      </c>
      <c r="CZ182" s="95"/>
      <c r="DA182" s="95"/>
      <c r="DB182" s="95"/>
      <c r="DC182" s="95"/>
      <c r="DD182" s="95"/>
      <c r="DE182" s="95"/>
      <c r="DF182" s="95"/>
      <c r="DG182" s="95"/>
      <c r="DL182" s="108"/>
      <c r="DM182" s="108"/>
      <c r="DN182" s="109" t="str">
        <f aca="false">"D6.scenario.defInput["""&amp;B182&amp;"""] = {  "&amp;E$2&amp;":"""&amp;E182&amp;""",  "&amp;C$2&amp;":"""&amp;CLEAN(SUBSTITUTE(C182,"""",""""))&amp;""",  "&amp;F$2&amp;":"""&amp;F182&amp;""",  "&amp;H$2&amp;":"""&amp;CLEAN(SUBSTITUTE(H182,"""",""""))&amp;""", "&amp;J$2&amp;":"""&amp;J182&amp;""", "&amp;L$2&amp;":"""&amp;L182&amp;""", "&amp;M$2&amp;":"""&amp;M182&amp;""", "&amp;N$2&amp;":"""&amp;N182&amp;""", "&amp;O$2&amp;":"""&amp;O182&amp;""", "&amp;P$2&amp;":"""&amp;P182&amp;""", "&amp;Q$2&amp;":"""&amp;Q182&amp;""", "&amp;R$2&amp;":"""&amp;R182&amp;""", d11t:"""&amp;CJ182&amp;""",d11p:"""&amp;CK182&amp;""",d12t:"""&amp;CL182&amp;""",d12p:"""&amp;CM182&amp;""",d13t:"""&amp;CN182&amp;""",d13p:"""&amp;CO182&amp;""",d1w:"""&amp;CP182&amp;""",d1d:"""&amp;CQ182&amp;""", d21t:"""&amp;CR182&amp;""",d21p:"""&amp;CS182&amp;""",d22t:"""&amp;CT182&amp;""",d22p:"""&amp;CU182&amp;""",d23t:"""&amp;CV182&amp;""",d23p:"""&amp;CW182&amp;""",d2w:"""&amp;CX182&amp;""",d2d:"""&amp;CY182&amp;""", d31t:"""&amp;CZ182&amp;""",d31p:"""&amp;DA182&amp;""",d32t:"""&amp;DB182&amp;""",d32p:"""&amp;DC182&amp;""",d33t:"""&amp;DD182&amp;""",d33p:"""&amp;DE182&amp;""",d3w:"""&amp;DF182&amp;""",d3d:"""&amp;DG182&amp;"""}; "</f>
        <v>D6.scenario.defInput["i951"] = {  cons:"consEnergy",  title:"太陽光発電の設置可能容量",  unit:"kW",  text:"設置可能な太陽光発電装置のサイズを選んで下さい。", inputType:"sel951", right:"", postfix:"", nodata:"", varType:"Number", min:"", max:"", defaultValue:"-1", d11t:"5",d11p:"2",d12t:"2",d12p:"1",d13t:"",d13p:"",d1w:"2",d1d:"0", d21t:"5",d21p:"2",d22t:"2",d22p:"1",d23t:"",d23p:"",d2w:"2",d2d:"0", d31t:"",d31p:"",d32t:"",d32p:"",d33t:"",d33p:"",d3w:"",d3d:""}; </v>
      </c>
      <c r="DO182" s="110"/>
      <c r="DP182" s="110"/>
      <c r="DQ182" s="111" t="str">
        <f aca="false">"D6.scenario.defSelectValue["""&amp;U182&amp;"""]= [ """&amp;CLEAN(V182)&amp;""", """&amp;CLEAN(W182)&amp;IF(X182="","",""", """&amp;CLEAN(X182))&amp;IF(Y182="","",""", """&amp;CLEAN(Y182))&amp;IF(Z182="","",""", """&amp;CLEAN(Z182))&amp;IF(AA182="","",""", """&amp;CLEAN(AA182))&amp;IF(AB182="","",""", """&amp;CLEAN(AB182))&amp;IF(AC182="","",""", """&amp;CLEAN(AC182))&amp;IF(AD182="","",""", """&amp;CLEAN(AD182))&amp;IF(AE182="","",""", """&amp;CLEAN(AE182))&amp;IF(AF182="","",""", """&amp;CLEAN(AF182))&amp;IF(AG182="","",""", """&amp;CLEAN(AG182))&amp;IF(AH182="","",""", """&amp;CLEAN(AH182))&amp;IF(AI182="","",""", """&amp;CLEAN(AI182))&amp;IF(AJ182="","",""", """&amp;CLEAN(AJ182))&amp;IF(AK182="","",""", """&amp;CLEAN(AK182))&amp;""" ];"</f>
        <v>D6.scenario.defSelectValue["sel951"]= [ "選んで下さい", "すでに設置している/設置できない", "1kW（6畳程度）", "2kW（12畳程度）", "3kW（18畳程度）", "4kW（25畳程度）", "5kW（30畳程度）", "6kW(（35畳程度）", "7kW（40畳程度）", "8kW（50畳程度）", "9kW（55畳程度）", "10kW（60畳程度）" ];</v>
      </c>
      <c r="DR182" s="112"/>
      <c r="DS182" s="112"/>
      <c r="DT182" s="112" t="str">
        <f aca="false">"D6.scenario.defSelectData['"&amp;U182&amp;"']= [ '"&amp;BC182&amp;"', '"&amp;BD182&amp;"', '"&amp;BE182&amp;IF(BF182="","","', '"&amp;BF182)&amp;IF(BG182="","","', '"&amp;BG182)&amp;IF(BH182="","","', '"&amp;BH182)&amp;IF(BI182="","","', '"&amp;BI182)&amp;IF(BJ182="","","', '"&amp;BJ182)&amp;IF(BK182="","","', '"&amp;BK182)&amp;IF(BL182="","","', '"&amp;BL182)&amp;IF(BM182="","","', '"&amp;BM182)&amp;IF(BN182="","","', '"&amp;BN182)&amp;IF(BO182="","","', '"&amp;BO182)&amp;IF(BP182="","","', '"&amp;BP182)&amp;IF(BQ182="","","', '"&amp;BQ182)&amp;IF(BR182="","","', '"&amp;BR182)&amp;"' ];"</f>
        <v>D6.scenario.defSelectData['sel951']= [ '-1', '0', '1', '2', '3', '4', '5', '6', '7', '8', '9', '10' ];</v>
      </c>
    </row>
  </sheetData>
  <dataValidations count="1">
    <dataValidation allowBlank="true" errorStyle="stop" operator="between" showDropDown="false" showErrorMessage="true" showInputMessage="true" sqref="O4:O182" type="list">
      <formula1>$N$1:$P$1</formula1>
      <formula2>0</formula2>
    </dataValidation>
  </dataValidations>
  <printOptions headings="false" gridLines="false" gridLinesSet="true" horizontalCentered="false" verticalCentered="false"/>
  <pageMargins left="0.7875" right="0.7875" top="0.984027777777778" bottom="0.984027777777778" header="0.511811023622047" footer="0.511805555555556"/>
  <pageSetup paperSize="8" scale="90" fitToWidth="1" fitToHeight="1" pageOrder="downThenOver" orientation="landscape" blackAndWhite="false" draft="false" cellComments="none" horizontalDpi="300" verticalDpi="300" copies="1"/>
  <headerFooter differentFirst="false" differentOddEven="false">
    <oddHeader/>
    <oddFooter>&amp;L&amp;D&amp;C兵庫省エネ診断ソフト　&amp;A&amp;RPage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 defaultRowHeight="12" customHeight="false" zeroHeight="false" outlineLevelRow="0" outlineLevelCol="0"/>
  <cols>
    <col collapsed="false" customWidth="true" hidden="false" outlineLevel="0" max="1" min="1" style="119" width="58.37"/>
    <col collapsed="false" customWidth="true" hidden="false" outlineLevel="0" max="2" min="2" style="120" width="13.37"/>
    <col collapsed="false" customWidth="true" hidden="false" outlineLevel="0" max="3" min="3" style="120" width="3.25"/>
    <col collapsed="false" customWidth="true" hidden="false" outlineLevel="0" max="4" min="4" style="120" width="3"/>
    <col collapsed="false" customWidth="true" hidden="false" outlineLevel="0" max="5" min="5" style="121" width="4.25"/>
    <col collapsed="false" customWidth="true" hidden="false" outlineLevel="0" max="6" min="6" style="121" width="2.5"/>
    <col collapsed="false" customWidth="true" hidden="false" outlineLevel="0" max="7" min="7" style="122" width="2.88"/>
    <col collapsed="false" customWidth="true" hidden="false" outlineLevel="0" max="8" min="8" style="66" width="2.37"/>
    <col collapsed="false" customWidth="true" hidden="false" outlineLevel="0" max="10" min="9" style="88" width="43.88"/>
    <col collapsed="false" customWidth="true" hidden="false" outlineLevel="0" max="11" min="11" style="88" width="5.75"/>
    <col collapsed="false" customWidth="true" hidden="false" outlineLevel="0" max="12" min="12" style="123" width="5.75"/>
    <col collapsed="false" customWidth="false" hidden="false" outlineLevel="0" max="14" min="13" style="123" width="9"/>
    <col collapsed="false" customWidth="true" hidden="false" outlineLevel="0" max="15" min="15" style="123" width="24.25"/>
    <col collapsed="false" customWidth="false" hidden="false" outlineLevel="0" max="16384" min="16" style="123" width="9"/>
  </cols>
  <sheetData>
    <row r="1" customFormat="false" ht="13.5" hidden="false" customHeight="false" outlineLevel="0" collapsed="false">
      <c r="A1" s="124" t="s">
        <v>2017</v>
      </c>
      <c r="G1" s="125" t="s">
        <v>2018</v>
      </c>
      <c r="H1" s="126" t="str">
        <f aca="false">IF(SUM(G5:G315)&gt;0,"check """" in language set text","")</f>
        <v/>
      </c>
      <c r="I1" s="127" t="str">
        <f aca="false">IF(SUM(G5:G315)&gt;0,"check """" in language set text","")</f>
        <v/>
      </c>
      <c r="K1" s="128" t="s">
        <v>2019</v>
      </c>
      <c r="L1" s="129"/>
      <c r="M1" s="129"/>
      <c r="N1" s="129"/>
      <c r="O1" s="130" t="s">
        <v>293</v>
      </c>
    </row>
    <row r="2" customFormat="false" ht="12.65" hidden="false" customHeight="false" outlineLevel="0" collapsed="false">
      <c r="A2" s="131" t="s">
        <v>2020</v>
      </c>
    </row>
    <row r="3" customFormat="false" ht="12.65" hidden="false" customHeight="false" outlineLevel="0" collapsed="false">
      <c r="A3" s="131" t="s">
        <v>2020</v>
      </c>
    </row>
    <row r="4" customFormat="false" ht="12.65" hidden="false" customHeight="false" outlineLevel="0" collapsed="false">
      <c r="A4" s="131" t="s">
        <v>2020</v>
      </c>
      <c r="H4" s="132" t="s">
        <v>2021</v>
      </c>
      <c r="I4" s="133" t="s">
        <v>293</v>
      </c>
      <c r="J4" s="133" t="s">
        <v>294</v>
      </c>
    </row>
    <row r="5" customFormat="false" ht="12.65" hidden="false" customHeight="false" outlineLevel="0" collapsed="false">
      <c r="A5" s="131" t="str">
        <f aca="false">CLEAN(IF(LENB(B5)&gt;1,B5&amp;IF(LENB(H5)&lt;=1,"","'"&amp;H5&amp;"';"),""))</f>
        <v>//----------system title-----------------------------------------------</v>
      </c>
      <c r="B5" s="120" t="s">
        <v>2022</v>
      </c>
      <c r="E5" s="121" t="s">
        <v>227</v>
      </c>
      <c r="G5" s="122" t="n">
        <f aca="false">IF(MOD(LEN(H5) - LEN(SUBSTITUTE(H5, """", "")),2) = 1,1,0)</f>
        <v>0</v>
      </c>
      <c r="H5" s="134" t="str">
        <f aca="false">SUBSTITUTE(I5, "'", "\'")</f>
        <v/>
      </c>
      <c r="I5" s="103"/>
      <c r="J5" s="104"/>
      <c r="K5" s="88" t="n">
        <v>2</v>
      </c>
    </row>
    <row r="6" customFormat="false" ht="12.65" hidden="false" customHeight="false" outlineLevel="0" collapsed="false">
      <c r="A6" s="131" t="str">
        <f aca="false">CLEAN(B6&amp;IF(D6="","","'"&amp;H6&amp;"'"&amp;D6))</f>
        <v>$lang["code"]='ja';</v>
      </c>
      <c r="B6" s="120" t="s">
        <v>2023</v>
      </c>
      <c r="D6" s="120" t="s">
        <v>2024</v>
      </c>
      <c r="E6" s="121" t="s">
        <v>227</v>
      </c>
      <c r="G6" s="122" t="n">
        <f aca="false">IF(MOD(LEN(H6) - LEN(SUBSTITUTE(H6, """", "")),2) = 1,1,0)</f>
        <v>0</v>
      </c>
      <c r="H6" s="134" t="str">
        <f aca="false">SUBSTITUTE(I6, "'", "\'")</f>
        <v>ja</v>
      </c>
      <c r="I6" s="103" t="s">
        <v>2025</v>
      </c>
      <c r="J6" s="104" t="s">
        <v>2025</v>
      </c>
      <c r="K6" s="88" t="n">
        <v>100</v>
      </c>
    </row>
    <row r="7" customFormat="false" ht="12.65" hidden="false" customHeight="false" outlineLevel="0" collapsed="false">
      <c r="A7" s="131" t="str">
        <f aca="false">CLEAN(IF(LENB(B7)&gt;1,B7&amp;IF(LENB(H7)&lt;=1,"","'"&amp;H7&amp;"';"),""))</f>
        <v>$lang['home_title']='家庭の省エネ診断';</v>
      </c>
      <c r="B7" s="120" t="s">
        <v>2026</v>
      </c>
      <c r="D7" s="120" t="s">
        <v>2024</v>
      </c>
      <c r="E7" s="121" t="s">
        <v>227</v>
      </c>
      <c r="G7" s="122" t="n">
        <f aca="false">IF(MOD(LEN(H7) - LEN(SUBSTITUTE(H7, """", "")),2) = 1,1,0)</f>
        <v>0</v>
      </c>
      <c r="H7" s="134" t="str">
        <f aca="false">SUBSTITUTE(I7, "'", "\'")</f>
        <v>家庭の省エネ診断</v>
      </c>
      <c r="I7" s="103" t="s">
        <v>2027</v>
      </c>
      <c r="J7" s="104" t="s">
        <v>2027</v>
      </c>
      <c r="K7" s="88" t="n">
        <v>3</v>
      </c>
    </row>
    <row r="8" customFormat="false" ht="12.65" hidden="false" customHeight="false" outlineLevel="0" collapsed="false">
      <c r="A8" s="131" t="str">
        <f aca="false">CLEAN(IF(LENB(B8)&gt;1,B8&amp;IF(LENB(H8)&lt;=1,"","'"&amp;H8&amp;"';"),""))</f>
        <v>$lang['home_joy_title']='家庭の省エネ診断（お気楽版）';</v>
      </c>
      <c r="B8" s="120" t="s">
        <v>2028</v>
      </c>
      <c r="D8" s="120" t="s">
        <v>2024</v>
      </c>
      <c r="E8" s="121" t="s">
        <v>227</v>
      </c>
      <c r="G8" s="122" t="n">
        <f aca="false">IF(MOD(LEN(H8) - LEN(SUBSTITUTE(H8, """", "")),2) = 1,1,0)</f>
        <v>0</v>
      </c>
      <c r="H8" s="134" t="str">
        <f aca="false">SUBSTITUTE(I8, "'", "\'")</f>
        <v>家庭の省エネ診断（お気楽版）</v>
      </c>
      <c r="I8" s="103" t="s">
        <v>2029</v>
      </c>
      <c r="J8" s="104" t="s">
        <v>2029</v>
      </c>
      <c r="K8" s="88" t="n">
        <v>4</v>
      </c>
    </row>
    <row r="9" customFormat="false" ht="12.65" hidden="false" customHeight="false" outlineLevel="0" collapsed="false">
      <c r="A9" s="131" t="str">
        <f aca="false">CLEAN(IF(LENB(B9)&gt;1,B9&amp;IF(LENB(H9)&lt;=1,"","'"&amp;H9&amp;"';"),""))</f>
        <v/>
      </c>
      <c r="E9" s="121" t="s">
        <v>227</v>
      </c>
      <c r="G9" s="122" t="n">
        <f aca="false">IF(MOD(LEN(H9) - LEN(SUBSTITUTE(H9, """", "")),2) = 1,1,0)</f>
        <v>0</v>
      </c>
      <c r="H9" s="134" t="str">
        <f aca="false">SUBSTITUTE(I9, "'", "\'")</f>
        <v/>
      </c>
      <c r="I9" s="103"/>
      <c r="J9" s="104"/>
      <c r="K9" s="88" t="n">
        <v>6</v>
      </c>
    </row>
    <row r="10" customFormat="false" ht="12.65" hidden="false" customHeight="false" outlineLevel="0" collapsed="false">
      <c r="A10" s="131" t="str">
        <f aca="false">CLEAN(IF(LENB(B10)&gt;1,B10&amp;IF(LENB(H10)&lt;1,"","'"&amp;H10&amp;"';"),""))</f>
        <v>$lang['countfix_pre_after']='2';</v>
      </c>
      <c r="B10" s="120" t="s">
        <v>2030</v>
      </c>
      <c r="D10" s="120" t="s">
        <v>2024</v>
      </c>
      <c r="E10" s="121" t="s">
        <v>227</v>
      </c>
      <c r="G10" s="122" t="n">
        <f aca="false">IF(MOD(LEN(H10) - LEN(SUBSTITUTE(H10, """", "")),2) = 1,1,0)</f>
        <v>0</v>
      </c>
      <c r="H10" s="134" t="str">
        <f aca="false">SUBSTITUTE(I10, "'", "\'")</f>
        <v>2</v>
      </c>
      <c r="I10" s="103" t="n">
        <v>2</v>
      </c>
      <c r="J10" s="104" t="n">
        <v>2</v>
      </c>
      <c r="K10" s="88" t="n">
        <v>8</v>
      </c>
    </row>
    <row r="11" customFormat="false" ht="12.65" hidden="false" customHeight="false" outlineLevel="0" collapsed="false">
      <c r="A11" s="131" t="str">
        <f aca="false">CLEAN(IF(LENB(B11)&gt;1,B11&amp;IF(LENB(H11)&lt;=1,"","'"&amp;H11&amp;"';"),""))</f>
        <v/>
      </c>
      <c r="G11" s="122" t="n">
        <f aca="false">IF(MOD(LEN(H11) - LEN(SUBSTITUTE(H11, """", "")),2) = 1,1,0)</f>
        <v>0</v>
      </c>
      <c r="H11" s="134" t="str">
        <f aca="false">SUBSTITUTE(I11, "'", "\'")</f>
        <v/>
      </c>
      <c r="I11" s="103"/>
      <c r="J11" s="104"/>
    </row>
    <row r="12" customFormat="false" ht="12.65" hidden="false" customHeight="false" outlineLevel="0" collapsed="false">
      <c r="A12" s="131" t="str">
        <f aca="false">CLEAN(IF(LENB(B12)&gt;1,B12&amp;IF(LENB(H12)&lt;=1,"","'"&amp;H12&amp;"';"),""))</f>
        <v>//--energy -----------------</v>
      </c>
      <c r="B12" s="120" t="s">
        <v>2031</v>
      </c>
      <c r="G12" s="122" t="n">
        <f aca="false">IF(MOD(LEN(H12) - LEN(SUBSTITUTE(H12, """", "")),2) = 1,1,0)</f>
        <v>0</v>
      </c>
      <c r="H12" s="134" t="str">
        <f aca="false">SUBSTITUTE(I12, "'", "\'")</f>
        <v/>
      </c>
      <c r="I12" s="103"/>
      <c r="J12" s="104"/>
    </row>
    <row r="13" customFormat="false" ht="12.65" hidden="false" customHeight="false" outlineLevel="0" collapsed="false">
      <c r="A13" s="131" t="str">
        <f aca="false">CLEAN(B13&amp;IF(D13="","",IF(H13,"True","False")&amp;D13))</f>
        <v>$lang["show_electricity"]=True;</v>
      </c>
      <c r="B13" s="120" t="s">
        <v>2032</v>
      </c>
      <c r="D13" s="120" t="s">
        <v>2033</v>
      </c>
      <c r="E13" s="121" t="s">
        <v>227</v>
      </c>
      <c r="G13" s="122" t="n">
        <f aca="false">IF(MOD(LEN(H13) - LEN(SUBSTITUTE(H13, """", "")),2) = 1,1,0)</f>
        <v>0</v>
      </c>
      <c r="H13" s="134" t="str">
        <f aca="false">SUBSTITUTE(I13, "'", "\'")</f>
        <v>TRUE</v>
      </c>
      <c r="I13" s="103" t="b">
        <f aca="false">TRUE()</f>
        <v>1</v>
      </c>
      <c r="J13" s="104" t="b">
        <f aca="false">TRUE()</f>
        <v>1</v>
      </c>
      <c r="K13" s="88" t="n">
        <v>101</v>
      </c>
    </row>
    <row r="14" customFormat="false" ht="12.65" hidden="false" customHeight="false" outlineLevel="0" collapsed="false">
      <c r="A14" s="131" t="str">
        <f aca="false">CLEAN(B14&amp;IF(D14="","",IF(H14,"True","False")&amp;D14))</f>
        <v>$lang["show_gas"]=True;</v>
      </c>
      <c r="B14" s="120" t="s">
        <v>2034</v>
      </c>
      <c r="D14" s="120" t="s">
        <v>2033</v>
      </c>
      <c r="E14" s="121" t="s">
        <v>227</v>
      </c>
      <c r="G14" s="122" t="n">
        <f aca="false">IF(MOD(LEN(H14) - LEN(SUBSTITUTE(H14, """", "")),2) = 1,1,0)</f>
        <v>0</v>
      </c>
      <c r="H14" s="134" t="str">
        <f aca="false">SUBSTITUTE(I14, "'", "\'")</f>
        <v>TRUE</v>
      </c>
      <c r="I14" s="103" t="b">
        <f aca="false">TRUE()</f>
        <v>1</v>
      </c>
      <c r="J14" s="104" t="b">
        <f aca="false">TRUE()</f>
        <v>1</v>
      </c>
      <c r="K14" s="88" t="n">
        <v>102</v>
      </c>
    </row>
    <row r="15" customFormat="false" ht="12.65" hidden="false" customHeight="false" outlineLevel="0" collapsed="false">
      <c r="A15" s="131" t="str">
        <f aca="false">CLEAN(B15&amp;IF(D15="","",IF(H15,"True","False")&amp;D15))</f>
        <v>$lang["show_kerosene"]=True;</v>
      </c>
      <c r="B15" s="120" t="s">
        <v>2035</v>
      </c>
      <c r="D15" s="120" t="s">
        <v>2033</v>
      </c>
      <c r="E15" s="121" t="s">
        <v>227</v>
      </c>
      <c r="G15" s="122" t="n">
        <f aca="false">IF(MOD(LEN(H15) - LEN(SUBSTITUTE(H15, """", "")),2) = 1,1,0)</f>
        <v>0</v>
      </c>
      <c r="H15" s="134" t="str">
        <f aca="false">SUBSTITUTE(I15, "'", "\'")</f>
        <v>TRUE</v>
      </c>
      <c r="I15" s="103" t="b">
        <f aca="false">TRUE()</f>
        <v>1</v>
      </c>
      <c r="J15" s="104" t="b">
        <f aca="false">TRUE()</f>
        <v>1</v>
      </c>
      <c r="K15" s="88" t="n">
        <v>103</v>
      </c>
    </row>
    <row r="16" customFormat="false" ht="12.65" hidden="false" customHeight="false" outlineLevel="0" collapsed="false">
      <c r="A16" s="131" t="str">
        <f aca="false">CLEAN(B16&amp;IF(D16="","",IF(H16,"True","False")&amp;D16))</f>
        <v>$lang["show_briquet"]=False;</v>
      </c>
      <c r="B16" s="120" t="s">
        <v>2036</v>
      </c>
      <c r="D16" s="120" t="s">
        <v>2033</v>
      </c>
      <c r="E16" s="121" t="s">
        <v>227</v>
      </c>
      <c r="G16" s="122" t="n">
        <f aca="false">IF(MOD(LEN(H16) - LEN(SUBSTITUTE(H16, """", "")),2) = 1,1,0)</f>
        <v>0</v>
      </c>
      <c r="H16" s="134" t="str">
        <f aca="false">SUBSTITUTE(I16, "'", "\'")</f>
        <v>FALSE</v>
      </c>
      <c r="I16" s="103" t="b">
        <f aca="false">FALSE()</f>
        <v>0</v>
      </c>
      <c r="J16" s="104" t="b">
        <f aca="false">FALSE()</f>
        <v>0</v>
      </c>
      <c r="K16" s="88" t="n">
        <v>104</v>
      </c>
    </row>
    <row r="17" customFormat="false" ht="12.65" hidden="false" customHeight="false" outlineLevel="0" collapsed="false">
      <c r="A17" s="131" t="str">
        <f aca="false">CLEAN(B17&amp;IF(D17="","",IF(H17,"True","False")&amp;D17))</f>
        <v>$lang["show_area"]=False;</v>
      </c>
      <c r="B17" s="120" t="s">
        <v>2037</v>
      </c>
      <c r="D17" s="120" t="s">
        <v>2033</v>
      </c>
      <c r="E17" s="121" t="s">
        <v>227</v>
      </c>
      <c r="G17" s="122" t="n">
        <f aca="false">IF(MOD(LEN(H17) - LEN(SUBSTITUTE(H17, """", "")),2) = 1,1,0)</f>
        <v>0</v>
      </c>
      <c r="H17" s="134" t="str">
        <f aca="false">SUBSTITUTE(I17, "'", "\'")</f>
        <v>FALSE</v>
      </c>
      <c r="I17" s="103" t="b">
        <f aca="false">FALSE()</f>
        <v>0</v>
      </c>
      <c r="J17" s="104" t="b">
        <f aca="false">FALSE()</f>
        <v>0</v>
      </c>
      <c r="K17" s="88" t="n">
        <v>105</v>
      </c>
    </row>
    <row r="18" customFormat="false" ht="12.65" hidden="false" customHeight="false" outlineLevel="0" collapsed="false">
      <c r="A18" s="131" t="str">
        <f aca="false">CLEAN(B18&amp;IF(D18="","",IF(H18,"True","False")&amp;D18))</f>
        <v>$lang["show_gasoline"]=True;</v>
      </c>
      <c r="B18" s="120" t="s">
        <v>2038</v>
      </c>
      <c r="D18" s="120" t="s">
        <v>2033</v>
      </c>
      <c r="E18" s="121" t="s">
        <v>227</v>
      </c>
      <c r="G18" s="122" t="n">
        <f aca="false">IF(MOD(LEN(H18) - LEN(SUBSTITUTE(H18, """", "")),2) = 1,1,0)</f>
        <v>0</v>
      </c>
      <c r="H18" s="134" t="str">
        <f aca="false">SUBSTITUTE(I18, "'", "\'")</f>
        <v>TRUE</v>
      </c>
      <c r="I18" s="103" t="b">
        <f aca="false">TRUE()</f>
        <v>1</v>
      </c>
      <c r="J18" s="104" t="b">
        <f aca="false">TRUE()</f>
        <v>1</v>
      </c>
      <c r="K18" s="88" t="n">
        <v>106</v>
      </c>
    </row>
    <row r="19" customFormat="false" ht="12.65" hidden="false" customHeight="false" outlineLevel="0" collapsed="false">
      <c r="A19" s="131" t="str">
        <f aca="false">CLEAN(IF(LENB(B19)&gt;1,B19&amp;IF(LENB(H19)&lt;=1,"","'"&amp;H19&amp;"';"),""))</f>
        <v/>
      </c>
      <c r="G19" s="122" t="n">
        <f aca="false">IF(MOD(LEN(H19) - LEN(SUBSTITUTE(H19, """", "")),2) = 1,1,0)</f>
        <v>0</v>
      </c>
      <c r="H19" s="134" t="str">
        <f aca="false">SUBSTITUTE(I19, "'", "\'")</f>
        <v/>
      </c>
      <c r="I19" s="103"/>
      <c r="J19" s="104"/>
    </row>
    <row r="20" customFormat="false" ht="12.65" hidden="false" customHeight="false" outlineLevel="0" collapsed="false">
      <c r="A20" s="131" t="str">
        <f aca="false">CLEAN(B20&amp;IF(D20="","","'"&amp;H20&amp;"'"&amp;D20))</f>
        <v>$lang["electricitytitle"]='電気';</v>
      </c>
      <c r="B20" s="120" t="s">
        <v>2039</v>
      </c>
      <c r="D20" s="120" t="s">
        <v>2024</v>
      </c>
      <c r="E20" s="121" t="s">
        <v>227</v>
      </c>
      <c r="G20" s="122" t="n">
        <f aca="false">IF(MOD(LEN(H20) - LEN(SUBSTITUTE(H20, """", "")),2) = 1,1,0)</f>
        <v>0</v>
      </c>
      <c r="H20" s="134" t="str">
        <f aca="false">SUBSTITUTE(I20, "'", "\'")</f>
        <v>電気</v>
      </c>
      <c r="I20" s="103" t="s">
        <v>1617</v>
      </c>
      <c r="J20" s="104" t="s">
        <v>1617</v>
      </c>
      <c r="K20" s="88" t="n">
        <v>244</v>
      </c>
    </row>
    <row r="21" customFormat="false" ht="12.65" hidden="false" customHeight="false" outlineLevel="0" collapsed="false">
      <c r="A21" s="131" t="str">
        <f aca="false">CLEAN(B21&amp;IF(D21="","","'"&amp;H21&amp;"'"&amp;D21))</f>
        <v>$lang["gastitle"]='ガス';</v>
      </c>
      <c r="B21" s="120" t="s">
        <v>2040</v>
      </c>
      <c r="D21" s="120" t="s">
        <v>2024</v>
      </c>
      <c r="E21" s="121" t="s">
        <v>227</v>
      </c>
      <c r="G21" s="122" t="n">
        <f aca="false">IF(MOD(LEN(H21) - LEN(SUBSTITUTE(H21, """", "")),2) = 1,1,0)</f>
        <v>0</v>
      </c>
      <c r="H21" s="134" t="str">
        <f aca="false">SUBSTITUTE(I21, "'", "\'")</f>
        <v>ガス</v>
      </c>
      <c r="I21" s="103" t="s">
        <v>1390</v>
      </c>
      <c r="J21" s="104" t="s">
        <v>1390</v>
      </c>
      <c r="K21" s="88" t="n">
        <v>245</v>
      </c>
    </row>
    <row r="22" customFormat="false" ht="12.65" hidden="false" customHeight="false" outlineLevel="0" collapsed="false">
      <c r="A22" s="131" t="str">
        <f aca="false">CLEAN(B22&amp;IF(D22="","","'"&amp;H22&amp;"'"&amp;D22))</f>
        <v>$lang["kerosenetitle"]='灯油';</v>
      </c>
      <c r="B22" s="120" t="s">
        <v>2041</v>
      </c>
      <c r="D22" s="120" t="s">
        <v>2024</v>
      </c>
      <c r="E22" s="121" t="s">
        <v>227</v>
      </c>
      <c r="G22" s="122" t="n">
        <f aca="false">IF(MOD(LEN(H22) - LEN(SUBSTITUTE(H22, """", "")),2) = 1,1,0)</f>
        <v>0</v>
      </c>
      <c r="H22" s="134" t="str">
        <f aca="false">SUBSTITUTE(I22, "'", "\'")</f>
        <v>灯油</v>
      </c>
      <c r="I22" s="103" t="s">
        <v>1391</v>
      </c>
      <c r="J22" s="104" t="s">
        <v>1391</v>
      </c>
      <c r="K22" s="88" t="n">
        <v>246</v>
      </c>
    </row>
    <row r="23" customFormat="false" ht="12.65" hidden="false" customHeight="false" outlineLevel="0" collapsed="false">
      <c r="A23" s="131" t="str">
        <f aca="false">CLEAN(B23&amp;IF(D23="","","'"&amp;H23&amp;"'"&amp;D23))</f>
        <v>$lang["briquettitle"]='練炭';</v>
      </c>
      <c r="B23" s="120" t="s">
        <v>2042</v>
      </c>
      <c r="D23" s="120" t="s">
        <v>2024</v>
      </c>
      <c r="G23" s="122" t="n">
        <f aca="false">IF(MOD(LEN(H23) - LEN(SUBSTITUTE(H23, """", "")),2) = 1,1,0)</f>
        <v>0</v>
      </c>
      <c r="H23" s="134" t="str">
        <f aca="false">SUBSTITUTE(I23, "'", "\'")</f>
        <v>練炭</v>
      </c>
      <c r="I23" s="103" t="s">
        <v>2043</v>
      </c>
      <c r="J23" s="104" t="s">
        <v>2043</v>
      </c>
      <c r="K23" s="88" t="n">
        <v>249</v>
      </c>
    </row>
    <row r="24" customFormat="false" ht="12.65" hidden="false" customHeight="false" outlineLevel="0" collapsed="false">
      <c r="A24" s="131" t="str">
        <f aca="false">CLEAN(B24&amp;IF(D24="","","'"&amp;H24&amp;"'"&amp;D24))</f>
        <v>$lang["areatitle"]='地域熱';</v>
      </c>
      <c r="B24" s="120" t="s">
        <v>2044</v>
      </c>
      <c r="D24" s="120" t="s">
        <v>2024</v>
      </c>
      <c r="E24" s="121" t="s">
        <v>227</v>
      </c>
      <c r="G24" s="122" t="n">
        <f aca="false">IF(MOD(LEN(H24) - LEN(SUBSTITUTE(H24, """", "")),2) = 1,1,0)</f>
        <v>0</v>
      </c>
      <c r="H24" s="134" t="str">
        <f aca="false">SUBSTITUTE(I24, "'", "\'")</f>
        <v>地域熱</v>
      </c>
      <c r="I24" s="103" t="s">
        <v>1393</v>
      </c>
      <c r="J24" s="104" t="s">
        <v>1393</v>
      </c>
      <c r="K24" s="88" t="n">
        <v>248</v>
      </c>
    </row>
    <row r="25" customFormat="false" ht="12.65" hidden="false" customHeight="false" outlineLevel="0" collapsed="false">
      <c r="A25" s="131" t="str">
        <f aca="false">CLEAN(B25&amp;IF(D25="","","'"&amp;H25&amp;"'"&amp;D25))</f>
        <v>$lang["gasolinetitle"]='ガソリン';</v>
      </c>
      <c r="B25" s="120" t="s">
        <v>2045</v>
      </c>
      <c r="D25" s="120" t="s">
        <v>2024</v>
      </c>
      <c r="E25" s="121" t="s">
        <v>227</v>
      </c>
      <c r="G25" s="122" t="n">
        <f aca="false">IF(MOD(LEN(H25) - LEN(SUBSTITUTE(H25, """", "")),2) = 1,1,0)</f>
        <v>0</v>
      </c>
      <c r="H25" s="134" t="str">
        <f aca="false">SUBSTITUTE(I25, "'", "\'")</f>
        <v>ガソリン</v>
      </c>
      <c r="I25" s="103" t="s">
        <v>2046</v>
      </c>
      <c r="J25" s="104" t="s">
        <v>2046</v>
      </c>
      <c r="K25" s="88" t="n">
        <v>247</v>
      </c>
    </row>
    <row r="26" customFormat="false" ht="12.65" hidden="false" customHeight="false" outlineLevel="0" collapsed="false">
      <c r="A26" s="131" t="str">
        <f aca="false">CLEAN(B26&amp;IF(D26="","","'"&amp;H26&amp;"'"&amp;D26))</f>
        <v>$lang["electricityunit"]='kWh';</v>
      </c>
      <c r="B26" s="120" t="s">
        <v>2047</v>
      </c>
      <c r="D26" s="120" t="s">
        <v>2024</v>
      </c>
      <c r="E26" s="121" t="s">
        <v>227</v>
      </c>
      <c r="G26" s="122" t="n">
        <f aca="false">IF(MOD(LEN(H26) - LEN(SUBSTITUTE(H26, """", "")),2) = 1,1,0)</f>
        <v>0</v>
      </c>
      <c r="H26" s="134" t="str">
        <f aca="false">SUBSTITUTE(I26, "'", "\'")</f>
        <v>kWh</v>
      </c>
      <c r="I26" s="103" t="s">
        <v>2048</v>
      </c>
      <c r="J26" s="104" t="s">
        <v>2048</v>
      </c>
      <c r="K26" s="88" t="n">
        <v>238</v>
      </c>
    </row>
    <row r="27" customFormat="false" ht="12.65" hidden="false" customHeight="false" outlineLevel="0" collapsed="false">
      <c r="A27" s="131" t="str">
        <f aca="false">CLEAN(B27&amp;IF(D27="","","'"&amp;H27&amp;"'"&amp;D27))</f>
        <v>$lang["gasunit"]='m3';</v>
      </c>
      <c r="B27" s="120" t="s">
        <v>2049</v>
      </c>
      <c r="D27" s="120" t="s">
        <v>2024</v>
      </c>
      <c r="E27" s="121" t="s">
        <v>227</v>
      </c>
      <c r="G27" s="122" t="n">
        <f aca="false">IF(MOD(LEN(H27) - LEN(SUBSTITUTE(H27, """", "")),2) = 1,1,0)</f>
        <v>0</v>
      </c>
      <c r="H27" s="134" t="str">
        <f aca="false">SUBSTITUTE(I27, "'", "\'")</f>
        <v>m3</v>
      </c>
      <c r="I27" s="103" t="s">
        <v>2050</v>
      </c>
      <c r="J27" s="104" t="s">
        <v>2050</v>
      </c>
      <c r="K27" s="88" t="n">
        <v>239</v>
      </c>
    </row>
    <row r="28" customFormat="false" ht="12.65" hidden="false" customHeight="false" outlineLevel="0" collapsed="false">
      <c r="A28" s="131" t="str">
        <f aca="false">CLEAN(B28&amp;IF(D28="","","'"&amp;H28&amp;"'"&amp;D28))</f>
        <v>$lang["keroseneunit"]='L';</v>
      </c>
      <c r="B28" s="120" t="s">
        <v>2051</v>
      </c>
      <c r="D28" s="120" t="s">
        <v>2024</v>
      </c>
      <c r="E28" s="121" t="s">
        <v>227</v>
      </c>
      <c r="G28" s="122" t="n">
        <f aca="false">IF(MOD(LEN(H28) - LEN(SUBSTITUTE(H28, """", "")),2) = 1,1,0)</f>
        <v>0</v>
      </c>
      <c r="H28" s="134" t="str">
        <f aca="false">SUBSTITUTE(I28, "'", "\'")</f>
        <v>L</v>
      </c>
      <c r="I28" s="103" t="s">
        <v>2052</v>
      </c>
      <c r="J28" s="104" t="s">
        <v>2052</v>
      </c>
      <c r="K28" s="88" t="n">
        <v>240</v>
      </c>
    </row>
    <row r="29" customFormat="false" ht="12.65" hidden="false" customHeight="false" outlineLevel="0" collapsed="false">
      <c r="A29" s="131" t="str">
        <f aca="false">CLEAN(B29&amp;IF(D29="","","'"&amp;H29&amp;"'"&amp;D29))</f>
        <v>$lang["briquetunit"]='kg';</v>
      </c>
      <c r="B29" s="120" t="s">
        <v>2053</v>
      </c>
      <c r="D29" s="120" t="s">
        <v>2024</v>
      </c>
      <c r="G29" s="122" t="n">
        <f aca="false">IF(MOD(LEN(H29) - LEN(SUBSTITUTE(H29, """", "")),2) = 1,1,0)</f>
        <v>0</v>
      </c>
      <c r="H29" s="134" t="str">
        <f aca="false">SUBSTITUTE(I29, "'", "\'")</f>
        <v>kg</v>
      </c>
      <c r="I29" s="103" t="s">
        <v>2054</v>
      </c>
      <c r="J29" s="104" t="s">
        <v>2054</v>
      </c>
      <c r="K29" s="88" t="n">
        <v>243</v>
      </c>
    </row>
    <row r="30" customFormat="false" ht="12.65" hidden="false" customHeight="false" outlineLevel="0" collapsed="false">
      <c r="A30" s="131" t="str">
        <f aca="false">CLEAN(B30&amp;IF(D30="","","'"&amp;H30&amp;"'"&amp;D30))</f>
        <v>$lang["areaunit"]='MJ';</v>
      </c>
      <c r="B30" s="120" t="s">
        <v>2055</v>
      </c>
      <c r="D30" s="120" t="s">
        <v>2024</v>
      </c>
      <c r="G30" s="122" t="n">
        <f aca="false">IF(MOD(LEN(H30) - LEN(SUBSTITUTE(H30, """", "")),2) = 1,1,0)</f>
        <v>0</v>
      </c>
      <c r="H30" s="134" t="str">
        <f aca="false">SUBSTITUTE(I30, "'", "\'")</f>
        <v>MJ</v>
      </c>
      <c r="I30" s="103" t="s">
        <v>2056</v>
      </c>
      <c r="J30" s="104" t="s">
        <v>2056</v>
      </c>
      <c r="K30" s="88" t="n">
        <v>242</v>
      </c>
    </row>
    <row r="31" customFormat="false" ht="12.65" hidden="false" customHeight="false" outlineLevel="0" collapsed="false">
      <c r="A31" s="131" t="str">
        <f aca="false">CLEAN(B31&amp;IF(D31="","","'"&amp;H31&amp;"'"&amp;D31))</f>
        <v>$lang["gasolineunit"]='L';</v>
      </c>
      <c r="B31" s="120" t="s">
        <v>2057</v>
      </c>
      <c r="D31" s="120" t="s">
        <v>2024</v>
      </c>
      <c r="E31" s="121" t="s">
        <v>227</v>
      </c>
      <c r="G31" s="122" t="n">
        <f aca="false">IF(MOD(LEN(H31) - LEN(SUBSTITUTE(H31, """", "")),2) = 1,1,0)</f>
        <v>0</v>
      </c>
      <c r="H31" s="134" t="str">
        <f aca="false">SUBSTITUTE(I31, "'", "\'")</f>
        <v>L</v>
      </c>
      <c r="I31" s="103" t="s">
        <v>2052</v>
      </c>
      <c r="J31" s="104" t="s">
        <v>2052</v>
      </c>
      <c r="K31" s="88" t="n">
        <v>241</v>
      </c>
    </row>
    <row r="32" customFormat="false" ht="12.65" hidden="false" customHeight="false" outlineLevel="0" collapsed="false">
      <c r="A32" s="131" t="str">
        <f aca="false">CLEAN(IF(LENB(B32)&gt;1,B32&amp;IF(LENB(H32)&lt;=1,"","'"&amp;H32&amp;"';"),""))</f>
        <v/>
      </c>
      <c r="B32" s="120" t="s">
        <v>2058</v>
      </c>
      <c r="E32" s="121" t="s">
        <v>227</v>
      </c>
      <c r="G32" s="122" t="n">
        <f aca="false">IF(MOD(LEN(H32) - LEN(SUBSTITUTE(H32, """", "")),2) = 1,1,0)</f>
        <v>0</v>
      </c>
      <c r="H32" s="134" t="str">
        <f aca="false">SUBSTITUTE(I32, "'", "\'")</f>
        <v/>
      </c>
      <c r="I32" s="103"/>
      <c r="J32" s="104"/>
      <c r="K32" s="88" t="n">
        <v>107</v>
      </c>
    </row>
    <row r="33" customFormat="false" ht="12.65" hidden="false" customHeight="false" outlineLevel="0" collapsed="false">
      <c r="A33" s="131" t="str">
        <f aca="false">CLEAN(IF(LENB(B33)&gt;1,B33&amp;IF(LENB(H33)&lt;=1,"","'"&amp;H33&amp;"';"),""))</f>
        <v>//--common unit-----------------</v>
      </c>
      <c r="B33" s="120" t="s">
        <v>2059</v>
      </c>
      <c r="G33" s="122" t="n">
        <f aca="false">IF(MOD(LEN(H33) - LEN(SUBSTITUTE(H33, """", "")),2) = 1,1,0)</f>
        <v>0</v>
      </c>
      <c r="H33" s="134" t="str">
        <f aca="false">SUBSTITUTE(I33, "'", "\'")</f>
        <v/>
      </c>
      <c r="I33" s="103"/>
      <c r="J33" s="104"/>
    </row>
    <row r="34" customFormat="false" ht="12.65" hidden="false" customHeight="false" outlineLevel="0" collapsed="false">
      <c r="A34" s="135" t="str">
        <f aca="false">CLEAN(B34&amp;"'function("&amp;H34&amp;") {return "&amp;H35&amp;"};';")</f>
        <v>$lang['point_disp']='function(num) {return num + "点"};';</v>
      </c>
      <c r="B34" s="120" t="s">
        <v>2060</v>
      </c>
      <c r="D34" s="120" t="s">
        <v>2033</v>
      </c>
      <c r="E34" s="121" t="s">
        <v>2061</v>
      </c>
      <c r="G34" s="122" t="n">
        <f aca="false">IF(MOD(LEN(H34) - LEN(SUBSTITUTE(H34, """", "")),2) = 1,1,0)</f>
        <v>0</v>
      </c>
      <c r="H34" s="134" t="str">
        <f aca="false">SUBSTITUTE(I34, "'", "\'")</f>
        <v>num</v>
      </c>
      <c r="I34" s="103" t="s">
        <v>2062</v>
      </c>
      <c r="J34" s="104" t="s">
        <v>2062</v>
      </c>
    </row>
    <row r="35" customFormat="false" ht="12.65" hidden="false" customHeight="false" outlineLevel="0" collapsed="false">
      <c r="A35" s="135" t="str">
        <f aca="false">CLEAN(IF(LENB(B35)&gt;1,B35&amp;IF(LENB(H35)&lt;=1,"","'"&amp;H35&amp;"';"),""))</f>
        <v/>
      </c>
      <c r="E35" s="121" t="s">
        <v>2063</v>
      </c>
      <c r="G35" s="122" t="n">
        <f aca="false">IF(MOD(LEN(H35) - LEN(SUBSTITUTE(H35, """", "")),2) = 1,1,0)</f>
        <v>0</v>
      </c>
      <c r="H35" s="134" t="str">
        <f aca="false">SUBSTITUTE(I35, "'", "\'")</f>
        <v>num + "点"</v>
      </c>
      <c r="I35" s="103" t="s">
        <v>2064</v>
      </c>
      <c r="J35" s="104" t="s">
        <v>2064</v>
      </c>
    </row>
    <row r="36" customFormat="false" ht="12.65" hidden="false" customHeight="false" outlineLevel="0" collapsed="false">
      <c r="A36" s="131" t="str">
        <f aca="false">CLEAN(B36&amp;IF(D36="","","'"&amp;H36&amp;"'"&amp;D36))</f>
        <v>$lang["priceunit"]='円';</v>
      </c>
      <c r="B36" s="120" t="s">
        <v>2065</v>
      </c>
      <c r="D36" s="120" t="s">
        <v>2024</v>
      </c>
      <c r="E36" s="121" t="s">
        <v>227</v>
      </c>
      <c r="G36" s="122" t="n">
        <f aca="false">IF(MOD(LEN(H36) - LEN(SUBSTITUTE(H36, """", "")),2) = 1,1,0)</f>
        <v>0</v>
      </c>
      <c r="H36" s="134" t="str">
        <f aca="false">SUBSTITUTE(I36, "'", "\'")</f>
        <v>円</v>
      </c>
      <c r="I36" s="103" t="s">
        <v>1144</v>
      </c>
      <c r="J36" s="104" t="s">
        <v>1144</v>
      </c>
      <c r="K36" s="88" t="n">
        <v>156</v>
      </c>
    </row>
    <row r="37" customFormat="false" ht="12.65" hidden="false" customHeight="false" outlineLevel="0" collapsed="false">
      <c r="A37" s="131" t="str">
        <f aca="false">CLEAN(IF(LENB(B37)&gt;1,B37&amp;IF(LENB(H37)&lt;=1,"","'"&amp;H37&amp;"';"),""))</f>
        <v>$lang['co2unit']='kg';</v>
      </c>
      <c r="B37" s="120" t="s">
        <v>2066</v>
      </c>
      <c r="D37" s="120" t="s">
        <v>2033</v>
      </c>
      <c r="G37" s="122" t="n">
        <f aca="false">IF(MOD(LEN(H37) - LEN(SUBSTITUTE(H37, """", "")),2) = 1,1,0)</f>
        <v>0</v>
      </c>
      <c r="H37" s="134" t="str">
        <f aca="false">SUBSTITUTE(I37, "'", "\'")</f>
        <v>kg</v>
      </c>
      <c r="I37" s="103" t="s">
        <v>2054</v>
      </c>
      <c r="J37" s="104" t="s">
        <v>2067</v>
      </c>
    </row>
    <row r="38" customFormat="false" ht="12.65" hidden="false" customHeight="false" outlineLevel="0" collapsed="false">
      <c r="A38" s="131" t="str">
        <f aca="false">CLEAN(IF(LENB(B38)&gt;1,B38&amp;IF(LENB(H38)&lt;=1,"","'"&amp;H38&amp;"';"),""))</f>
        <v>$lang['energyunit']='GJ';</v>
      </c>
      <c r="B38" s="120" t="s">
        <v>2068</v>
      </c>
      <c r="D38" s="120" t="s">
        <v>2033</v>
      </c>
      <c r="G38" s="122" t="n">
        <f aca="false">IF(MOD(LEN(H38) - LEN(SUBSTITUTE(H38, """", "")),2) = 1,1,0)</f>
        <v>0</v>
      </c>
      <c r="H38" s="134" t="str">
        <f aca="false">SUBSTITUTE(I38, "'", "\'")</f>
        <v>GJ</v>
      </c>
      <c r="I38" s="103" t="s">
        <v>2067</v>
      </c>
      <c r="J38" s="104" t="s">
        <v>2067</v>
      </c>
    </row>
    <row r="39" customFormat="false" ht="12.65" hidden="false" customHeight="false" outlineLevel="0" collapsed="false">
      <c r="A39" s="131" t="str">
        <f aca="false">CLEAN(IF(LENB(B39)&gt;1,B39&amp;IF(LENB(H39)&lt;=1,"","'"&amp;H39&amp;"';"),""))</f>
        <v>$lang['monthunit']='月';</v>
      </c>
      <c r="B39" s="120" t="s">
        <v>2069</v>
      </c>
      <c r="D39" s="120" t="s">
        <v>2033</v>
      </c>
      <c r="G39" s="122" t="n">
        <f aca="false">IF(MOD(LEN(H39) - LEN(SUBSTITUTE(H39, """", "")),2) = 1,1,0)</f>
        <v>0</v>
      </c>
      <c r="H39" s="134" t="str">
        <f aca="false">SUBSTITUTE(I39, "'", "\'")</f>
        <v>月</v>
      </c>
      <c r="I39" s="103" t="s">
        <v>2070</v>
      </c>
      <c r="J39" s="104" t="s">
        <v>2070</v>
      </c>
    </row>
    <row r="40" customFormat="false" ht="12.65" hidden="false" customHeight="false" outlineLevel="0" collapsed="false">
      <c r="A40" s="131" t="str">
        <f aca="false">CLEAN(IF(LENB(B40)&gt;1,B40&amp;IF(LENB(H40)&lt;=1,"","'"&amp;H40&amp;"';"),""))</f>
        <v>$lang['yearunit']='年';</v>
      </c>
      <c r="B40" s="120" t="s">
        <v>2071</v>
      </c>
      <c r="D40" s="120" t="s">
        <v>2033</v>
      </c>
      <c r="G40" s="122" t="n">
        <f aca="false">IF(MOD(LEN(H40) - LEN(SUBSTITUTE(H40, """", "")),2) = 1,1,0)</f>
        <v>0</v>
      </c>
      <c r="H40" s="134" t="str">
        <f aca="false">SUBSTITUTE(I40, "'", "\'")</f>
        <v>年</v>
      </c>
      <c r="I40" s="103" t="s">
        <v>1055</v>
      </c>
      <c r="J40" s="104" t="s">
        <v>1055</v>
      </c>
    </row>
    <row r="41" customFormat="false" ht="12.65" hidden="false" customHeight="false" outlineLevel="0" collapsed="false">
      <c r="A41" s="131" t="str">
        <f aca="false">CLEAN(IF(LENB(B41)&gt;1,B41&amp;IF(LENB(H41)&lt;=1,"","'"&amp;H41&amp;"';"),""))</f>
        <v/>
      </c>
      <c r="E41" s="121" t="s">
        <v>227</v>
      </c>
      <c r="G41" s="122" t="n">
        <f aca="false">IF(MOD(LEN(H41) - LEN(SUBSTITUTE(H41, """", "")),2) = 1,1,0)</f>
        <v>0</v>
      </c>
      <c r="H41" s="134" t="str">
        <f aca="false">SUBSTITUTE(I41, "'", "\'")</f>
        <v/>
      </c>
      <c r="I41" s="103"/>
      <c r="J41" s="104"/>
    </row>
    <row r="42" customFormat="false" ht="12.65" hidden="false" customHeight="false" outlineLevel="0" collapsed="false">
      <c r="A42" s="131" t="str">
        <f aca="false">CLEAN(IF(LENB(B42)&gt;1,B42&amp;IF(LENB(H42)&lt;=1,"","'"&amp;H42&amp;"';"),""))</f>
        <v/>
      </c>
      <c r="E42" s="121" t="s">
        <v>227</v>
      </c>
      <c r="G42" s="122" t="n">
        <f aca="false">IF(MOD(LEN(H42) - LEN(SUBSTITUTE(H42, """", "")),2) = 1,1,0)</f>
        <v>0</v>
      </c>
      <c r="H42" s="134" t="str">
        <f aca="false">SUBSTITUTE(I42, "'", "\'")</f>
        <v/>
      </c>
      <c r="I42" s="103"/>
      <c r="J42" s="104"/>
    </row>
    <row r="43" customFormat="false" ht="12.65" hidden="false" customHeight="false" outlineLevel="0" collapsed="false">
      <c r="A43" s="131" t="str">
        <f aca="false">CLEAN(IF(LENB(B43)&gt;1,B43&amp;IF(LENB(H43)&lt;=1,"","'"&amp;H43&amp;"';"),""))</f>
        <v/>
      </c>
      <c r="E43" s="121" t="s">
        <v>227</v>
      </c>
      <c r="G43" s="122" t="n">
        <f aca="false">IF(MOD(LEN(H43) - LEN(SUBSTITUTE(H43, """", "")),2) = 1,1,0)</f>
        <v>0</v>
      </c>
      <c r="H43" s="134" t="str">
        <f aca="false">SUBSTITUTE(I43, "'", "\'")</f>
        <v/>
      </c>
      <c r="I43" s="103"/>
      <c r="J43" s="104"/>
    </row>
    <row r="44" customFormat="false" ht="12.65" hidden="false" customHeight="false" outlineLevel="0" collapsed="false">
      <c r="A44" s="131" t="str">
        <f aca="false">CLEAN(IF(LENB(B44)&gt;1,B44&amp;IF(LENB(H44)&lt;=1,"","'"&amp;H44&amp;"';"),""))</f>
        <v/>
      </c>
      <c r="E44" s="121" t="s">
        <v>227</v>
      </c>
      <c r="G44" s="122" t="n">
        <f aca="false">IF(MOD(LEN(H44) - LEN(SUBSTITUTE(H44, """", "")),2) = 1,1,0)</f>
        <v>0</v>
      </c>
      <c r="H44" s="134" t="str">
        <f aca="false">SUBSTITUTE(I44, "'", "\'")</f>
        <v/>
      </c>
      <c r="I44" s="103"/>
      <c r="J44" s="104"/>
    </row>
    <row r="45" customFormat="false" ht="12.65" hidden="false" customHeight="false" outlineLevel="0" collapsed="false">
      <c r="A45" s="131" t="str">
        <f aca="false">CLEAN(IF(LENB(B45)&gt;1,B45&amp;IF(LENB(H45)&lt;=1,"","'"&amp;H45&amp;"';"),""))</f>
        <v/>
      </c>
      <c r="E45" s="121" t="s">
        <v>227</v>
      </c>
      <c r="G45" s="122" t="n">
        <f aca="false">IF(MOD(LEN(H45) - LEN(SUBSTITUTE(H45, """", "")),2) = 1,1,0)</f>
        <v>0</v>
      </c>
      <c r="H45" s="134" t="str">
        <f aca="false">SUBSTITUTE(I45, "'", "\'")</f>
        <v/>
      </c>
      <c r="I45" s="103"/>
      <c r="J45" s="104"/>
    </row>
    <row r="46" customFormat="false" ht="12.65" hidden="false" customHeight="false" outlineLevel="0" collapsed="false">
      <c r="A46" s="131" t="str">
        <f aca="false">CLEAN(IF(LENB(B46)&gt;1,B46&amp;IF(LENB(H46)&lt;=1,"","'"&amp;H46&amp;"';"),""))</f>
        <v/>
      </c>
      <c r="E46" s="121" t="s">
        <v>227</v>
      </c>
      <c r="G46" s="122" t="n">
        <f aca="false">IF(MOD(LEN(H46) - LEN(SUBSTITUTE(H46, """", "")),2) = 1,1,0)</f>
        <v>0</v>
      </c>
      <c r="H46" s="134" t="str">
        <f aca="false">SUBSTITUTE(I46, "'", "\'")</f>
        <v/>
      </c>
      <c r="I46" s="103"/>
      <c r="J46" s="104"/>
    </row>
    <row r="47" customFormat="false" ht="12.65" hidden="false" customHeight="false" outlineLevel="0" collapsed="false">
      <c r="A47" s="131" t="str">
        <f aca="false">CLEAN(IF(LENB(B47)&gt;1,B47&amp;IF(LENB(H47)&lt;=1,"","'"&amp;H47&amp;"';"),""))</f>
        <v/>
      </c>
      <c r="G47" s="122" t="n">
        <f aca="false">IF(MOD(LEN(H47) - LEN(SUBSTITUTE(H47, """", "")),2) = 1,1,0)</f>
        <v>0</v>
      </c>
      <c r="H47" s="134" t="str">
        <f aca="false">SUBSTITUTE(I47, "'", "\'")</f>
        <v/>
      </c>
      <c r="I47" s="103"/>
      <c r="J47" s="104"/>
    </row>
    <row r="48" customFormat="false" ht="12.65" hidden="false" customHeight="false" outlineLevel="0" collapsed="false">
      <c r="A48" s="131" t="str">
        <f aca="false">CLEAN(IF(LENB(B48)&gt;1,B48&amp;IF(LENB(H48)&lt;=1,"","'"&amp;H48&amp;"';"),""))</f>
        <v>//--common page-----------------</v>
      </c>
      <c r="B48" s="120" t="s">
        <v>2072</v>
      </c>
      <c r="G48" s="122" t="n">
        <f aca="false">IF(MOD(LEN(H48) - LEN(SUBSTITUTE(H48, """", "")),2) = 1,1,0)</f>
        <v>0</v>
      </c>
      <c r="H48" s="134" t="str">
        <f aca="false">SUBSTITUTE(I48, "'", "\'")</f>
        <v/>
      </c>
      <c r="I48" s="103"/>
      <c r="J48" s="104"/>
    </row>
    <row r="49" customFormat="false" ht="12.65" hidden="false" customHeight="false" outlineLevel="0" collapsed="false">
      <c r="A49" s="131" t="str">
        <f aca="false">CLEAN(B49&amp;IF(D49="","","'"&amp;H49&amp;"'"&amp;D49))</f>
        <v>$lang["startPageName"]='全体（簡易）';</v>
      </c>
      <c r="B49" s="120" t="s">
        <v>2073</v>
      </c>
      <c r="D49" s="120" t="s">
        <v>2024</v>
      </c>
      <c r="E49" s="121" t="s">
        <v>227</v>
      </c>
      <c r="G49" s="122" t="n">
        <f aca="false">IF(MOD(LEN(H49) - LEN(SUBSTITUTE(H49, """", "")),2) = 1,1,0)</f>
        <v>0</v>
      </c>
      <c r="H49" s="134" t="str">
        <f aca="false">SUBSTITUTE(I49, "'", "\'")</f>
        <v>全体（簡易）</v>
      </c>
      <c r="I49" s="103" t="s">
        <v>2074</v>
      </c>
      <c r="J49" s="104" t="s">
        <v>2074</v>
      </c>
      <c r="K49" s="88" t="n">
        <v>108</v>
      </c>
    </row>
    <row r="50" customFormat="false" ht="20.85" hidden="false" customHeight="false" outlineLevel="0" collapsed="false">
      <c r="A50" s="131" t="str">
        <f aca="false">CLEAN(IF(LENB(B50)&gt;1,B50&amp;IF(LENB(H50)&lt;1,"","'"&amp;H50&amp;"';"),""))</f>
        <v>$lang['header_attension']='（動作モデルのため提案数値の保証はありません。ニーズに応じた開発ができます。）';</v>
      </c>
      <c r="B50" s="120" t="s">
        <v>2075</v>
      </c>
      <c r="D50" s="120" t="s">
        <v>2024</v>
      </c>
      <c r="E50" s="121" t="s">
        <v>227</v>
      </c>
      <c r="G50" s="122" t="n">
        <f aca="false">IF(MOD(LEN(H50) - LEN(SUBSTITUTE(H50, """", "")),2) = 1,1,0)</f>
        <v>0</v>
      </c>
      <c r="H50" s="134" t="str">
        <f aca="false">SUBSTITUTE(I50, "'", "\'")</f>
        <v>（動作モデルのため提案数値の保証はありません。ニーズに応じた開発ができます。）</v>
      </c>
      <c r="I50" s="103" t="s">
        <v>2076</v>
      </c>
      <c r="J50" s="104" t="s">
        <v>2076</v>
      </c>
      <c r="K50" s="88" t="n">
        <v>7</v>
      </c>
    </row>
    <row r="51" customFormat="false" ht="12" hidden="false" customHeight="false" outlineLevel="0" collapsed="false">
      <c r="A51" s="131" t="str">
        <f aca="false">CLEAN(B51&amp;IF(D51="","","'"&amp;H51&amp;"'"&amp;D51))</f>
        <v>$lang["dataClear"]='入力データを全て削除します。よろしいですか。';</v>
      </c>
      <c r="B51" s="120" t="s">
        <v>2077</v>
      </c>
      <c r="D51" s="120" t="s">
        <v>2024</v>
      </c>
      <c r="E51" s="121" t="s">
        <v>227</v>
      </c>
      <c r="G51" s="122" t="n">
        <f aca="false">IF(MOD(LEN(H51) - LEN(SUBSTITUTE(H51, """", "")),2) = 1,1,0)</f>
        <v>0</v>
      </c>
      <c r="H51" s="134" t="str">
        <f aca="false">SUBSTITUTE(I51, "'", "\'")</f>
        <v>入力データを全て削除します。よろしいですか。</v>
      </c>
      <c r="I51" s="103" t="s">
        <v>2078</v>
      </c>
      <c r="J51" s="104" t="s">
        <v>2078</v>
      </c>
      <c r="K51" s="88" t="n">
        <v>110</v>
      </c>
    </row>
    <row r="52" customFormat="false" ht="12" hidden="false" customHeight="false" outlineLevel="0" collapsed="false">
      <c r="A52" s="131" t="str">
        <f aca="false">CLEAN(B52&amp;IF(D52="","","'"&amp;H52&amp;"'"&amp;D52))</f>
        <v>$lang["savetobrowser"]='ブラウザに保存しました。';</v>
      </c>
      <c r="B52" s="120" t="s">
        <v>2079</v>
      </c>
      <c r="D52" s="120" t="s">
        <v>2024</v>
      </c>
      <c r="E52" s="121" t="s">
        <v>227</v>
      </c>
      <c r="G52" s="122" t="n">
        <f aca="false">IF(MOD(LEN(H52) - LEN(SUBSTITUTE(H52, """", "")),2) = 1,1,0)</f>
        <v>0</v>
      </c>
      <c r="H52" s="134" t="str">
        <f aca="false">SUBSTITUTE(I52, "'", "\'")</f>
        <v>ブラウザに保存しました。</v>
      </c>
      <c r="I52" s="103" t="s">
        <v>2080</v>
      </c>
      <c r="J52" s="104" t="s">
        <v>2080</v>
      </c>
      <c r="K52" s="88" t="n">
        <v>115</v>
      </c>
    </row>
    <row r="53" customFormat="false" ht="12" hidden="false" customHeight="false" outlineLevel="0" collapsed="false">
      <c r="A53" s="131" t="str">
        <f aca="false">CLEAN(B53&amp;IF(D53="","","'"&amp;H53&amp;"'"&amp;D53))</f>
        <v>$lang["savedataisshown"]='保存値は以下のとおりです。';</v>
      </c>
      <c r="B53" s="120" t="s">
        <v>2081</v>
      </c>
      <c r="D53" s="120" t="s">
        <v>2024</v>
      </c>
      <c r="E53" s="121" t="s">
        <v>227</v>
      </c>
      <c r="G53" s="122" t="n">
        <f aca="false">IF(MOD(LEN(H53) - LEN(SUBSTITUTE(H53, """", "")),2) = 1,1,0)</f>
        <v>0</v>
      </c>
      <c r="H53" s="134" t="str">
        <f aca="false">SUBSTITUTE(I53, "'", "\'")</f>
        <v>保存値は以下のとおりです。</v>
      </c>
      <c r="I53" s="103" t="s">
        <v>2082</v>
      </c>
      <c r="J53" s="104" t="s">
        <v>2082</v>
      </c>
      <c r="K53" s="88" t="n">
        <v>116</v>
      </c>
    </row>
    <row r="54" customFormat="false" ht="12" hidden="false" customHeight="false" outlineLevel="0" collapsed="false">
      <c r="A54" s="131" t="str">
        <f aca="false">CLEAN(IF(LENB(B54)&gt;1,B54&amp;IF(LENB(H54)&lt;=1,"","'"&amp;H54&amp;"';"),""))</f>
        <v/>
      </c>
      <c r="G54" s="122" t="n">
        <f aca="false">IF(MOD(LEN(H54) - LEN(SUBSTITUTE(H54, """", "")),2) = 1,1,0)</f>
        <v>0</v>
      </c>
      <c r="H54" s="134" t="str">
        <f aca="false">SUBSTITUTE(I54, "'", "\'")</f>
        <v/>
      </c>
      <c r="I54" s="103"/>
      <c r="J54" s="104"/>
    </row>
    <row r="55" customFormat="false" ht="12" hidden="false" customHeight="false" outlineLevel="0" collapsed="false">
      <c r="A55" s="131" t="str">
        <f aca="false">CLEAN(IF(LENB(B55)&gt;1,B55&amp;IF(LENB(H55)&lt;=1,"","'"&amp;H55&amp;"';"),""))</f>
        <v>//--question page-----------------</v>
      </c>
      <c r="B55" s="120" t="s">
        <v>2083</v>
      </c>
      <c r="G55" s="122" t="n">
        <f aca="false">IF(MOD(LEN(H55) - LEN(SUBSTITUTE(H55, """", "")),2) = 1,1,0)</f>
        <v>0</v>
      </c>
      <c r="H55" s="134" t="str">
        <f aca="false">SUBSTITUTE(I55, "'", "\'")</f>
        <v/>
      </c>
      <c r="I55" s="103"/>
      <c r="J55" s="104"/>
    </row>
    <row r="56" customFormat="false" ht="20.85" hidden="false" customHeight="false" outlineLevel="0" collapsed="false">
      <c r="A56" s="135" t="str">
        <f aca="false">CLEAN(B56&amp;"'function("&amp;H56&amp;") {return "&amp;H57&amp;"};';")</f>
        <v>$lang["QuestionNumber"]='function(numques, nowques) {return  "（" + numques +"問中" + nowques + "問目）"};';</v>
      </c>
      <c r="B56" s="120" t="s">
        <v>2084</v>
      </c>
      <c r="E56" s="121" t="s">
        <v>2061</v>
      </c>
      <c r="G56" s="122" t="n">
        <f aca="false">IF(MOD(LEN(H56) - LEN(SUBSTITUTE(H56, """", "")),2) = 1,1,0)</f>
        <v>0</v>
      </c>
      <c r="H56" s="134" t="str">
        <f aca="false">SUBSTITUTE(I56, "'", "\'")</f>
        <v>numques, nowques</v>
      </c>
      <c r="I56" s="103" t="s">
        <v>2085</v>
      </c>
      <c r="J56" s="104" t="s">
        <v>2085</v>
      </c>
      <c r="K56" s="88" t="n">
        <v>264</v>
      </c>
    </row>
    <row r="57" customFormat="false" ht="12.65" hidden="false" customHeight="false" outlineLevel="0" collapsed="false">
      <c r="A57" s="135" t="str">
        <f aca="false">CLEAN(IF(LENB(B57)&gt;1,B57&amp;IF(LENB(H57)&lt;=1,"","'"&amp;H57&amp;"';"),""))</f>
        <v/>
      </c>
      <c r="E57" s="121" t="s">
        <v>2063</v>
      </c>
      <c r="G57" s="122" t="n">
        <f aca="false">IF(MOD(LEN(H57) - LEN(SUBSTITUTE(H57, """", "")),2) = 1,1,0)</f>
        <v>0</v>
      </c>
      <c r="H57" s="134" t="str">
        <f aca="false">SUBSTITUTE(I57, "'", "\'")</f>
        <v> "（" + numques +"問中" + nowques + "問目）"</v>
      </c>
      <c r="I57" s="103" t="s">
        <v>2086</v>
      </c>
      <c r="J57" s="104" t="s">
        <v>2086</v>
      </c>
      <c r="K57" s="88" t="n">
        <v>265</v>
      </c>
    </row>
    <row r="58" customFormat="false" ht="12.65" hidden="false" customHeight="false" outlineLevel="0" collapsed="false">
      <c r="A58" s="131" t="str">
        <f aca="false">CLEAN(IF(LENB(B58)&gt;1,B58&amp;IF(LENB(H58)&lt;=1,"","'"&amp;H58&amp;"';"),""))</f>
        <v/>
      </c>
      <c r="G58" s="122" t="n">
        <f aca="false">IF(MOD(LEN(H58) - LEN(SUBSTITUTE(H58, """", "")),2) = 1,1,0)</f>
        <v>0</v>
      </c>
      <c r="H58" s="134" t="str">
        <f aca="false">SUBSTITUTE(I58, "'", "\'")</f>
        <v/>
      </c>
    </row>
    <row r="59" customFormat="false" ht="12.65" hidden="false" customHeight="false" outlineLevel="0" collapsed="false">
      <c r="A59" s="131" t="str">
        <f aca="false">CLEAN(IF(LENB(B59)&gt;1,B59&amp;IF(LENB(H59)&lt;=1,"","'"&amp;H59&amp;"';"),""))</f>
        <v>//--compare-----------------</v>
      </c>
      <c r="B59" s="120" t="s">
        <v>2087</v>
      </c>
      <c r="G59" s="122" t="n">
        <f aca="false">IF(MOD(LEN(H59) - LEN(SUBSTITUTE(H59, """", "")),2) = 1,1,0)</f>
        <v>0</v>
      </c>
      <c r="H59" s="134" t="str">
        <f aca="false">SUBSTITUTE(I59, "'", "\'")</f>
        <v/>
      </c>
      <c r="I59" s="103"/>
      <c r="J59" s="104"/>
    </row>
    <row r="60" customFormat="false" ht="12.65" hidden="false" customHeight="false" outlineLevel="0" collapsed="false">
      <c r="A60" s="131" t="str">
        <f aca="false">CLEAN(B60&amp;IF(D60="","","'"&amp;H60&amp;"'"&amp;D60))</f>
        <v>$lang["youcall"]='あなた';</v>
      </c>
      <c r="B60" s="120" t="s">
        <v>2088</v>
      </c>
      <c r="D60" s="120" t="s">
        <v>2024</v>
      </c>
      <c r="E60" s="121" t="s">
        <v>227</v>
      </c>
      <c r="G60" s="122" t="n">
        <f aca="false">IF(MOD(LEN(H60) - LEN(SUBSTITUTE(H60, """", "")),2) = 1,1,0)</f>
        <v>0</v>
      </c>
      <c r="H60" s="134" t="str">
        <f aca="false">SUBSTITUTE(I60, "'", "\'")</f>
        <v>あなた</v>
      </c>
      <c r="I60" s="103" t="s">
        <v>2089</v>
      </c>
      <c r="J60" s="104" t="s">
        <v>2089</v>
      </c>
      <c r="K60" s="88" t="n">
        <v>127</v>
      </c>
    </row>
    <row r="61" customFormat="false" ht="12.65" hidden="false" customHeight="false" outlineLevel="0" collapsed="false">
      <c r="A61" s="131" t="str">
        <f aca="false">CLEAN(B61&amp;IF(D61="","","'"&amp;H61&amp;"'"&amp;D61))</f>
        <v>$lang["youcount"]='世帯';</v>
      </c>
      <c r="B61" s="120" t="s">
        <v>2090</v>
      </c>
      <c r="D61" s="120" t="s">
        <v>2024</v>
      </c>
      <c r="E61" s="121" t="s">
        <v>227</v>
      </c>
      <c r="G61" s="122" t="n">
        <f aca="false">IF(MOD(LEN(H61) - LEN(SUBSTITUTE(H61, """", "")),2) = 1,1,0)</f>
        <v>0</v>
      </c>
      <c r="H61" s="134" t="str">
        <f aca="false">SUBSTITUTE(I61, "'", "\'")</f>
        <v>世帯</v>
      </c>
      <c r="I61" s="103" t="s">
        <v>2091</v>
      </c>
      <c r="J61" s="104" t="s">
        <v>2091</v>
      </c>
      <c r="K61" s="88" t="n">
        <v>128</v>
      </c>
    </row>
    <row r="62" customFormat="false" ht="12.65" hidden="false" customHeight="false" outlineLevel="0" collapsed="false">
      <c r="A62" s="131" t="str">
        <f aca="false">CLEAN(B62&amp;IF(D62="","","'"&amp;H62&amp;"'"&amp;D62))</f>
        <v>$lang["totalhome"]='家庭全体';</v>
      </c>
      <c r="B62" s="120" t="s">
        <v>2092</v>
      </c>
      <c r="D62" s="120" t="s">
        <v>2024</v>
      </c>
      <c r="E62" s="121" t="s">
        <v>227</v>
      </c>
      <c r="G62" s="122" t="n">
        <f aca="false">IF(MOD(LEN(H62) - LEN(SUBSTITUTE(H62, """", "")),2) = 1,1,0)</f>
        <v>0</v>
      </c>
      <c r="H62" s="134" t="str">
        <f aca="false">SUBSTITUTE(I62, "'", "\'")</f>
        <v>家庭全体</v>
      </c>
      <c r="I62" s="103" t="s">
        <v>2093</v>
      </c>
      <c r="J62" s="104" t="s">
        <v>2093</v>
      </c>
      <c r="K62" s="88" t="n">
        <v>131</v>
      </c>
    </row>
    <row r="63" customFormat="false" ht="12.65" hidden="false" customHeight="false" outlineLevel="0" collapsed="false">
      <c r="A63" s="135" t="str">
        <f aca="false">CLEAN(B63&amp;"'function("&amp;H63&amp;") {return "&amp;H64&amp;"};';")</f>
        <v>$lang["comparehome"]='function(target) {return "同じ世帯人数の"+target+"の家庭"};';</v>
      </c>
      <c r="B63" s="120" t="s">
        <v>2094</v>
      </c>
      <c r="E63" s="121" t="s">
        <v>227</v>
      </c>
      <c r="G63" s="122" t="n">
        <f aca="false">IF(MOD(LEN(H63) - LEN(SUBSTITUTE(H63, """", "")),2) = 1,1,0)</f>
        <v>0</v>
      </c>
      <c r="H63" s="134" t="str">
        <f aca="false">SUBSTITUTE(I63, "'", "\'")</f>
        <v>target</v>
      </c>
      <c r="I63" s="103" t="s">
        <v>29</v>
      </c>
      <c r="J63" s="104" t="s">
        <v>29</v>
      </c>
      <c r="K63" s="88" t="n">
        <v>133</v>
      </c>
    </row>
    <row r="64" customFormat="false" ht="12.65" hidden="false" customHeight="false" outlineLevel="0" collapsed="false">
      <c r="A64" s="135" t="str">
        <f aca="false">CLEAN(IF(LENB(B64)&gt;1,B64&amp;IF(LENB(H64)&lt;=1,"","'"&amp;H64&amp;"';"),""))</f>
        <v/>
      </c>
      <c r="E64" s="121" t="s">
        <v>227</v>
      </c>
      <c r="G64" s="122" t="n">
        <f aca="false">IF(MOD(LEN(H64) - LEN(SUBSTITUTE(H64, """", "")),2) = 1,1,0)</f>
        <v>0</v>
      </c>
      <c r="H64" s="134" t="str">
        <f aca="false">SUBSTITUTE(I64, "'", "\'")</f>
        <v>"同じ世帯人数の"+target+"の家庭"</v>
      </c>
      <c r="I64" s="103" t="s">
        <v>2095</v>
      </c>
      <c r="J64" s="104" t="s">
        <v>2095</v>
      </c>
      <c r="K64" s="88" t="n">
        <v>134</v>
      </c>
    </row>
    <row r="65" customFormat="false" ht="12.65" hidden="false" customHeight="false" outlineLevel="0" collapsed="false">
      <c r="A65" s="131" t="str">
        <f aca="false">CLEAN(IF(LENB(B65)&gt;1,B65&amp;IF(LENB(H65)&lt;=1,"","'"&amp;H65&amp;"';"),""))</f>
        <v/>
      </c>
      <c r="E65" s="121" t="s">
        <v>227</v>
      </c>
      <c r="G65" s="122" t="n">
        <f aca="false">IF(MOD(LEN(H65) - LEN(SUBSTITUTE(H65, """", "")),2) = 1,1,0)</f>
        <v>0</v>
      </c>
      <c r="H65" s="134" t="str">
        <f aca="false">SUBSTITUTE(I65, "'", "\'")</f>
        <v/>
      </c>
      <c r="I65" s="103"/>
      <c r="J65" s="104"/>
      <c r="K65" s="88" t="n">
        <v>135</v>
      </c>
    </row>
    <row r="66" customFormat="false" ht="12.65" hidden="false" customHeight="false" outlineLevel="0" collapsed="false">
      <c r="A66" s="135" t="str">
        <f aca="false">CLEAN(B66&amp;"'function("&amp;H66&amp;") {return "&amp;H67&amp;"};';")</f>
        <v>$lang["rankin100"]='function(count) {return "100" + count +"中順位"};';</v>
      </c>
      <c r="B66" s="120" t="s">
        <v>2096</v>
      </c>
      <c r="E66" s="121" t="s">
        <v>2061</v>
      </c>
      <c r="G66" s="122" t="n">
        <f aca="false">IF(MOD(LEN(H66) - LEN(SUBSTITUTE(H66, """", "")),2) = 1,1,0)</f>
        <v>0</v>
      </c>
      <c r="H66" s="134" t="str">
        <f aca="false">SUBSTITUTE(I66, "'", "\'")</f>
        <v>count</v>
      </c>
      <c r="I66" s="103" t="s">
        <v>218</v>
      </c>
      <c r="J66" s="104"/>
      <c r="K66" s="88" t="n">
        <v>213</v>
      </c>
    </row>
    <row r="67" customFormat="false" ht="12.65" hidden="false" customHeight="false" outlineLevel="0" collapsed="false">
      <c r="A67" s="135" t="str">
        <f aca="false">CLEAN(IF(LENB(B67)&gt;1,B67&amp;IF(LENB(H67)&lt;=1,"","'"&amp;H67&amp;"';"),""))</f>
        <v/>
      </c>
      <c r="E67" s="121" t="s">
        <v>2063</v>
      </c>
      <c r="G67" s="122" t="n">
        <f aca="false">IF(MOD(LEN(H67) - LEN(SUBSTITUTE(H67, """", "")),2) = 1,1,0)</f>
        <v>0</v>
      </c>
      <c r="H67" s="134" t="str">
        <f aca="false">SUBSTITUTE(I67, "'", "\'")</f>
        <v>"100" + count +"中順位"</v>
      </c>
      <c r="I67" s="103" t="s">
        <v>2097</v>
      </c>
      <c r="J67" s="104" t="n">
        <v>100</v>
      </c>
      <c r="K67" s="88" t="n">
        <v>214</v>
      </c>
    </row>
    <row r="68" customFormat="false" ht="12.65" hidden="false" customHeight="false" outlineLevel="0" collapsed="false">
      <c r="A68" s="131" t="str">
        <f aca="false">CLEAN(B68&amp;IF(D68="","","'"&amp;H68&amp;"'"&amp;D68))</f>
        <v/>
      </c>
      <c r="E68" s="121" t="s">
        <v>227</v>
      </c>
      <c r="G68" s="122" t="n">
        <f aca="false">IF(MOD(LEN(H68) - LEN(SUBSTITUTE(H68, """", "")),2) = 1,1,0)</f>
        <v>0</v>
      </c>
      <c r="H68" s="134" t="str">
        <f aca="false">SUBSTITUTE(I68, "'", "\'")</f>
        <v/>
      </c>
      <c r="I68" s="103"/>
      <c r="J68" s="104" t="s">
        <v>2098</v>
      </c>
      <c r="K68" s="88" t="n">
        <v>215</v>
      </c>
    </row>
    <row r="69" customFormat="false" ht="12.65" hidden="false" customHeight="false" outlineLevel="0" collapsed="false">
      <c r="A69" s="131" t="str">
        <f aca="false">CLEAN(B69&amp;IF(D69="","","'"&amp;H69&amp;"'"&amp;D69))</f>
        <v>$lang["rankcall"]='位';</v>
      </c>
      <c r="B69" s="120" t="s">
        <v>2099</v>
      </c>
      <c r="D69" s="120" t="s">
        <v>2024</v>
      </c>
      <c r="E69" s="121" t="s">
        <v>227</v>
      </c>
      <c r="G69" s="122" t="n">
        <f aca="false">IF(MOD(LEN(H69) - LEN(SUBSTITUTE(H69, """", "")),2) = 1,1,0)</f>
        <v>0</v>
      </c>
      <c r="H69" s="134" t="str">
        <f aca="false">SUBSTITUTE(I69, "'", "\'")</f>
        <v>位</v>
      </c>
      <c r="I69" s="103" t="s">
        <v>2100</v>
      </c>
      <c r="J69" s="104" t="s">
        <v>2100</v>
      </c>
      <c r="K69" s="88" t="n">
        <v>217</v>
      </c>
    </row>
    <row r="70" customFormat="false" ht="12.65" hidden="false" customHeight="false" outlineLevel="0" collapsed="false">
      <c r="A70" s="135" t="str">
        <f aca="false">CLEAN(B70&amp;"'function("&amp;H70&amp;") {return "&amp;H71&amp;"};';")</f>
        <v>$lang["co2ratio"]='function(ratio) {return "　CO2排出量は、平均の" + ratio +"倍です。"};';</v>
      </c>
      <c r="B70" s="120" t="s">
        <v>2101</v>
      </c>
      <c r="E70" s="121" t="s">
        <v>2061</v>
      </c>
      <c r="G70" s="122" t="n">
        <f aca="false">IF(MOD(LEN(H70) - LEN(SUBSTITUTE(H70, """", "")),2) = 1,1,0)</f>
        <v>0</v>
      </c>
      <c r="H70" s="134" t="str">
        <f aca="false">SUBSTITUTE(I70, "'", "\'")</f>
        <v>ratio</v>
      </c>
      <c r="I70" s="103" t="s">
        <v>2102</v>
      </c>
      <c r="J70" s="104" t="s">
        <v>2102</v>
      </c>
      <c r="K70" s="88" t="n">
        <v>218</v>
      </c>
    </row>
    <row r="71" customFormat="false" ht="12.65" hidden="false" customHeight="false" outlineLevel="0" collapsed="false">
      <c r="A71" s="135" t="str">
        <f aca="false">CLEAN(IF(LENB(B71)&gt;1,B71&amp;IF(LENB(H71)&lt;=1,"","'"&amp;H71&amp;"';"),""))</f>
        <v/>
      </c>
      <c r="E71" s="121" t="s">
        <v>2063</v>
      </c>
      <c r="G71" s="122" t="n">
        <f aca="false">IF(MOD(LEN(H71) - LEN(SUBSTITUTE(H71, """", "")),2) = 1,1,0)</f>
        <v>0</v>
      </c>
      <c r="H71" s="134" t="str">
        <f aca="false">SUBSTITUTE(I71, "'", "\'")</f>
        <v>"　CO2排出量は、平均の" + ratio +"倍です。"</v>
      </c>
      <c r="I71" s="103" t="s">
        <v>2103</v>
      </c>
      <c r="J71" s="104" t="s">
        <v>2103</v>
      </c>
      <c r="K71" s="88" t="n">
        <v>219</v>
      </c>
    </row>
    <row r="72" customFormat="false" ht="12.65" hidden="false" customHeight="false" outlineLevel="0" collapsed="false">
      <c r="A72" s="131" t="str">
        <f aca="false">CLEAN(B72&amp;IF(D72="","","'"&amp;H72&amp;"'"&amp;D72))</f>
        <v/>
      </c>
      <c r="E72" s="121" t="s">
        <v>227</v>
      </c>
      <c r="G72" s="122" t="n">
        <f aca="false">IF(MOD(LEN(H72) - LEN(SUBSTITUTE(H72, """", "")),2) = 1,1,0)</f>
        <v>0</v>
      </c>
      <c r="H72" s="134" t="str">
        <f aca="false">SUBSTITUTE(I72, "'", "\'")</f>
        <v>倍です。</v>
      </c>
      <c r="I72" s="103" t="s">
        <v>2104</v>
      </c>
      <c r="J72" s="104" t="s">
        <v>2104</v>
      </c>
      <c r="K72" s="88" t="n">
        <v>220</v>
      </c>
    </row>
    <row r="73" customFormat="false" ht="12.65" hidden="false" customHeight="false" outlineLevel="0" collapsed="false">
      <c r="A73" s="131" t="str">
        <f aca="false">CLEAN(B73&amp;IF(D73="","","'"&amp;H73&amp;"'"&amp;D73))</f>
        <v>$lang["co2compare06"]='平均よりもだいぶ少ないです。とてもすてきな暮らしです。';</v>
      </c>
      <c r="B73" s="120" t="s">
        <v>2105</v>
      </c>
      <c r="D73" s="120" t="s">
        <v>2024</v>
      </c>
      <c r="E73" s="121" t="s">
        <v>227</v>
      </c>
      <c r="G73" s="122" t="n">
        <f aca="false">IF(MOD(LEN(H73) - LEN(SUBSTITUTE(H73, """", "")),2) = 1,1,0)</f>
        <v>0</v>
      </c>
      <c r="H73" s="134" t="str">
        <f aca="false">SUBSTITUTE(I73, "'", "\'")</f>
        <v>平均よりもだいぶ少ないです。とてもすてきな暮らしです。</v>
      </c>
      <c r="I73" s="103" t="s">
        <v>2106</v>
      </c>
      <c r="J73" s="104" t="s">
        <v>2106</v>
      </c>
      <c r="K73" s="88" t="n">
        <v>222</v>
      </c>
    </row>
    <row r="74" customFormat="false" ht="12.65" hidden="false" customHeight="false" outlineLevel="0" collapsed="false">
      <c r="A74" s="131" t="str">
        <f aca="false">CLEAN(B74&amp;IF(D74="","","'"&amp;H74&amp;"'"&amp;D74))</f>
        <v>$lang["co2compare08"]='平均よりも少なめです。すてきな暮らしです。';</v>
      </c>
      <c r="B74" s="120" t="s">
        <v>2107</v>
      </c>
      <c r="D74" s="120" t="s">
        <v>2024</v>
      </c>
      <c r="E74" s="121" t="s">
        <v>227</v>
      </c>
      <c r="G74" s="122" t="n">
        <f aca="false">IF(MOD(LEN(H74) - LEN(SUBSTITUTE(H74, """", "")),2) = 1,1,0)</f>
        <v>0</v>
      </c>
      <c r="H74" s="134" t="str">
        <f aca="false">SUBSTITUTE(I74, "'", "\'")</f>
        <v>平均よりも少なめです。すてきな暮らしです。</v>
      </c>
      <c r="I74" s="103" t="s">
        <v>2108</v>
      </c>
      <c r="J74" s="104" t="s">
        <v>2108</v>
      </c>
      <c r="K74" s="88" t="n">
        <v>223</v>
      </c>
    </row>
    <row r="75" customFormat="false" ht="12.65" hidden="false" customHeight="false" outlineLevel="0" collapsed="false">
      <c r="A75" s="131" t="str">
        <f aca="false">CLEAN(B75&amp;IF(D75="","","'"&amp;H75&amp;"'"&amp;D75))</f>
        <v>$lang["co2compare10"]='平均と同じ程度です。';</v>
      </c>
      <c r="B75" s="120" t="s">
        <v>2109</v>
      </c>
      <c r="D75" s="120" t="s">
        <v>2024</v>
      </c>
      <c r="E75" s="121" t="s">
        <v>227</v>
      </c>
      <c r="G75" s="122" t="n">
        <f aca="false">IF(MOD(LEN(H75) - LEN(SUBSTITUTE(H75, """", "")),2) = 1,1,0)</f>
        <v>0</v>
      </c>
      <c r="H75" s="134" t="str">
        <f aca="false">SUBSTITUTE(I75, "'", "\'")</f>
        <v>平均と同じ程度です。</v>
      </c>
      <c r="I75" s="103" t="s">
        <v>2110</v>
      </c>
      <c r="J75" s="104" t="s">
        <v>2110</v>
      </c>
      <c r="K75" s="88" t="n">
        <v>224</v>
      </c>
    </row>
    <row r="76" customFormat="false" ht="20.85" hidden="false" customHeight="false" outlineLevel="0" collapsed="false">
      <c r="A76" s="131" t="str">
        <f aca="false">CLEAN(B76&amp;IF(D76="","","'"&amp;H76&amp;"'"&amp;D76))</f>
        <v>$lang["co2compare12"]='平均よりもやや多めです。改善により光熱費が下がる余地は大きそうです。';</v>
      </c>
      <c r="B76" s="120" t="s">
        <v>2111</v>
      </c>
      <c r="D76" s="120" t="s">
        <v>2024</v>
      </c>
      <c r="E76" s="121" t="s">
        <v>227</v>
      </c>
      <c r="G76" s="122" t="n">
        <f aca="false">IF(MOD(LEN(H76) - LEN(SUBSTITUTE(H76, """", "")),2) = 1,1,0)</f>
        <v>0</v>
      </c>
      <c r="H76" s="134" t="str">
        <f aca="false">SUBSTITUTE(I76, "'", "\'")</f>
        <v>平均よりもやや多めです。改善により光熱費が下がる余地は大きそうです。</v>
      </c>
      <c r="I76" s="103" t="s">
        <v>2112</v>
      </c>
      <c r="J76" s="104" t="s">
        <v>2112</v>
      </c>
      <c r="K76" s="88" t="n">
        <v>225</v>
      </c>
    </row>
    <row r="77" customFormat="false" ht="20.85" hidden="false" customHeight="false" outlineLevel="0" collapsed="false">
      <c r="A77" s="131" t="str">
        <f aca="false">CLEAN(B77&amp;IF(D77="","","'"&amp;H77&amp;"'"&amp;D77))</f>
        <v>$lang["co2compare14"]='平均よりも多めです。改善により光熱費が下がる余地は大きそうです。';</v>
      </c>
      <c r="B77" s="120" t="s">
        <v>2113</v>
      </c>
      <c r="D77" s="120" t="s">
        <v>2024</v>
      </c>
      <c r="E77" s="121" t="s">
        <v>227</v>
      </c>
      <c r="G77" s="122" t="n">
        <f aca="false">IF(MOD(LEN(H77) - LEN(SUBSTITUTE(H77, """", "")),2) = 1,1,0)</f>
        <v>0</v>
      </c>
      <c r="H77" s="134" t="str">
        <f aca="false">SUBSTITUTE(I77, "'", "\'")</f>
        <v>平均よりも多めです。改善により光熱費が下がる余地は大きそうです。</v>
      </c>
      <c r="I77" s="103" t="s">
        <v>2114</v>
      </c>
      <c r="J77" s="104" t="s">
        <v>2114</v>
      </c>
      <c r="K77" s="88" t="n">
        <v>226</v>
      </c>
    </row>
    <row r="78" customFormat="false" ht="20.85" hidden="false" customHeight="false" outlineLevel="0" collapsed="false">
      <c r="A78" s="135" t="str">
        <f aca="false">CLEAN(B78&amp;"'function("&amp;H78&amp;") {return "&amp;H79&amp;"};';")</f>
        <v>$lang["rankcomment"]='function(same,youcount,rank) {return same +"が100" + youcount + "あったとすると、少ないほうから" +   youcount+ "番目です。&lt;br&gt;"};';</v>
      </c>
      <c r="B78" s="120" t="s">
        <v>2115</v>
      </c>
      <c r="E78" s="121" t="s">
        <v>2061</v>
      </c>
      <c r="G78" s="122" t="n">
        <f aca="false">IF(MOD(LEN(H78) - LEN(SUBSTITUTE(H78, """", "")),2) = 1,1,0)</f>
        <v>0</v>
      </c>
      <c r="H78" s="134" t="str">
        <f aca="false">SUBSTITUTE(I78, "'", "\'")</f>
        <v>same,youcount,rank</v>
      </c>
      <c r="I78" s="103" t="s">
        <v>2116</v>
      </c>
      <c r="J78" s="104"/>
      <c r="K78" s="88" t="n">
        <v>227</v>
      </c>
    </row>
    <row r="79" customFormat="false" ht="20.85" hidden="false" customHeight="false" outlineLevel="0" collapsed="false">
      <c r="A79" s="135" t="str">
        <f aca="false">CLEAN(IF(LENB(B79)&gt;1,B79&amp;IF(LENB(H79)&lt;=1,"","'"&amp;H79&amp;"';"),""))</f>
        <v/>
      </c>
      <c r="E79" s="121" t="s">
        <v>2063</v>
      </c>
      <c r="G79" s="122" t="n">
        <f aca="false">IF(MOD(LEN(H79) - LEN(SUBSTITUTE(H79, """", "")),2) = 1,1,0)</f>
        <v>0</v>
      </c>
      <c r="H79" s="134" t="str">
        <f aca="false">SUBSTITUTE(I79, "'", "\'")</f>
        <v>same +"が100" + youcount + "あったとすると、少ないほうから" +   youcount+ "番目です。&lt;br&gt;"</v>
      </c>
      <c r="I79" s="103" t="s">
        <v>2117</v>
      </c>
      <c r="J79" s="104" t="s">
        <v>2118</v>
      </c>
      <c r="K79" s="88" t="n">
        <v>228</v>
      </c>
    </row>
    <row r="80" customFormat="false" ht="12" hidden="false" customHeight="false" outlineLevel="0" collapsed="false">
      <c r="A80" s="131" t="str">
        <f aca="false">CLEAN(B80&amp;IF(D80="","","'"&amp;H80&amp;"'"&amp;D80))</f>
        <v/>
      </c>
      <c r="E80" s="121" t="s">
        <v>227</v>
      </c>
      <c r="G80" s="122" t="n">
        <f aca="false">IF(MOD(LEN(H80) - LEN(SUBSTITUTE(H80, """", "")),2) = 1,1,0)</f>
        <v>0</v>
      </c>
      <c r="H80" s="134" t="str">
        <f aca="false">SUBSTITUTE(I80, "'", "\'")</f>
        <v/>
      </c>
      <c r="I80" s="103"/>
      <c r="J80" s="104" t="s">
        <v>2119</v>
      </c>
      <c r="K80" s="88" t="n">
        <v>229</v>
      </c>
    </row>
    <row r="81" customFormat="false" ht="12" hidden="false" customHeight="false" outlineLevel="0" collapsed="false">
      <c r="A81" s="131" t="str">
        <f aca="false">CLEAN(B81&amp;IF(D81="","","'"&amp;H81&amp;"'"&amp;D81))</f>
        <v/>
      </c>
      <c r="E81" s="121" t="s">
        <v>227</v>
      </c>
      <c r="G81" s="122" t="n">
        <f aca="false">IF(MOD(LEN(H81) - LEN(SUBSTITUTE(H81, """", "")),2) = 1,1,0)</f>
        <v>0</v>
      </c>
      <c r="H81" s="134" t="str">
        <f aca="false">SUBSTITUTE(I81, "'", "\'")</f>
        <v/>
      </c>
      <c r="I81" s="103"/>
      <c r="J81" s="104" t="s">
        <v>2120</v>
      </c>
      <c r="K81" s="88" t="n">
        <v>230</v>
      </c>
    </row>
    <row r="82" customFormat="false" ht="12" hidden="false" customHeight="false" outlineLevel="0" collapsed="false">
      <c r="A82" s="131" t="str">
        <f aca="false">CLEAN(B82&amp;IF(D82="","","'"&amp;H82&amp;"'"&amp;D82))</f>
        <v/>
      </c>
      <c r="B82" s="120" t="s">
        <v>2058</v>
      </c>
      <c r="E82" s="121" t="s">
        <v>227</v>
      </c>
      <c r="G82" s="122" t="n">
        <f aca="false">IF(MOD(LEN(H82) - LEN(SUBSTITUTE(H82, """", "")),2) = 1,1,0)</f>
        <v>0</v>
      </c>
      <c r="H82" s="134" t="str">
        <f aca="false">SUBSTITUTE(I82, "'", "\'")</f>
        <v/>
      </c>
      <c r="I82" s="103"/>
      <c r="J82" s="104"/>
      <c r="K82" s="88" t="n">
        <v>232</v>
      </c>
    </row>
    <row r="83" customFormat="false" ht="12" hidden="false" customHeight="false" outlineLevel="0" collapsed="false">
      <c r="A83" s="131" t="str">
        <f aca="false">CLEAN(B83&amp;IF(D83="","","'"&amp;H83&amp;"'"&amp;D83))</f>
        <v/>
      </c>
      <c r="B83" s="120" t="s">
        <v>2058</v>
      </c>
      <c r="E83" s="121" t="s">
        <v>227</v>
      </c>
      <c r="G83" s="122" t="n">
        <f aca="false">IF(MOD(LEN(H83) - LEN(SUBSTITUTE(H83, """", "")),2) = 1,1,0)</f>
        <v>0</v>
      </c>
      <c r="H83" s="134" t="str">
        <f aca="false">SUBSTITUTE(I83, "'", "\'")</f>
        <v/>
      </c>
      <c r="I83" s="103"/>
      <c r="J83" s="104"/>
      <c r="K83" s="88" t="n">
        <v>233</v>
      </c>
    </row>
    <row r="84" customFormat="false" ht="12" hidden="false" customHeight="false" outlineLevel="0" collapsed="false">
      <c r="A84" s="131" t="str">
        <f aca="false">CLEAN(B84&amp;IF(D84="","","'"&amp;H84&amp;"'"&amp;D84))</f>
        <v>//itemize-----------</v>
      </c>
      <c r="B84" s="120" t="s">
        <v>2121</v>
      </c>
      <c r="E84" s="121" t="s">
        <v>227</v>
      </c>
      <c r="G84" s="122" t="n">
        <f aca="false">IF(MOD(LEN(H84) - LEN(SUBSTITUTE(H84, """", "")),2) = 1,1,0)</f>
        <v>0</v>
      </c>
      <c r="H84" s="134" t="str">
        <f aca="false">SUBSTITUTE(I84, "'", "\'")</f>
        <v/>
      </c>
      <c r="I84" s="103"/>
      <c r="J84" s="104"/>
      <c r="K84" s="88" t="n">
        <v>234</v>
      </c>
    </row>
    <row r="85" customFormat="false" ht="12" hidden="false" customHeight="false" outlineLevel="0" collapsed="false">
      <c r="A85" s="131" t="str">
        <f aca="false">CLEAN(B85&amp;IF(D85="","","'"&amp;H85&amp;"'"&amp;D85))</f>
        <v>$lang["itemize"]='内訳';</v>
      </c>
      <c r="B85" s="120" t="s">
        <v>2122</v>
      </c>
      <c r="D85" s="120" t="s">
        <v>2024</v>
      </c>
      <c r="E85" s="121" t="s">
        <v>227</v>
      </c>
      <c r="G85" s="122" t="n">
        <f aca="false">IF(MOD(LEN(H85) - LEN(SUBSTITUTE(H85, """", "")),2) = 1,1,0)</f>
        <v>0</v>
      </c>
      <c r="H85" s="134" t="str">
        <f aca="false">SUBSTITUTE(I85, "'", "\'")</f>
        <v>内訳</v>
      </c>
      <c r="I85" s="103" t="s">
        <v>2123</v>
      </c>
      <c r="J85" s="104" t="s">
        <v>2123</v>
      </c>
      <c r="K85" s="88" t="n">
        <v>235</v>
      </c>
    </row>
    <row r="86" customFormat="false" ht="12" hidden="false" customHeight="false" outlineLevel="0" collapsed="false">
      <c r="A86" s="131" t="str">
        <f aca="false">CLEAN(B86&amp;IF(D86="","","'"&amp;H86&amp;"'"&amp;D86))</f>
        <v>$lang["itemname"]='分野';</v>
      </c>
      <c r="B86" s="120" t="s">
        <v>2124</v>
      </c>
      <c r="D86" s="120" t="s">
        <v>2024</v>
      </c>
      <c r="E86" s="121" t="s">
        <v>227</v>
      </c>
      <c r="G86" s="122" t="n">
        <f aca="false">IF(MOD(LEN(H86) - LEN(SUBSTITUTE(H86, """", "")),2) = 1,1,0)</f>
        <v>0</v>
      </c>
      <c r="H86" s="134" t="str">
        <f aca="false">SUBSTITUTE(I86, "'", "\'")</f>
        <v>分野</v>
      </c>
      <c r="I86" s="103" t="s">
        <v>2125</v>
      </c>
      <c r="J86" s="104" t="s">
        <v>2125</v>
      </c>
      <c r="K86" s="88" t="n">
        <v>236</v>
      </c>
    </row>
    <row r="87" customFormat="false" ht="12" hidden="false" customHeight="false" outlineLevel="0" collapsed="false">
      <c r="A87" s="131" t="str">
        <f aca="false">CLEAN(B87&amp;IF(D87="","","'"&amp;H87&amp;"'"&amp;D87))</f>
        <v>$lang["percent"]='割合(%)';</v>
      </c>
      <c r="B87" s="120" t="s">
        <v>2126</v>
      </c>
      <c r="D87" s="120" t="s">
        <v>2024</v>
      </c>
      <c r="E87" s="121" t="s">
        <v>227</v>
      </c>
      <c r="G87" s="122" t="n">
        <f aca="false">IF(MOD(LEN(H87) - LEN(SUBSTITUTE(H87, """", "")),2) = 1,1,0)</f>
        <v>0</v>
      </c>
      <c r="H87" s="134" t="str">
        <f aca="false">SUBSTITUTE(I87, "'", "\'")</f>
        <v>割合(%)</v>
      </c>
      <c r="I87" s="103" t="s">
        <v>2127</v>
      </c>
      <c r="J87" s="104" t="s">
        <v>2127</v>
      </c>
      <c r="K87" s="88" t="n">
        <v>237</v>
      </c>
    </row>
    <row r="88" customFormat="false" ht="12" hidden="false" customHeight="false" outlineLevel="0" collapsed="false">
      <c r="A88" s="131" t="str">
        <f aca="false">CLEAN(B88&amp;IF(D88="","","'"&amp;H88&amp;"'"&amp;D88))</f>
        <v>$lang["measure"]='対策';</v>
      </c>
      <c r="B88" s="120" t="s">
        <v>2128</v>
      </c>
      <c r="D88" s="120" t="s">
        <v>2024</v>
      </c>
      <c r="E88" s="121" t="s">
        <v>227</v>
      </c>
      <c r="G88" s="122" t="n">
        <f aca="false">IF(MOD(LEN(H88) - LEN(SUBSTITUTE(H88, """", "")),2) = 1,1,0)</f>
        <v>0</v>
      </c>
      <c r="H88" s="134" t="str">
        <f aca="false">SUBSTITUTE(I88, "'", "\'")</f>
        <v>対策</v>
      </c>
      <c r="I88" s="103" t="s">
        <v>2129</v>
      </c>
      <c r="J88" s="104" t="s">
        <v>2129</v>
      </c>
      <c r="K88" s="88" t="n">
        <v>250</v>
      </c>
      <c r="M88" s="121"/>
    </row>
    <row r="89" customFormat="false" ht="12" hidden="false" customHeight="false" outlineLevel="0" collapsed="false">
      <c r="A89" s="131" t="str">
        <f aca="false">CLEAN(B89&amp;IF(D89="","","'"&amp;H89&amp;"'"&amp;D89))</f>
        <v>$lang["merit"]='お得';</v>
      </c>
      <c r="B89" s="120" t="s">
        <v>2130</v>
      </c>
      <c r="D89" s="120" t="s">
        <v>2024</v>
      </c>
      <c r="E89" s="121" t="s">
        <v>227</v>
      </c>
      <c r="G89" s="122" t="n">
        <f aca="false">IF(MOD(LEN(H89) - LEN(SUBSTITUTE(H89, """", "")),2) = 1,1,0)</f>
        <v>0</v>
      </c>
      <c r="H89" s="134" t="str">
        <f aca="false">SUBSTITUTE(I89, "'", "\'")</f>
        <v>お得</v>
      </c>
      <c r="I89" s="103" t="s">
        <v>2131</v>
      </c>
      <c r="J89" s="104" t="s">
        <v>2131</v>
      </c>
      <c r="K89" s="88" t="n">
        <v>251</v>
      </c>
      <c r="M89" s="121"/>
    </row>
    <row r="90" customFormat="false" ht="12" hidden="false" customHeight="false" outlineLevel="0" collapsed="false">
      <c r="A90" s="131" t="str">
        <f aca="false">CLEAN(B90&amp;IF(D90="","","'"&amp;H90&amp;"'"&amp;D90))</f>
        <v>$lang["select"]='選択';</v>
      </c>
      <c r="B90" s="120" t="s">
        <v>2132</v>
      </c>
      <c r="D90" s="120" t="s">
        <v>2024</v>
      </c>
      <c r="E90" s="121" t="s">
        <v>227</v>
      </c>
      <c r="G90" s="122" t="n">
        <f aca="false">IF(MOD(LEN(H90) - LEN(SUBSTITUTE(H90, """", "")),2) = 1,1,0)</f>
        <v>0</v>
      </c>
      <c r="H90" s="134" t="str">
        <f aca="false">SUBSTITUTE(I90, "'", "\'")</f>
        <v>選択</v>
      </c>
      <c r="I90" s="103" t="s">
        <v>2133</v>
      </c>
      <c r="J90" s="104" t="s">
        <v>2133</v>
      </c>
      <c r="K90" s="88" t="n">
        <v>252</v>
      </c>
      <c r="M90" s="121"/>
    </row>
    <row r="91" customFormat="false" ht="20.85" hidden="false" customHeight="false" outlineLevel="0" collapsed="false">
      <c r="A91" s="135" t="str">
        <f aca="false">CLEAN(B91&amp;"'function("&amp;H91&amp;") {return "&amp;H92&amp;"};';")</f>
        <v>$lang["itemizecomment"]='function(main3,sum) {return main3+"の割合が大きく、この3分野で" + sum+"%を占めます。こうした大きい分野の対策が効果的です。"};';</v>
      </c>
      <c r="B91" s="120" t="s">
        <v>2134</v>
      </c>
      <c r="E91" s="121" t="s">
        <v>2061</v>
      </c>
      <c r="G91" s="122" t="n">
        <f aca="false">IF(MOD(LEN(H91) - LEN(SUBSTITUTE(H91, """", "")),2) = 1,1,0)</f>
        <v>0</v>
      </c>
      <c r="H91" s="134" t="str">
        <f aca="false">SUBSTITUTE(I91, "'", "\'")</f>
        <v>main3,sum</v>
      </c>
      <c r="I91" s="103" t="s">
        <v>2135</v>
      </c>
      <c r="J91" s="104"/>
      <c r="K91" s="88" t="n">
        <v>253</v>
      </c>
    </row>
    <row r="92" customFormat="false" ht="20.85" hidden="false" customHeight="false" outlineLevel="0" collapsed="false">
      <c r="A92" s="135" t="str">
        <f aca="false">CLEAN(IF(LENB(B92)&gt;1,B92&amp;IF(LENB(H92)&lt;=1,"","'"&amp;H92&amp;"';"),""))</f>
        <v/>
      </c>
      <c r="E92" s="121" t="s">
        <v>2063</v>
      </c>
      <c r="G92" s="122" t="n">
        <f aca="false">IF(MOD(LEN(H92) - LEN(SUBSTITUTE(H92, """", "")),2) = 1,1,0)</f>
        <v>0</v>
      </c>
      <c r="H92" s="134" t="str">
        <f aca="false">SUBSTITUTE(I92, "'", "\'")</f>
        <v>main3+"の割合が大きく、この3分野で" + sum+"%を占めます。こうした大きい分野の対策が効果的です。"</v>
      </c>
      <c r="I92" s="103" t="s">
        <v>2136</v>
      </c>
      <c r="J92" s="104" t="s">
        <v>2137</v>
      </c>
      <c r="K92" s="88" t="n">
        <v>254</v>
      </c>
    </row>
    <row r="93" customFormat="false" ht="12" hidden="false" customHeight="false" outlineLevel="0" collapsed="false">
      <c r="A93" s="131" t="str">
        <f aca="false">CLEAN(B93&amp;IF(D93="","","'"&amp;H93&amp;"'"&amp;D93))</f>
        <v/>
      </c>
      <c r="E93" s="121" t="s">
        <v>227</v>
      </c>
      <c r="G93" s="122" t="n">
        <f aca="false">IF(MOD(LEN(H93) - LEN(SUBSTITUTE(H93, """", "")),2) = 1,1,0)</f>
        <v>0</v>
      </c>
      <c r="H93" s="134" t="str">
        <f aca="false">SUBSTITUTE(I93, "'", "\'")</f>
        <v/>
      </c>
      <c r="I93" s="103"/>
      <c r="J93" s="104" t="s">
        <v>2138</v>
      </c>
      <c r="K93" s="88" t="n">
        <v>255</v>
      </c>
    </row>
    <row r="94" customFormat="false" ht="12" hidden="false" customHeight="false" outlineLevel="0" collapsed="false">
      <c r="A94" s="131" t="str">
        <f aca="false">CLEAN(B94&amp;IF(D94="","","'"&amp;H94&amp;"'"&amp;D94))</f>
        <v/>
      </c>
      <c r="G94" s="122" t="n">
        <f aca="false">IF(MOD(LEN(H94) - LEN(SUBSTITUTE(H94, """", "")),2) = 1,1,0)</f>
        <v>0</v>
      </c>
      <c r="H94" s="134" t="str">
        <f aca="false">SUBSTITUTE(I94, "'", "\'")</f>
        <v/>
      </c>
      <c r="I94" s="103"/>
      <c r="J94" s="104"/>
    </row>
    <row r="95" customFormat="false" ht="12" hidden="false" customHeight="false" outlineLevel="0" collapsed="false">
      <c r="A95" s="131" t="str">
        <f aca="false">CLEAN(IF(LENB(B95)&gt;1,B95&amp;IF(LENB(H95)&lt;=1,"","'"&amp;H95&amp;"';"),""))</f>
        <v>//--result-----------------</v>
      </c>
      <c r="B95" s="120" t="s">
        <v>2139</v>
      </c>
      <c r="G95" s="122" t="n">
        <f aca="false">IF(MOD(LEN(H95) - LEN(SUBSTITUTE(H95, """", "")),2) = 1,1,0)</f>
        <v>0</v>
      </c>
      <c r="H95" s="134" t="str">
        <f aca="false">SUBSTITUTE(I95, "'", "\'")</f>
        <v/>
      </c>
      <c r="I95" s="103"/>
      <c r="J95" s="104"/>
    </row>
    <row r="96" customFormat="false" ht="12" hidden="false" customHeight="false" outlineLevel="0" collapsed="false">
      <c r="A96" s="131" t="str">
        <f aca="false">CLEAN(B96&amp;IF(D96="","","'"&amp;H96&amp;"'"&amp;D96))</f>
        <v>$lang["effectivemeasures"]='効果的な対策';</v>
      </c>
      <c r="B96" s="120" t="s">
        <v>2140</v>
      </c>
      <c r="D96" s="120" t="s">
        <v>2024</v>
      </c>
      <c r="E96" s="121" t="s">
        <v>227</v>
      </c>
      <c r="G96" s="122" t="n">
        <f aca="false">IF(MOD(LEN(H96) - LEN(SUBSTITUTE(H96, """", "")),2) = 1,1,0)</f>
        <v>0</v>
      </c>
      <c r="H96" s="134" t="str">
        <f aca="false">SUBSTITUTE(I96, "'", "\'")</f>
        <v>効果的な対策</v>
      </c>
      <c r="I96" s="103" t="s">
        <v>2141</v>
      </c>
      <c r="J96" s="104" t="s">
        <v>2141</v>
      </c>
      <c r="K96" s="88" t="n">
        <v>114</v>
      </c>
    </row>
    <row r="97" customFormat="false" ht="40.25" hidden="false" customHeight="false" outlineLevel="0" collapsed="false">
      <c r="A97" s="135" t="str">
        <f aca="false">CLEAN(B97&amp;"'function("&amp;H97&amp;") {return "&amp;H98&amp;"};';")</f>
        <v>$lang["comment_combined_reduce"]='function(percent,fee,co2) {return "　組み合わせると" + percent+"%、年間" + ( hidePrice != 1  ? fee +"円の光熱費と、":"") + co2+"kgのCO2が削減できます。すでに取り組んでいる場合、これだけの成果があがるエコ生活ができていることを意味しています。"};';</v>
      </c>
      <c r="B97" s="120" t="s">
        <v>2142</v>
      </c>
      <c r="E97" s="121" t="s">
        <v>227</v>
      </c>
      <c r="G97" s="122" t="n">
        <f aca="false">IF(MOD(LEN(H97) - LEN(SUBSTITUTE(H97, """", "")),2) = 1,1,0)</f>
        <v>0</v>
      </c>
      <c r="H97" s="134" t="str">
        <f aca="false">SUBSTITUTE(I97, "'", "\'")</f>
        <v>percent,fee,co2</v>
      </c>
      <c r="I97" s="103" t="s">
        <v>2143</v>
      </c>
      <c r="J97" s="104"/>
      <c r="K97" s="88" t="n">
        <v>118</v>
      </c>
    </row>
    <row r="98" customFormat="false" ht="40.25" hidden="false" customHeight="false" outlineLevel="0" collapsed="false">
      <c r="A98" s="135" t="str">
        <f aca="false">CLEAN(IF(LENB(B98)&gt;1,B98&amp;IF(LENB(H98)&lt;=1,"","'"&amp;H98&amp;"';"),""))</f>
        <v/>
      </c>
      <c r="E98" s="121" t="s">
        <v>227</v>
      </c>
      <c r="G98" s="122" t="n">
        <f aca="false">IF(MOD(LEN(H98) - LEN(SUBSTITUTE(H98, """", "")),2) = 1,1,0)</f>
        <v>0</v>
      </c>
      <c r="H98" s="134" t="str">
        <f aca="false">SUBSTITUTE(I98, "'", "\'")</f>
        <v>"　組み合わせると" + percent+"%、年間" + ( hidePrice != 1  ? fee +"円の光熱費と、":"") + co2+"kgのCO2が削減できます。すでに取り組んでいる場合、これだけの成果があがるエコ生活ができていることを意味しています。"</v>
      </c>
      <c r="I98" s="103" t="s">
        <v>2144</v>
      </c>
      <c r="J98" s="104" t="s">
        <v>2145</v>
      </c>
      <c r="K98" s="88" t="n">
        <v>119</v>
      </c>
    </row>
    <row r="99" customFormat="false" ht="12" hidden="false" customHeight="false" outlineLevel="0" collapsed="false">
      <c r="A99" s="131" t="str">
        <f aca="false">CLEAN(B99&amp;IF(D99="","","'"&amp;H99&amp;"'"&amp;D99))</f>
        <v/>
      </c>
      <c r="E99" s="121" t="s">
        <v>227</v>
      </c>
      <c r="G99" s="122" t="n">
        <f aca="false">IF(MOD(LEN(H99) - LEN(SUBSTITUTE(H99, """", "")),2) = 1,1,0)</f>
        <v>0</v>
      </c>
      <c r="H99" s="134" t="str">
        <f aca="false">SUBSTITUTE(I99, "'", "\'")</f>
        <v/>
      </c>
      <c r="I99" s="103"/>
      <c r="J99" s="104" t="s">
        <v>2146</v>
      </c>
      <c r="K99" s="88" t="n">
        <v>120</v>
      </c>
    </row>
    <row r="100" customFormat="false" ht="12" hidden="false" customHeight="false" outlineLevel="0" collapsed="false">
      <c r="A100" s="131" t="str">
        <f aca="false">CLEAN(B100&amp;IF(D100="","","'"&amp;H100&amp;"'"&amp;D100))</f>
        <v/>
      </c>
      <c r="E100" s="121" t="s">
        <v>227</v>
      </c>
      <c r="G100" s="122" t="n">
        <f aca="false">IF(MOD(LEN(H100) - LEN(SUBSTITUTE(H100, """", "")),2) = 1,1,0)</f>
        <v>0</v>
      </c>
      <c r="H100" s="134" t="str">
        <f aca="false">SUBSTITUTE(I100, "'", "\'")</f>
        <v/>
      </c>
      <c r="I100" s="103"/>
      <c r="J100" s="104" t="s">
        <v>2147</v>
      </c>
      <c r="K100" s="88" t="n">
        <v>121</v>
      </c>
    </row>
    <row r="101" customFormat="false" ht="20.85" hidden="false" customHeight="false" outlineLevel="0" collapsed="false">
      <c r="A101" s="131" t="str">
        <f aca="false">CLEAN(B101&amp;IF(D101="","","'"&amp;H101&amp;"'"&amp;D101))</f>
        <v/>
      </c>
      <c r="E101" s="121" t="s">
        <v>227</v>
      </c>
      <c r="G101" s="122" t="n">
        <f aca="false">IF(MOD(LEN(H101) - LEN(SUBSTITUTE(H101, """", "")),2) = 1,1,0)</f>
        <v>0</v>
      </c>
      <c r="H101" s="134" t="str">
        <f aca="false">SUBSTITUTE(I101, "'", "\'")</f>
        <v/>
      </c>
      <c r="I101" s="103"/>
      <c r="J101" s="104" t="s">
        <v>2148</v>
      </c>
      <c r="K101" s="88" t="n">
        <v>122</v>
      </c>
    </row>
    <row r="102" customFormat="false" ht="12" hidden="false" customHeight="false" outlineLevel="0" collapsed="false">
      <c r="A102" s="135" t="str">
        <f aca="false">CLEAN(B102&amp;"'function("&amp;H102&amp;") {return "&amp;H103&amp;"};';")</f>
        <v>$lang["titlemessage"]='function(title) {return  title+"取り組みが効果的です。"};';</v>
      </c>
      <c r="B102" s="120" t="s">
        <v>2149</v>
      </c>
      <c r="E102" s="121" t="s">
        <v>2061</v>
      </c>
      <c r="G102" s="122" t="n">
        <f aca="false">IF(MOD(LEN(H102) - LEN(SUBSTITUTE(H102, """", "")),2) = 1,1,0)</f>
        <v>0</v>
      </c>
      <c r="H102" s="134" t="str">
        <f aca="false">SUBSTITUTE(I102, "'", "\'")</f>
        <v>title</v>
      </c>
      <c r="I102" s="103" t="s">
        <v>217</v>
      </c>
      <c r="J102" s="104"/>
      <c r="K102" s="88" t="n">
        <v>163</v>
      </c>
    </row>
    <row r="103" customFormat="false" ht="12" hidden="false" customHeight="false" outlineLevel="0" collapsed="false">
      <c r="A103" s="135" t="str">
        <f aca="false">CLEAN(IF(LENB(B103)&gt;1,B103&amp;IF(LENB(H103)&lt;=1,"","'"&amp;H103&amp;"';"),""))</f>
        <v/>
      </c>
      <c r="E103" s="121" t="s">
        <v>2063</v>
      </c>
      <c r="G103" s="122" t="n">
        <f aca="false">IF(MOD(LEN(H103) - LEN(SUBSTITUTE(H103, """", "")),2) = 1,1,0)</f>
        <v>0</v>
      </c>
      <c r="H103" s="134" t="str">
        <f aca="false">SUBSTITUTE(I103, "'", "\'")</f>
        <v> title+"取り組みが効果的です。"</v>
      </c>
      <c r="I103" s="103" t="s">
        <v>2150</v>
      </c>
      <c r="J103" s="104" t="s">
        <v>2151</v>
      </c>
      <c r="K103" s="88" t="n">
        <v>164</v>
      </c>
    </row>
    <row r="104" customFormat="false" ht="20.85" hidden="false" customHeight="false" outlineLevel="0" collapsed="false">
      <c r="A104" s="135" t="str">
        <f aca="false">CLEAN(B104&amp;"'function("&amp;H104&amp;") {return "&amp;H105&amp;"};';")</f>
        <v>$lang["co2reduction"]='function(co2) {return "年間" + co2+"kgのCO2を減らすことができます。"};';</v>
      </c>
      <c r="B104" s="120" t="s">
        <v>2152</v>
      </c>
      <c r="E104" s="121" t="s">
        <v>2061</v>
      </c>
      <c r="G104" s="122" t="n">
        <f aca="false">IF(MOD(LEN(H104) - LEN(SUBSTITUTE(H104, """", "")),2) = 1,1,0)</f>
        <v>0</v>
      </c>
      <c r="H104" s="134" t="str">
        <f aca="false">SUBSTITUTE(I104, "'", "\'")</f>
        <v>co2</v>
      </c>
      <c r="I104" s="103" t="s">
        <v>2153</v>
      </c>
      <c r="J104" s="104"/>
      <c r="K104" s="88" t="n">
        <v>166</v>
      </c>
    </row>
    <row r="105" customFormat="false" ht="12" hidden="false" customHeight="false" outlineLevel="0" collapsed="false">
      <c r="A105" s="135" t="str">
        <f aca="false">CLEAN(IF(LENB(B105)&gt;1,B105&amp;IF(LENB(H105)&lt;=1,"","'"&amp;H105&amp;"';"),""))</f>
        <v/>
      </c>
      <c r="E105" s="121" t="s">
        <v>2063</v>
      </c>
      <c r="G105" s="122" t="n">
        <f aca="false">IF(MOD(LEN(H105) - LEN(SUBSTITUTE(H105, """", "")),2) = 1,1,0)</f>
        <v>0</v>
      </c>
      <c r="H105" s="134" t="str">
        <f aca="false">SUBSTITUTE(I105, "'", "\'")</f>
        <v>"年間" + co2+"kgのCO2を減らすことができます。"</v>
      </c>
      <c r="I105" s="103" t="s">
        <v>2154</v>
      </c>
      <c r="J105" s="104" t="s">
        <v>2155</v>
      </c>
      <c r="K105" s="88" t="n">
        <v>167</v>
      </c>
    </row>
    <row r="106" customFormat="false" ht="12" hidden="false" customHeight="false" outlineLevel="0" collapsed="false">
      <c r="A106" s="131" t="str">
        <f aca="false">CLEAN(B106&amp;IF(D106="","","'"&amp;H106&amp;"'"&amp;D106))</f>
        <v/>
      </c>
      <c r="E106" s="121" t="s">
        <v>227</v>
      </c>
      <c r="G106" s="122" t="n">
        <f aca="false">IF(MOD(LEN(H106) - LEN(SUBSTITUTE(H106, """", "")),2) = 1,1,0)</f>
        <v>0</v>
      </c>
      <c r="H106" s="134" t="str">
        <f aca="false">SUBSTITUTE(I106, "'", "\'")</f>
        <v/>
      </c>
      <c r="I106" s="103"/>
      <c r="J106" s="104" t="s">
        <v>2156</v>
      </c>
      <c r="K106" s="88" t="n">
        <v>168</v>
      </c>
    </row>
    <row r="107" customFormat="false" ht="20.85" hidden="false" customHeight="false" outlineLevel="0" collapsed="false">
      <c r="A107" s="135" t="str">
        <f aca="false">CLEAN(B107&amp;"'function("&amp;H107&amp;") {return "&amp;H108&amp;"};';")</f>
        <v>$lang["reducepercent"]='function(name,percent) {return "これは" + name+"の" +percent+"%を減らすことに相当します。"};';</v>
      </c>
      <c r="B107" s="120" t="s">
        <v>2157</v>
      </c>
      <c r="E107" s="121" t="s">
        <v>2061</v>
      </c>
      <c r="G107" s="122" t="n">
        <f aca="false">IF(MOD(LEN(H107) - LEN(SUBSTITUTE(H107, """", "")),2) = 1,1,0)</f>
        <v>0</v>
      </c>
      <c r="H107" s="134" t="str">
        <f aca="false">SUBSTITUTE(I107, "'", "\'")</f>
        <v>name,percent</v>
      </c>
      <c r="I107" s="103" t="s">
        <v>2158</v>
      </c>
      <c r="J107" s="104"/>
      <c r="K107" s="88" t="n">
        <v>170</v>
      </c>
    </row>
    <row r="108" customFormat="false" ht="12.65" hidden="false" customHeight="false" outlineLevel="0" collapsed="false">
      <c r="A108" s="135" t="str">
        <f aca="false">CLEAN(IF(LENB(B108)&gt;1,B108&amp;IF(LENB(H108)&lt;=1,"","'"&amp;H108&amp;"';"),""))</f>
        <v/>
      </c>
      <c r="E108" s="121" t="s">
        <v>2063</v>
      </c>
      <c r="G108" s="122" t="n">
        <f aca="false">IF(MOD(LEN(H108) - LEN(SUBSTITUTE(H108, """", "")),2) = 1,1,0)</f>
        <v>0</v>
      </c>
      <c r="H108" s="134" t="str">
        <f aca="false">SUBSTITUTE(I108, "'", "\'")</f>
        <v>"これは" + name+"の" +percent+"%を減らすことに相当します。"</v>
      </c>
      <c r="I108" s="103" t="s">
        <v>2159</v>
      </c>
      <c r="J108" s="104" t="s">
        <v>2160</v>
      </c>
      <c r="K108" s="88" t="n">
        <v>171</v>
      </c>
    </row>
    <row r="109" customFormat="false" ht="12.65" hidden="false" customHeight="false" outlineLevel="0" collapsed="false">
      <c r="A109" s="131" t="str">
        <f aca="false">CLEAN(B109&amp;IF(D109="","","'"&amp;H109&amp;"'"&amp;D109))</f>
        <v/>
      </c>
      <c r="E109" s="121" t="s">
        <v>227</v>
      </c>
      <c r="G109" s="122" t="n">
        <f aca="false">IF(MOD(LEN(H109) - LEN(SUBSTITUTE(H109, """", "")),2) = 1,1,0)</f>
        <v>0</v>
      </c>
      <c r="H109" s="134" t="str">
        <f aca="false">SUBSTITUTE(I109, "'", "\'")</f>
        <v/>
      </c>
      <c r="I109" s="103"/>
      <c r="J109" s="104" t="s">
        <v>2161</v>
      </c>
      <c r="K109" s="88" t="n">
        <v>172</v>
      </c>
    </row>
    <row r="110" customFormat="false" ht="12.65" hidden="false" customHeight="false" outlineLevel="0" collapsed="false">
      <c r="A110" s="131" t="str">
        <f aca="false">CLEAN(B110&amp;IF(D110="","","'"&amp;H110&amp;"'"&amp;D110))</f>
        <v/>
      </c>
      <c r="E110" s="121" t="s">
        <v>227</v>
      </c>
      <c r="G110" s="122" t="n">
        <f aca="false">IF(MOD(LEN(H110) - LEN(SUBSTITUTE(H110, """", "")),2) = 1,1,0)</f>
        <v>0</v>
      </c>
      <c r="H110" s="134" t="str">
        <f aca="false">SUBSTITUTE(I110, "'", "\'")</f>
        <v/>
      </c>
      <c r="I110" s="103"/>
      <c r="J110" s="104" t="s">
        <v>2162</v>
      </c>
      <c r="K110" s="88" t="n">
        <v>173</v>
      </c>
    </row>
    <row r="111" customFormat="false" ht="12.65" hidden="false" customHeight="false" outlineLevel="0" collapsed="false">
      <c r="A111" s="131" t="str">
        <f aca="false">CLEAN(B111&amp;IF(D111="","","'"&amp;H111&amp;"'"&amp;D111))</f>
        <v>$lang["co2minus"]='CO2を排出しない生活が達成できます。';</v>
      </c>
      <c r="B111" s="120" t="s">
        <v>2163</v>
      </c>
      <c r="D111" s="120" t="s">
        <v>2024</v>
      </c>
      <c r="E111" s="121" t="s">
        <v>227</v>
      </c>
      <c r="G111" s="122" t="n">
        <f aca="false">IF(MOD(LEN(H111) - LEN(SUBSTITUTE(H111, """", "")),2) = 1,1,0)</f>
        <v>0</v>
      </c>
      <c r="H111" s="134" t="str">
        <f aca="false">SUBSTITUTE(I111, "'", "\'")</f>
        <v>CO2を排出しない生活が達成できます。</v>
      </c>
      <c r="I111" s="103" t="s">
        <v>2164</v>
      </c>
      <c r="J111" s="104" t="s">
        <v>2164</v>
      </c>
      <c r="K111" s="88" t="n">
        <v>175</v>
      </c>
    </row>
    <row r="112" customFormat="false" ht="12.65" hidden="false" customHeight="false" outlineLevel="0" collapsed="false">
      <c r="A112" s="131" t="str">
        <f aca="false">CLEAN(B112&amp;IF(D112="","","'"&amp;H112&amp;"'"&amp;D112))</f>
        <v>$lang["error"]=' ※詳細の記入がないため概算です。';</v>
      </c>
      <c r="B112" s="120" t="s">
        <v>2165</v>
      </c>
      <c r="D112" s="120" t="s">
        <v>2024</v>
      </c>
      <c r="E112" s="121" t="s">
        <v>227</v>
      </c>
      <c r="G112" s="122" t="n">
        <f aca="false">IF(MOD(LEN(H112) - LEN(SUBSTITUTE(H112, """", "")),2) = 1,1,0)</f>
        <v>0</v>
      </c>
      <c r="H112" s="134" t="str">
        <f aca="false">SUBSTITUTE(I112, "'", "\'")</f>
        <v> ※詳細の記入がないため概算です。</v>
      </c>
      <c r="I112" s="103" t="s">
        <v>2166</v>
      </c>
      <c r="J112" s="104" t="s">
        <v>2166</v>
      </c>
      <c r="K112" s="88" t="n">
        <v>176</v>
      </c>
    </row>
    <row r="113" customFormat="false" ht="12.65" hidden="false" customHeight="false" outlineLevel="0" collapsed="false">
      <c r="A113" s="131" t="str">
        <f aca="false">CLEAN(B113&amp;IF(D113="","","'"&amp;H113&amp;"'"&amp;D113))</f>
        <v/>
      </c>
      <c r="B113" s="120" t="s">
        <v>2058</v>
      </c>
      <c r="E113" s="121" t="s">
        <v>227</v>
      </c>
      <c r="G113" s="122" t="n">
        <f aca="false">IF(MOD(LEN(H113) - LEN(SUBSTITUTE(H113, """", "")),2) = 1,1,0)</f>
        <v>0</v>
      </c>
      <c r="H113" s="134" t="str">
        <f aca="false">SUBSTITUTE(I113, "'", "\'")</f>
        <v/>
      </c>
      <c r="I113" s="103"/>
      <c r="J113" s="104"/>
      <c r="K113" s="88" t="n">
        <v>177</v>
      </c>
    </row>
    <row r="114" customFormat="false" ht="12.65" hidden="false" customHeight="false" outlineLevel="0" collapsed="false">
      <c r="A114" s="135" t="str">
        <f aca="false">CLEAN(B114&amp;"'function("&amp;H114&amp;") {return "&amp;H115&amp;"};';")</f>
        <v>$lang["feereduction"]='function(fee) {return "年間約" + fee+"円お得な取り組みです。"};';</v>
      </c>
      <c r="B114" s="120" t="s">
        <v>2167</v>
      </c>
      <c r="E114" s="121" t="s">
        <v>2061</v>
      </c>
      <c r="G114" s="122" t="n">
        <f aca="false">IF(MOD(LEN(H114) - LEN(SUBSTITUTE(H114, """", "")),2) = 1,1,0)</f>
        <v>0</v>
      </c>
      <c r="H114" s="134" t="str">
        <f aca="false">SUBSTITUTE(I114, "'", "\'")</f>
        <v>fee</v>
      </c>
      <c r="I114" s="103" t="s">
        <v>2168</v>
      </c>
      <c r="J114" s="104"/>
      <c r="K114" s="88" t="n">
        <v>178</v>
      </c>
    </row>
    <row r="115" customFormat="false" ht="12.65" hidden="false" customHeight="false" outlineLevel="0" collapsed="false">
      <c r="A115" s="135" t="str">
        <f aca="false">CLEAN(IF(LENB(B115)&gt;1,B115&amp;IF(LENB(H115)&lt;=1,"","'"&amp;H115&amp;"';"),""))</f>
        <v/>
      </c>
      <c r="E115" s="121" t="s">
        <v>2063</v>
      </c>
      <c r="G115" s="122" t="n">
        <f aca="false">IF(MOD(LEN(H115) - LEN(SUBSTITUTE(H115, """", "")),2) = 1,1,0)</f>
        <v>0</v>
      </c>
      <c r="H115" s="134" t="str">
        <f aca="false">SUBSTITUTE(I115, "'", "\'")</f>
        <v>"年間約" + fee+"円お得な取り組みです。"</v>
      </c>
      <c r="I115" s="103" t="s">
        <v>2169</v>
      </c>
      <c r="J115" s="104" t="s">
        <v>2170</v>
      </c>
      <c r="K115" s="88" t="n">
        <v>179</v>
      </c>
    </row>
    <row r="116" customFormat="false" ht="12.65" hidden="false" customHeight="false" outlineLevel="0" collapsed="false">
      <c r="A116" s="131" t="str">
        <f aca="false">CLEAN(B116&amp;IF(D116="","","'"&amp;H116&amp;"'"&amp;D116))</f>
        <v/>
      </c>
      <c r="E116" s="121" t="s">
        <v>227</v>
      </c>
      <c r="G116" s="122" t="n">
        <f aca="false">IF(MOD(LEN(H116) - LEN(SUBSTITUTE(H116, """", "")),2) = 1,1,0)</f>
        <v>0</v>
      </c>
      <c r="H116" s="134" t="str">
        <f aca="false">SUBSTITUTE(I116, "'", "\'")</f>
        <v/>
      </c>
      <c r="I116" s="103"/>
      <c r="J116" s="104" t="s">
        <v>2171</v>
      </c>
      <c r="K116" s="88" t="n">
        <v>180</v>
      </c>
    </row>
    <row r="117" customFormat="false" ht="12.65" hidden="false" customHeight="false" outlineLevel="0" collapsed="false">
      <c r="A117" s="131" t="str">
        <f aca="false">CLEAN(B117&amp;IF(D117="","","'"&amp;H117&amp;"'"&amp;D117))</f>
        <v>$lang["feenochange"]='光熱費等の変化はありません。';</v>
      </c>
      <c r="B117" s="120" t="s">
        <v>2172</v>
      </c>
      <c r="D117" s="120" t="s">
        <v>2024</v>
      </c>
      <c r="E117" s="121" t="s">
        <v>227</v>
      </c>
      <c r="G117" s="122" t="n">
        <f aca="false">IF(MOD(LEN(H117) - LEN(SUBSTITUTE(H117, """", "")),2) = 1,1,0)</f>
        <v>0</v>
      </c>
      <c r="H117" s="134" t="str">
        <f aca="false">SUBSTITUTE(I117, "'", "\'")</f>
        <v>光熱費等の変化はありません。</v>
      </c>
      <c r="I117" s="103" t="s">
        <v>2173</v>
      </c>
      <c r="J117" s="104" t="s">
        <v>2173</v>
      </c>
      <c r="K117" s="88" t="n">
        <v>182</v>
      </c>
    </row>
    <row r="118" customFormat="false" ht="12.65" hidden="false" customHeight="false" outlineLevel="0" collapsed="false">
      <c r="A118" s="131" t="str">
        <f aca="false">CLEAN(B118&amp;IF(D118="","","'"&amp;H118&amp;"'"&amp;D118))</f>
        <v/>
      </c>
      <c r="B118" s="120" t="s">
        <v>2058</v>
      </c>
      <c r="E118" s="121" t="s">
        <v>227</v>
      </c>
      <c r="G118" s="122" t="n">
        <f aca="false">IF(MOD(LEN(H118) - LEN(SUBSTITUTE(H118, """", "")),2) = 1,1,0)</f>
        <v>0</v>
      </c>
      <c r="H118" s="134" t="str">
        <f aca="false">SUBSTITUTE(I118, "'", "\'")</f>
        <v/>
      </c>
      <c r="I118" s="103"/>
      <c r="J118" s="104"/>
      <c r="K118" s="88" t="n">
        <v>183</v>
      </c>
    </row>
    <row r="119" customFormat="false" ht="12.65" hidden="false" customHeight="false" outlineLevel="0" collapsed="false">
      <c r="A119" s="131" t="str">
        <f aca="false">CLEAN(B119&amp;IF(D119="","","'"&amp;H119&amp;"'"&amp;D119))</f>
        <v>//result payback----------------------------</v>
      </c>
      <c r="B119" s="120" t="s">
        <v>2174</v>
      </c>
      <c r="E119" s="121" t="s">
        <v>227</v>
      </c>
      <c r="G119" s="122" t="n">
        <f aca="false">IF(MOD(LEN(H119) - LEN(SUBSTITUTE(H119, """", "")),2) = 1,1,0)</f>
        <v>0</v>
      </c>
      <c r="H119" s="134" t="str">
        <f aca="false">SUBSTITUTE(I119, "'", "\'")</f>
        <v/>
      </c>
      <c r="I119" s="103"/>
      <c r="J119" s="104"/>
      <c r="K119" s="88" t="n">
        <v>184</v>
      </c>
    </row>
    <row r="120" customFormat="false" ht="30.55" hidden="false" customHeight="false" outlineLevel="0" collapsed="false">
      <c r="A120" s="135" t="str">
        <f aca="false">CLEAN(B120&amp;"'function("&amp;H120&amp;") {return "&amp;H121&amp;"};';")</f>
        <v>$lang["initialcost"]='function(price,lifetime,load) {return "新たに購入するために、約" + price+"円（参考価格）かかり、" + lifetime+"年の寿命で割ると、年間約"+ load+"円の負担になります。"};';</v>
      </c>
      <c r="B120" s="120" t="s">
        <v>2175</v>
      </c>
      <c r="E120" s="121" t="s">
        <v>2061</v>
      </c>
      <c r="G120" s="122" t="n">
        <f aca="false">IF(MOD(LEN(H120) - LEN(SUBSTITUTE(H120, """", "")),2) = 1,1,0)</f>
        <v>0</v>
      </c>
      <c r="H120" s="134" t="str">
        <f aca="false">SUBSTITUTE(I120, "'", "\'")</f>
        <v>price,lifetime,load</v>
      </c>
      <c r="I120" s="103" t="s">
        <v>2176</v>
      </c>
      <c r="J120" s="104"/>
      <c r="K120" s="88" t="n">
        <v>185</v>
      </c>
    </row>
    <row r="121" customFormat="false" ht="20.85" hidden="false" customHeight="false" outlineLevel="0" collapsed="false">
      <c r="A121" s="135" t="str">
        <f aca="false">CLEAN(IF(LENB(B121)&gt;1,B121&amp;IF(LENB(H121)&lt;=1,"","'"&amp;H121&amp;"';"),""))</f>
        <v/>
      </c>
      <c r="E121" s="121" t="s">
        <v>2063</v>
      </c>
      <c r="G121" s="122" t="n">
        <f aca="false">IF(MOD(LEN(H121) - LEN(SUBSTITUTE(H121, """", "")),2) = 1,1,0)</f>
        <v>0</v>
      </c>
      <c r="H121" s="134" t="str">
        <f aca="false">SUBSTITUTE(I121, "'", "\'")</f>
        <v>"新たに購入するために、約" + price+"円（参考価格）かかり、" + lifetime+"年の寿命で割ると、年間約"+ load+"円の負担になります。"</v>
      </c>
      <c r="I121" s="103" t="s">
        <v>2177</v>
      </c>
      <c r="J121" s="104" t="s">
        <v>2178</v>
      </c>
      <c r="K121" s="88" t="n">
        <v>186</v>
      </c>
    </row>
    <row r="122" customFormat="false" ht="12" hidden="false" customHeight="false" outlineLevel="0" collapsed="false">
      <c r="A122" s="131" t="str">
        <f aca="false">CLEAN(B122&amp;IF(D122="","","'"&amp;H122&amp;"'"&amp;D122))</f>
        <v/>
      </c>
      <c r="E122" s="121" t="s">
        <v>227</v>
      </c>
      <c r="G122" s="122" t="n">
        <f aca="false">IF(MOD(LEN(H122) - LEN(SUBSTITUTE(H122, """", "")),2) = 1,1,0)</f>
        <v>0</v>
      </c>
      <c r="H122" s="134" t="str">
        <f aca="false">SUBSTITUTE(I122, "'", "\'")</f>
        <v/>
      </c>
      <c r="I122" s="103"/>
      <c r="J122" s="104" t="s">
        <v>2179</v>
      </c>
      <c r="K122" s="88" t="n">
        <v>187</v>
      </c>
    </row>
    <row r="123" customFormat="false" ht="12" hidden="false" customHeight="false" outlineLevel="0" collapsed="false">
      <c r="A123" s="131" t="str">
        <f aca="false">CLEAN(B123&amp;IF(D123="","","'"&amp;H123&amp;"'"&amp;D123))</f>
        <v/>
      </c>
      <c r="E123" s="121" t="s">
        <v>227</v>
      </c>
      <c r="G123" s="122" t="n">
        <f aca="false">IF(MOD(LEN(H123) - LEN(SUBSTITUTE(H123, """", "")),2) = 1,1,0)</f>
        <v>0</v>
      </c>
      <c r="H123" s="134" t="str">
        <f aca="false">SUBSTITUTE(I123, "'", "\'")</f>
        <v/>
      </c>
      <c r="I123" s="103"/>
      <c r="J123" s="104" t="s">
        <v>2180</v>
      </c>
      <c r="K123" s="88" t="n">
        <v>188</v>
      </c>
    </row>
    <row r="124" customFormat="false" ht="12" hidden="false" customHeight="false" outlineLevel="0" collapsed="false">
      <c r="A124" s="131" t="str">
        <f aca="false">CLEAN(B124&amp;IF(D124="","","'"&amp;H124&amp;"'"&amp;D124))</f>
        <v/>
      </c>
      <c r="E124" s="121" t="s">
        <v>227</v>
      </c>
      <c r="G124" s="122" t="n">
        <f aca="false">IF(MOD(LEN(H124) - LEN(SUBSTITUTE(H124, """", "")),2) = 1,1,0)</f>
        <v>0</v>
      </c>
      <c r="H124" s="134" t="str">
        <f aca="false">SUBSTITUTE(I124, "'", "\'")</f>
        <v/>
      </c>
      <c r="I124" s="103"/>
      <c r="J124" s="104" t="s">
        <v>2181</v>
      </c>
      <c r="K124" s="88" t="n">
        <v>189</v>
      </c>
    </row>
    <row r="125" customFormat="false" ht="30.55" hidden="false" customHeight="false" outlineLevel="0" collapsed="false">
      <c r="A125" s="135" t="str">
        <f aca="false">CLEAN(B125&amp;"'function("&amp;H125&amp;") {return "&amp;H126&amp;"};';")</f>
        <v>$lang["payback"]='function(change,totalchange,down) {return "一方、光熱費が毎年約" + change+ "円安くなるため、トータルでは年間約" + totalchange +(down?"円お得となります。":"円の負担ですみます。" )};';</v>
      </c>
      <c r="B125" s="120" t="s">
        <v>2182</v>
      </c>
      <c r="E125" s="121" t="s">
        <v>2061</v>
      </c>
      <c r="G125" s="122" t="n">
        <f aca="false">IF(MOD(LEN(H125) - LEN(SUBSTITUTE(H125, """", "")),2) = 1,1,0)</f>
        <v>0</v>
      </c>
      <c r="H125" s="134" t="str">
        <f aca="false">SUBSTITUTE(I125, "'", "\'")</f>
        <v>change,totalchange,down</v>
      </c>
      <c r="I125" s="103" t="s">
        <v>2183</v>
      </c>
      <c r="J125" s="104"/>
      <c r="K125" s="88" t="n">
        <v>191</v>
      </c>
    </row>
    <row r="126" customFormat="false" ht="30.55" hidden="false" customHeight="false" outlineLevel="0" collapsed="false">
      <c r="A126" s="135" t="str">
        <f aca="false">CLEAN(IF(LENB(B126)&gt;1,B126&amp;IF(LENB(H126)&lt;=1,"","'"&amp;H126&amp;"';"),""))</f>
        <v/>
      </c>
      <c r="E126" s="121" t="s">
        <v>2063</v>
      </c>
      <c r="G126" s="122" t="n">
        <f aca="false">IF(MOD(LEN(H126) - LEN(SUBSTITUTE(H126, """", "")),2) = 1,1,0)</f>
        <v>0</v>
      </c>
      <c r="H126" s="134" t="str">
        <f aca="false">SUBSTITUTE(I126, "'", "\'")</f>
        <v>"一方、光熱費が毎年約" + change+ "円安くなるため、トータルでは年間約" + totalchange +(down?"円お得となります。":"円の負担ですみます。" )</v>
      </c>
      <c r="I126" s="103" t="s">
        <v>2184</v>
      </c>
      <c r="J126" s="104" t="s">
        <v>2185</v>
      </c>
      <c r="K126" s="88" t="n">
        <v>192</v>
      </c>
    </row>
    <row r="127" customFormat="false" ht="12.65" hidden="false" customHeight="false" outlineLevel="0" collapsed="false">
      <c r="A127" s="131" t="str">
        <f aca="false">CLEAN(B127&amp;IF(D127="","","'"&amp;H127&amp;"'"&amp;D127))</f>
        <v/>
      </c>
      <c r="E127" s="121" t="s">
        <v>227</v>
      </c>
      <c r="G127" s="122" t="n">
        <f aca="false">IF(MOD(LEN(H127) - LEN(SUBSTITUTE(H127, """", "")),2) = 1,1,0)</f>
        <v>0</v>
      </c>
      <c r="H127" s="134" t="str">
        <f aca="false">SUBSTITUTE(I127, "'", "\'")</f>
        <v> </v>
      </c>
      <c r="I127" s="103" t="s">
        <v>227</v>
      </c>
      <c r="J127" s="104" t="s">
        <v>2186</v>
      </c>
      <c r="K127" s="88" t="n">
        <v>193</v>
      </c>
    </row>
    <row r="128" customFormat="false" ht="12.65" hidden="false" customHeight="false" outlineLevel="0" collapsed="false">
      <c r="A128" s="131" t="str">
        <f aca="false">CLEAN(B128&amp;IF(D128="","","'"&amp;H128&amp;"'"&amp;D128))</f>
        <v/>
      </c>
      <c r="D128" s="136"/>
      <c r="E128" s="121" t="s">
        <v>227</v>
      </c>
      <c r="G128" s="122" t="n">
        <f aca="false">IF(MOD(LEN(H128) - LEN(SUBSTITUTE(H128, """", "")),2) = 1,1,0)</f>
        <v>0</v>
      </c>
      <c r="H128" s="134" t="str">
        <f aca="false">SUBSTITUTE(I128, "'", "\'")</f>
        <v/>
      </c>
      <c r="I128" s="103"/>
      <c r="J128" s="104" t="s">
        <v>2187</v>
      </c>
      <c r="K128" s="88" t="n">
        <v>194</v>
      </c>
    </row>
    <row r="129" customFormat="false" ht="12.65" hidden="false" customHeight="false" outlineLevel="0" collapsed="false">
      <c r="A129" s="131" t="str">
        <f aca="false">CLEAN(B129&amp;IF(D129="","","'"&amp;H129&amp;"'"&amp;D129))</f>
        <v/>
      </c>
      <c r="E129" s="121" t="s">
        <v>227</v>
      </c>
      <c r="G129" s="122" t="n">
        <f aca="false">IF(MOD(LEN(H129) - LEN(SUBSTITUTE(H129, """", "")),2) = 1,1,0)</f>
        <v>0</v>
      </c>
      <c r="H129" s="134" t="str">
        <f aca="false">SUBSTITUTE(I129, "'", "\'")</f>
        <v/>
      </c>
      <c r="I129" s="103"/>
      <c r="J129" s="104" t="s">
        <v>2188</v>
      </c>
      <c r="K129" s="88" t="n">
        <v>195</v>
      </c>
    </row>
    <row r="130" customFormat="false" ht="12.65" hidden="false" customHeight="false" outlineLevel="0" collapsed="false">
      <c r="A130" s="131" t="str">
        <f aca="false">CLEAN(B130&amp;IF(D130="","","'"&amp;H130&amp;"'"&amp;D130))</f>
        <v>$lang["payback1month"]='1ヶ月以内に元をとれます。';</v>
      </c>
      <c r="B130" s="120" t="s">
        <v>2189</v>
      </c>
      <c r="D130" s="120" t="s">
        <v>2024</v>
      </c>
      <c r="E130" s="121" t="s">
        <v>227</v>
      </c>
      <c r="G130" s="122" t="n">
        <f aca="false">IF(MOD(LEN(H130) - LEN(SUBSTITUTE(H130, """", "")),2) = 1,1,0)</f>
        <v>0</v>
      </c>
      <c r="H130" s="134" t="str">
        <f aca="false">SUBSTITUTE(I130, "'", "\'")</f>
        <v>1ヶ月以内に元をとれます。</v>
      </c>
      <c r="I130" s="103" t="s">
        <v>2190</v>
      </c>
      <c r="J130" s="104" t="s">
        <v>2190</v>
      </c>
      <c r="K130" s="88" t="n">
        <v>197</v>
      </c>
    </row>
    <row r="131" customFormat="false" ht="12.65" hidden="false" customHeight="false" outlineLevel="0" collapsed="false">
      <c r="A131" s="135" t="str">
        <f aca="false">CLEAN(B131&amp;"'function("&amp;H131&amp;") {return "&amp;H132&amp;"};';")</f>
        <v>$lang["paybackmonth"]='function(month) {return "約" + month+"ヶ月で元をとれます。"};';</v>
      </c>
      <c r="B131" s="120" t="s">
        <v>2191</v>
      </c>
      <c r="E131" s="121" t="s">
        <v>2061</v>
      </c>
      <c r="G131" s="122" t="n">
        <f aca="false">IF(MOD(LEN(H131) - LEN(SUBSTITUTE(H131, """", "")),2) = 1,1,0)</f>
        <v>0</v>
      </c>
      <c r="H131" s="134" t="str">
        <f aca="false">SUBSTITUTE(I131, "'", "\'")</f>
        <v>month</v>
      </c>
      <c r="I131" s="103" t="s">
        <v>2192</v>
      </c>
      <c r="J131" s="104"/>
      <c r="K131" s="88" t="n">
        <v>198</v>
      </c>
    </row>
    <row r="132" customFormat="false" ht="12.65" hidden="false" customHeight="false" outlineLevel="0" collapsed="false">
      <c r="A132" s="135" t="str">
        <f aca="false">CLEAN(IF(LENB(B132)&gt;1,B132&amp;IF(LENB(H132)&lt;=1,"","'"&amp;H132&amp;"';"),""))</f>
        <v/>
      </c>
      <c r="E132" s="121" t="s">
        <v>2063</v>
      </c>
      <c r="G132" s="122" t="n">
        <f aca="false">IF(MOD(LEN(H132) - LEN(SUBSTITUTE(H132, """", "")),2) = 1,1,0)</f>
        <v>0</v>
      </c>
      <c r="H132" s="134" t="str">
        <f aca="false">SUBSTITUTE(I132, "'", "\'")</f>
        <v>"約" + month+"ヶ月で元をとれます。"</v>
      </c>
      <c r="I132" s="103" t="s">
        <v>2193</v>
      </c>
      <c r="J132" s="104" t="s">
        <v>2194</v>
      </c>
      <c r="K132" s="88" t="n">
        <v>199</v>
      </c>
    </row>
    <row r="133" customFormat="false" ht="12.65" hidden="false" customHeight="false" outlineLevel="0" collapsed="false">
      <c r="A133" s="131" t="str">
        <f aca="false">CLEAN(B133&amp;IF(D133="","","'"&amp;H133&amp;"'"&amp;D133))</f>
        <v/>
      </c>
      <c r="E133" s="121" t="s">
        <v>227</v>
      </c>
      <c r="G133" s="122" t="n">
        <f aca="false">IF(MOD(LEN(H133) - LEN(SUBSTITUTE(H133, """", "")),2) = 1,1,0)</f>
        <v>0</v>
      </c>
      <c r="H133" s="134" t="str">
        <f aca="false">SUBSTITUTE(I133, "'", "\'")</f>
        <v/>
      </c>
      <c r="I133" s="103"/>
      <c r="J133" s="104" t="s">
        <v>2195</v>
      </c>
      <c r="K133" s="88" t="n">
        <v>200</v>
      </c>
    </row>
    <row r="134" customFormat="false" ht="12.65" hidden="false" customHeight="false" outlineLevel="0" collapsed="false">
      <c r="A134" s="135" t="str">
        <f aca="false">CLEAN(B134&amp;"'function("&amp;H134&amp;") {return "&amp;H135&amp;"};';")</f>
        <v>$lang["paybackyear"]='function(year) {return "約" + year+"年で元をとれます。"};';</v>
      </c>
      <c r="B134" s="120" t="s">
        <v>2196</v>
      </c>
      <c r="E134" s="121" t="s">
        <v>2061</v>
      </c>
      <c r="G134" s="122" t="n">
        <f aca="false">IF(MOD(LEN(H134) - LEN(SUBSTITUTE(H134, """", "")),2) = 1,1,0)</f>
        <v>0</v>
      </c>
      <c r="H134" s="134" t="str">
        <f aca="false">SUBSTITUTE(I134, "'", "\'")</f>
        <v>year</v>
      </c>
      <c r="I134" s="103" t="s">
        <v>2197</v>
      </c>
      <c r="J134" s="104"/>
      <c r="K134" s="88" t="n">
        <v>202</v>
      </c>
    </row>
    <row r="135" customFormat="false" ht="12.65" hidden="false" customHeight="false" outlineLevel="0" collapsed="false">
      <c r="A135" s="135" t="str">
        <f aca="false">CLEAN(IF(LENB(B135)&gt;1,B135&amp;IF(LENB(H135)&lt;=1,"","'"&amp;H135&amp;"';"),""))</f>
        <v/>
      </c>
      <c r="E135" s="121" t="s">
        <v>2063</v>
      </c>
      <c r="G135" s="122" t="n">
        <f aca="false">IF(MOD(LEN(H135) - LEN(SUBSTITUTE(H135, """", "")),2) = 1,1,0)</f>
        <v>0</v>
      </c>
      <c r="H135" s="134" t="str">
        <f aca="false">SUBSTITUTE(I135, "'", "\'")</f>
        <v>"約" + year+"年で元をとれます。"</v>
      </c>
      <c r="I135" s="103" t="s">
        <v>2198</v>
      </c>
      <c r="J135" s="104" t="s">
        <v>2194</v>
      </c>
      <c r="K135" s="88" t="n">
        <v>203</v>
      </c>
    </row>
    <row r="136" customFormat="false" ht="12.65" hidden="false" customHeight="false" outlineLevel="0" collapsed="false">
      <c r="A136" s="131" t="str">
        <f aca="false">CLEAN(B136&amp;IF(D136="","","'"&amp;H136&amp;"'"&amp;D136))</f>
        <v/>
      </c>
      <c r="E136" s="121" t="s">
        <v>227</v>
      </c>
      <c r="G136" s="122" t="n">
        <f aca="false">IF(MOD(LEN(H136) - LEN(SUBSTITUTE(H136, """", "")),2) = 1,1,0)</f>
        <v>0</v>
      </c>
      <c r="H136" s="134" t="str">
        <f aca="false">SUBSTITUTE(I136, "'", "\'")</f>
        <v/>
      </c>
      <c r="I136" s="103"/>
      <c r="J136" s="104" t="s">
        <v>2199</v>
      </c>
      <c r="K136" s="88" t="n">
        <v>204</v>
      </c>
    </row>
    <row r="137" customFormat="false" ht="12.65" hidden="false" customHeight="false" outlineLevel="0" collapsed="false">
      <c r="A137" s="131" t="str">
        <f aca="false">CLEAN(B137&amp;IF(D137="","","'"&amp;H137&amp;"'"&amp;D137))</f>
        <v>$lang["paybacknever"]='なお、製品の寿命までに、光熱費削減額で元をとることはできません。';</v>
      </c>
      <c r="B137" s="120" t="s">
        <v>2200</v>
      </c>
      <c r="D137" s="120" t="s">
        <v>2033</v>
      </c>
      <c r="E137" s="121" t="s">
        <v>227</v>
      </c>
      <c r="G137" s="122" t="n">
        <f aca="false">IF(MOD(LEN(H137) - LEN(SUBSTITUTE(H137, """", "")),2) = 1,1,0)</f>
        <v>0</v>
      </c>
      <c r="H137" s="134" t="str">
        <f aca="false">SUBSTITUTE(I137, "'", "\'")</f>
        <v>なお、製品の寿命までに、光熱費削減額で元をとることはできません。</v>
      </c>
      <c r="I137" s="103" t="s">
        <v>2201</v>
      </c>
      <c r="J137" s="104" t="s">
        <v>2201</v>
      </c>
      <c r="K137" s="88" t="n">
        <v>206</v>
      </c>
    </row>
    <row r="138" customFormat="false" ht="12.65" hidden="false" customHeight="false" outlineLevel="0" collapsed="false">
      <c r="A138" s="135" t="str">
        <f aca="false">CLEAN(B138&amp;"'function("&amp;H138&amp;") {return "&amp;H139&amp;"};';")</f>
        <v>$lang["notinstallfee"]='function(fee) {return "光熱費は年間約" + fee+"円安くなります。"};';</v>
      </c>
      <c r="B138" s="120" t="s">
        <v>2202</v>
      </c>
      <c r="E138" s="121" t="s">
        <v>2061</v>
      </c>
      <c r="G138" s="122" t="n">
        <f aca="false">IF(MOD(LEN(H138) - LEN(SUBSTITUTE(H138, """", "")),2) = 1,1,0)</f>
        <v>0</v>
      </c>
      <c r="H138" s="134" t="str">
        <f aca="false">SUBSTITUTE(I138, "'", "\'")</f>
        <v>fee</v>
      </c>
      <c r="I138" s="103" t="s">
        <v>2168</v>
      </c>
      <c r="J138" s="104"/>
      <c r="K138" s="88" t="n">
        <v>207</v>
      </c>
    </row>
    <row r="139" customFormat="false" ht="12.65" hidden="false" customHeight="false" outlineLevel="0" collapsed="false">
      <c r="A139" s="135" t="str">
        <f aca="false">CLEAN(IF(LENB(B139)&gt;1,B139&amp;IF(LENB(H139)&lt;=1,"","'"&amp;H139&amp;"';"),""))</f>
        <v/>
      </c>
      <c r="E139" s="121" t="s">
        <v>2063</v>
      </c>
      <c r="G139" s="122" t="n">
        <f aca="false">IF(MOD(LEN(H139) - LEN(SUBSTITUTE(H139, """", "")),2) = 1,1,0)</f>
        <v>0</v>
      </c>
      <c r="H139" s="134" t="str">
        <f aca="false">SUBSTITUTE(I139, "'", "\'")</f>
        <v>"光熱費は年間約" + fee+"円安くなります。"</v>
      </c>
      <c r="I139" s="103" t="s">
        <v>2203</v>
      </c>
      <c r="J139" s="104" t="s">
        <v>2204</v>
      </c>
      <c r="K139" s="88" t="n">
        <v>208</v>
      </c>
    </row>
    <row r="140" customFormat="false" ht="12.65" hidden="false" customHeight="false" outlineLevel="0" collapsed="false">
      <c r="A140" s="131" t="str">
        <f aca="false">CLEAN(B140&amp;IF(D140="","","'"&amp;H140&amp;"'"&amp;D140))</f>
        <v/>
      </c>
      <c r="E140" s="121" t="s">
        <v>227</v>
      </c>
      <c r="G140" s="122" t="n">
        <f aca="false">IF(MOD(LEN(H140) - LEN(SUBSTITUTE(H140, """", "")),2) = 1,1,0)</f>
        <v>0</v>
      </c>
      <c r="H140" s="134" t="str">
        <f aca="false">SUBSTITUTE(I140, "'", "\'")</f>
        <v/>
      </c>
      <c r="I140" s="103"/>
      <c r="J140" s="104" t="s">
        <v>2205</v>
      </c>
      <c r="K140" s="88" t="n">
        <v>209</v>
      </c>
    </row>
    <row r="141" customFormat="false" ht="12.65" hidden="false" customHeight="false" outlineLevel="0" collapsed="false">
      <c r="A141" s="131" t="str">
        <f aca="false">CLEAN(B141&amp;IF(D141="","","'"&amp;H141&amp;"'"&amp;D141))</f>
        <v/>
      </c>
      <c r="G141" s="122" t="n">
        <f aca="false">IF(MOD(LEN(H141) - LEN(SUBSTITUTE(H141, """", "")),2) = 1,1,0)</f>
        <v>0</v>
      </c>
      <c r="H141" s="134" t="str">
        <f aca="false">SUBSTITUTE(I141, "'", "\'")</f>
        <v/>
      </c>
      <c r="I141" s="103"/>
      <c r="J141" s="104"/>
    </row>
    <row r="142" customFormat="false" ht="12.65" hidden="false" customHeight="false" outlineLevel="0" collapsed="false">
      <c r="A142" s="131" t="str">
        <f aca="false">CLEAN(B142&amp;IF(D142="","","'"&amp;H142&amp;"'"&amp;D142))</f>
        <v>//monthly-----------</v>
      </c>
      <c r="B142" s="120" t="s">
        <v>2206</v>
      </c>
      <c r="E142" s="121" t="s">
        <v>227</v>
      </c>
      <c r="G142" s="122" t="n">
        <f aca="false">IF(MOD(LEN(H142) - LEN(SUBSTITUTE(H142, """", "")),2) = 1,1,0)</f>
        <v>0</v>
      </c>
      <c r="H142" s="134" t="str">
        <f aca="false">SUBSTITUTE(I142, "'", "\'")</f>
        <v/>
      </c>
      <c r="I142" s="103"/>
      <c r="J142" s="104"/>
      <c r="K142" s="88" t="n">
        <v>258</v>
      </c>
    </row>
    <row r="143" customFormat="false" ht="12.65" hidden="false" customHeight="false" outlineLevel="0" collapsed="false">
      <c r="A143" s="131" t="str">
        <f aca="false">CLEAN(B143&amp;IF(D143="","","'"&amp;H143&amp;"'"&amp;D143))</f>
        <v>$lang["monthlytitle"]='月ごとの光熱費推計';</v>
      </c>
      <c r="B143" s="120" t="s">
        <v>2207</v>
      </c>
      <c r="D143" s="120" t="s">
        <v>2024</v>
      </c>
      <c r="E143" s="121" t="s">
        <v>227</v>
      </c>
      <c r="G143" s="122" t="n">
        <f aca="false">IF(MOD(LEN(H143) - LEN(SUBSTITUTE(H143, """", "")),2) = 1,1,0)</f>
        <v>0</v>
      </c>
      <c r="H143" s="134" t="str">
        <f aca="false">SUBSTITUTE(I143, "'", "\'")</f>
        <v>月ごとの光熱費推計</v>
      </c>
      <c r="I143" s="103" t="s">
        <v>2208</v>
      </c>
      <c r="J143" s="104" t="s">
        <v>2208</v>
      </c>
      <c r="K143" s="88" t="n">
        <v>259</v>
      </c>
    </row>
    <row r="144" customFormat="false" ht="12.65" hidden="false" customHeight="false" outlineLevel="0" collapsed="false">
      <c r="A144" s="131" t="str">
        <f aca="false">CLEAN(B144&amp;IF(D144="","","'"&amp;H144&amp;"'"&amp;D144))</f>
        <v>$lang["month"]='月';</v>
      </c>
      <c r="B144" s="120" t="s">
        <v>2209</v>
      </c>
      <c r="D144" s="120" t="s">
        <v>2024</v>
      </c>
      <c r="E144" s="121" t="s">
        <v>227</v>
      </c>
      <c r="G144" s="122" t="n">
        <f aca="false">IF(MOD(LEN(H144) - LEN(SUBSTITUTE(H144, """", "")),2) = 1,1,0)</f>
        <v>0</v>
      </c>
      <c r="H144" s="134" t="str">
        <f aca="false">SUBSTITUTE(I144, "'", "\'")</f>
        <v>月</v>
      </c>
      <c r="I144" s="103" t="s">
        <v>2070</v>
      </c>
      <c r="J144" s="104" t="s">
        <v>2070</v>
      </c>
      <c r="K144" s="88" t="n">
        <v>260</v>
      </c>
    </row>
    <row r="145" customFormat="false" ht="12.65" hidden="false" customHeight="false" outlineLevel="0" collapsed="false">
      <c r="A145" s="131" t="str">
        <f aca="false">CLEAN(B145&amp;IF(D145="","","'"&amp;H145&amp;"'"&amp;D145))</f>
        <v>$lang["energy"]='エネルギー';</v>
      </c>
      <c r="B145" s="120" t="s">
        <v>2210</v>
      </c>
      <c r="D145" s="120" t="s">
        <v>2024</v>
      </c>
      <c r="E145" s="121" t="s">
        <v>227</v>
      </c>
      <c r="G145" s="122" t="n">
        <f aca="false">IF(MOD(LEN(H145) - LEN(SUBSTITUTE(H145, """", "")),2) = 1,1,0)</f>
        <v>0</v>
      </c>
      <c r="H145" s="134" t="str">
        <f aca="false">SUBSTITUTE(I145, "'", "\'")</f>
        <v>エネルギー</v>
      </c>
      <c r="I145" s="103" t="s">
        <v>2211</v>
      </c>
      <c r="J145" s="104" t="s">
        <v>2211</v>
      </c>
      <c r="K145" s="88" t="n">
        <v>261</v>
      </c>
    </row>
    <row r="146" customFormat="false" ht="12.65" hidden="false" customHeight="false" outlineLevel="0" collapsed="false">
      <c r="A146" s="131" t="str">
        <f aca="false">CLEAN(B146&amp;IF(D146="","","'"&amp;H146&amp;"'"&amp;D146))</f>
        <v/>
      </c>
      <c r="B146" s="120" t="s">
        <v>2058</v>
      </c>
      <c r="E146" s="121" t="s">
        <v>227</v>
      </c>
      <c r="G146" s="122" t="n">
        <f aca="false">IF(MOD(LEN(H146) - LEN(SUBSTITUTE(H146, """", "")),2) = 1,1,0)</f>
        <v>0</v>
      </c>
      <c r="H146" s="134" t="str">
        <f aca="false">SUBSTITUTE(I146, "'", "\'")</f>
        <v/>
      </c>
      <c r="I146" s="103"/>
      <c r="J146" s="104"/>
      <c r="K146" s="88" t="n">
        <v>262</v>
      </c>
    </row>
    <row r="147" customFormat="false" ht="12.65" hidden="false" customHeight="false" outlineLevel="0" collapsed="false">
      <c r="A147" s="131" t="str">
        <f aca="false">CLEAN(B147&amp;IF(D147="","","'"&amp;H147&amp;"'"&amp;D147))</f>
        <v/>
      </c>
      <c r="G147" s="122" t="n">
        <f aca="false">IF(MOD(LEN(H147) - LEN(SUBSTITUTE(H147, """", "")),2) = 1,1,0)</f>
        <v>0</v>
      </c>
      <c r="H147" s="134" t="str">
        <f aca="false">SUBSTITUTE(I147, "'", "\'")</f>
        <v/>
      </c>
      <c r="I147" s="103"/>
      <c r="J147" s="104"/>
    </row>
    <row r="148" customFormat="false" ht="12.65" hidden="false" customHeight="false" outlineLevel="0" collapsed="false">
      <c r="A148" s="131" t="str">
        <f aca="false">CLEAN(IF(LENB(B148)&gt;1,B148&amp;IF(LENB(H148)&lt;=1,"","'"&amp;H148&amp;"';"),""))</f>
        <v>//----------buttons -----------------------------------------------</v>
      </c>
      <c r="B148" s="120" t="s">
        <v>2212</v>
      </c>
      <c r="E148" s="121" t="s">
        <v>227</v>
      </c>
      <c r="G148" s="122" t="n">
        <f aca="false">IF(MOD(LEN(H148) - LEN(SUBSTITUTE(H148, """", "")),2) = 1,1,0)</f>
        <v>0</v>
      </c>
      <c r="H148" s="134" t="str">
        <f aca="false">SUBSTITUTE(I148, "'", "\'")</f>
        <v/>
      </c>
      <c r="I148" s="103"/>
      <c r="J148" s="104"/>
      <c r="K148" s="88" t="n">
        <v>43</v>
      </c>
    </row>
    <row r="149" customFormat="false" ht="12.65" hidden="false" customHeight="false" outlineLevel="0" collapsed="false">
      <c r="A149" s="131" t="str">
        <f aca="false">CLEAN(IF(LENB(B149)&gt;1,B149&amp;IF(LENB(H149)&lt;=1,"","'"&amp;H149&amp;"';"),""))</f>
        <v>$lang['button_clear']='クリア';</v>
      </c>
      <c r="B149" s="120" t="s">
        <v>2213</v>
      </c>
      <c r="D149" s="120" t="s">
        <v>2024</v>
      </c>
      <c r="E149" s="121" t="s">
        <v>227</v>
      </c>
      <c r="G149" s="122" t="n">
        <f aca="false">IF(MOD(LEN(H149) - LEN(SUBSTITUTE(H149, """", "")),2) = 1,1,0)</f>
        <v>0</v>
      </c>
      <c r="H149" s="134" t="str">
        <f aca="false">SUBSTITUTE(I149, "'", "\'")</f>
        <v>クリア</v>
      </c>
      <c r="I149" s="103" t="s">
        <v>2214</v>
      </c>
      <c r="J149" s="104" t="s">
        <v>2214</v>
      </c>
      <c r="K149" s="88" t="n">
        <v>47</v>
      </c>
    </row>
    <row r="150" customFormat="false" ht="12.65" hidden="false" customHeight="false" outlineLevel="0" collapsed="false">
      <c r="A150" s="131" t="str">
        <f aca="false">CLEAN(IF(LENB(B150)&gt;1,B150&amp;IF(LENB(H150)&lt;=1,"","'"&amp;H150&amp;"';"),""))</f>
        <v>$lang['button_savenew']='新規保存';</v>
      </c>
      <c r="B150" s="120" t="s">
        <v>2215</v>
      </c>
      <c r="D150" s="120" t="s">
        <v>2024</v>
      </c>
      <c r="E150" s="121" t="s">
        <v>227</v>
      </c>
      <c r="G150" s="122" t="n">
        <f aca="false">IF(MOD(LEN(H150) - LEN(SUBSTITUTE(H150, """", "")),2) = 1,1,0)</f>
        <v>0</v>
      </c>
      <c r="H150" s="134" t="str">
        <f aca="false">SUBSTITUTE(I150, "'", "\'")</f>
        <v>新規保存</v>
      </c>
      <c r="I150" s="103" t="s">
        <v>2216</v>
      </c>
      <c r="J150" s="104" t="s">
        <v>2216</v>
      </c>
      <c r="K150" s="88" t="n">
        <v>48</v>
      </c>
    </row>
    <row r="151" customFormat="false" ht="12.65" hidden="false" customHeight="false" outlineLevel="0" collapsed="false">
      <c r="A151" s="131" t="str">
        <f aca="false">CLEAN(IF(LENB(B151)&gt;1,B151&amp;IF(LENB(H151)&lt;=1,"","'"&amp;H151&amp;"';"),""))</f>
        <v>$lang['button_save']='保存';</v>
      </c>
      <c r="B151" s="120" t="s">
        <v>2217</v>
      </c>
      <c r="D151" s="120" t="s">
        <v>2024</v>
      </c>
      <c r="E151" s="121" t="s">
        <v>227</v>
      </c>
      <c r="G151" s="122" t="n">
        <f aca="false">IF(MOD(LEN(H151) - LEN(SUBSTITUTE(H151, """", "")),2) = 1,1,0)</f>
        <v>0</v>
      </c>
      <c r="H151" s="134" t="str">
        <f aca="false">SUBSTITUTE(I151, "'", "\'")</f>
        <v>保存</v>
      </c>
      <c r="I151" s="103" t="s">
        <v>2218</v>
      </c>
      <c r="J151" s="104" t="s">
        <v>2218</v>
      </c>
      <c r="K151" s="88" t="n">
        <v>49</v>
      </c>
    </row>
    <row r="152" customFormat="false" ht="12.65" hidden="false" customHeight="false" outlineLevel="0" collapsed="false">
      <c r="A152" s="131" t="str">
        <f aca="false">CLEAN(IF(LENB(B152)&gt;1,B152&amp;IF(LENB(H152)&lt;=1,"","'"&amp;H152&amp;"';"),""))</f>
        <v>$lang['button_open']='開く';</v>
      </c>
      <c r="B152" s="120" t="s">
        <v>2219</v>
      </c>
      <c r="D152" s="120" t="s">
        <v>2024</v>
      </c>
      <c r="E152" s="121" t="s">
        <v>227</v>
      </c>
      <c r="G152" s="122" t="n">
        <f aca="false">IF(MOD(LEN(H152) - LEN(SUBSTITUTE(H152, """", "")),2) = 1,1,0)</f>
        <v>0</v>
      </c>
      <c r="H152" s="134" t="str">
        <f aca="false">SUBSTITUTE(I152, "'", "\'")</f>
        <v>開く</v>
      </c>
      <c r="I152" s="103" t="s">
        <v>2220</v>
      </c>
      <c r="J152" s="104" t="s">
        <v>2220</v>
      </c>
      <c r="K152" s="88" t="n">
        <v>51</v>
      </c>
    </row>
    <row r="153" customFormat="false" ht="12.65" hidden="false" customHeight="false" outlineLevel="0" collapsed="false">
      <c r="A153" s="131" t="str">
        <f aca="false">CLEAN(IF(LENB(B153)&gt;1,B153&amp;IF(LENB(H153)&lt;=1,"","'"&amp;H153&amp;"';"),""))</f>
        <v>$lang['button_close']='閉じる';</v>
      </c>
      <c r="B153" s="120" t="s">
        <v>2221</v>
      </c>
      <c r="D153" s="120" t="s">
        <v>2024</v>
      </c>
      <c r="E153" s="121" t="s">
        <v>227</v>
      </c>
      <c r="G153" s="122" t="n">
        <f aca="false">IF(MOD(LEN(H153) - LEN(SUBSTITUTE(H153, """", "")),2) = 1,1,0)</f>
        <v>0</v>
      </c>
      <c r="H153" s="134" t="str">
        <f aca="false">SUBSTITUTE(I153, "'", "\'")</f>
        <v>閉じる</v>
      </c>
      <c r="I153" s="103" t="s">
        <v>2222</v>
      </c>
      <c r="J153" s="104" t="s">
        <v>2222</v>
      </c>
      <c r="K153" s="88" t="n">
        <v>52</v>
      </c>
    </row>
    <row r="154" customFormat="false" ht="12.65" hidden="false" customHeight="false" outlineLevel="0" collapsed="false">
      <c r="A154" s="131" t="str">
        <f aca="false">CLEAN(IF(LENB(B154)&gt;1,B154&amp;IF(LENB(H154)&lt;=1,"","'"&amp;H154&amp;"';"),""))</f>
        <v>$lang['button_showall']='全て表示';</v>
      </c>
      <c r="B154" s="120" t="s">
        <v>2223</v>
      </c>
      <c r="D154" s="120" t="s">
        <v>2024</v>
      </c>
      <c r="E154" s="121" t="s">
        <v>227</v>
      </c>
      <c r="G154" s="122" t="n">
        <f aca="false">IF(MOD(LEN(H154) - LEN(SUBSTITUTE(H154, """", "")),2) = 1,1,0)</f>
        <v>0</v>
      </c>
      <c r="H154" s="134" t="str">
        <f aca="false">SUBSTITUTE(I154, "'", "\'")</f>
        <v>全て表示</v>
      </c>
      <c r="I154" s="103" t="s">
        <v>2224</v>
      </c>
      <c r="J154" s="104" t="s">
        <v>2224</v>
      </c>
      <c r="K154" s="88" t="n">
        <v>54</v>
      </c>
    </row>
    <row r="155" customFormat="false" ht="12.65" hidden="false" customHeight="false" outlineLevel="0" collapsed="false">
      <c r="A155" s="131" t="str">
        <f aca="false">CLEAN(B155&amp;IF(D155="","","'"&amp;H155&amp;"'"&amp;D155))</f>
        <v>$lang["add"]='追加';</v>
      </c>
      <c r="B155" s="120" t="s">
        <v>2225</v>
      </c>
      <c r="D155" s="120" t="s">
        <v>2024</v>
      </c>
      <c r="E155" s="121" t="s">
        <v>227</v>
      </c>
      <c r="G155" s="122" t="n">
        <f aca="false">IF(MOD(LEN(H155) - LEN(SUBSTITUTE(H155, """", "")),2) = 1,1,0)</f>
        <v>0</v>
      </c>
      <c r="H155" s="134" t="str">
        <f aca="false">SUBSTITUTE(I155, "'", "\'")</f>
        <v>追加</v>
      </c>
      <c r="I155" s="103" t="s">
        <v>2226</v>
      </c>
      <c r="J155" s="104" t="s">
        <v>2226</v>
      </c>
      <c r="K155" s="88" t="n">
        <v>126</v>
      </c>
    </row>
    <row r="156" customFormat="false" ht="12.65" hidden="false" customHeight="false" outlineLevel="0" collapsed="false">
      <c r="A156" s="131" t="str">
        <f aca="false">CLEAN(B156&amp;IF(D156="","","'"&amp;H156&amp;"'"&amp;D156))</f>
        <v/>
      </c>
      <c r="G156" s="122" t="n">
        <f aca="false">IF(MOD(LEN(H156) - LEN(SUBSTITUTE(H156, """", "")),2) = 1,1,0)</f>
        <v>0</v>
      </c>
      <c r="H156" s="134" t="str">
        <f aca="false">SUBSTITUTE(I156, "'", "\'")</f>
        <v/>
      </c>
      <c r="I156" s="103"/>
      <c r="J156" s="104"/>
    </row>
    <row r="157" customFormat="false" ht="12.65" hidden="false" customHeight="false" outlineLevel="0" collapsed="false">
      <c r="A157" s="131" t="str">
        <f aca="false">CLEAN(IF(LENB(B157)&gt;1,B157&amp;IF(LENB(H157)&lt;=1,"","'"&amp;H157&amp;"';"),""))</f>
        <v>$lang['button_menu']='メニュー';</v>
      </c>
      <c r="B157" s="120" t="s">
        <v>2227</v>
      </c>
      <c r="D157" s="120" t="s">
        <v>2024</v>
      </c>
      <c r="E157" s="121" t="s">
        <v>227</v>
      </c>
      <c r="G157" s="122" t="n">
        <f aca="false">IF(MOD(LEN(H157) - LEN(SUBSTITUTE(H157, """", "")),2) = 1,1,0)</f>
        <v>0</v>
      </c>
      <c r="H157" s="134" t="str">
        <f aca="false">SUBSTITUTE(I157, "'", "\'")</f>
        <v>メニュー</v>
      </c>
      <c r="I157" s="103" t="s">
        <v>2228</v>
      </c>
      <c r="J157" s="104" t="s">
        <v>2228</v>
      </c>
      <c r="K157" s="88" t="n">
        <v>78</v>
      </c>
    </row>
    <row r="158" customFormat="false" ht="12.65" hidden="false" customHeight="false" outlineLevel="0" collapsed="false">
      <c r="A158" s="131" t="str">
        <f aca="false">CLEAN(IF(LENB(B158)&gt;1,B158&amp;IF(LENB(H158)&lt;=1,"","'"&amp;H158&amp;"';"),""))</f>
        <v>$lang['button_back_toppage']='最初のページに戻る';</v>
      </c>
      <c r="B158" s="120" t="s">
        <v>2229</v>
      </c>
      <c r="D158" s="120" t="s">
        <v>2024</v>
      </c>
      <c r="E158" s="121" t="s">
        <v>227</v>
      </c>
      <c r="G158" s="122" t="n">
        <f aca="false">IF(MOD(LEN(H158) - LEN(SUBSTITUTE(H158, """", "")),2) = 1,1,0)</f>
        <v>0</v>
      </c>
      <c r="H158" s="134" t="str">
        <f aca="false">SUBSTITUTE(I158, "'", "\'")</f>
        <v>最初のページに戻る</v>
      </c>
      <c r="I158" s="103" t="s">
        <v>2230</v>
      </c>
      <c r="J158" s="104" t="s">
        <v>2230</v>
      </c>
      <c r="K158" s="88" t="n">
        <v>44</v>
      </c>
    </row>
    <row r="159" customFormat="false" ht="12.65" hidden="false" customHeight="false" outlineLevel="0" collapsed="false">
      <c r="A159" s="131" t="str">
        <f aca="false">CLEAN(IF(LENB(B159)&gt;1,B159&amp;IF(LENB(H159)&lt;=1,"","'"&amp;H159&amp;"';"),""))</f>
        <v>$lang['button_back']='戻る';</v>
      </c>
      <c r="B159" s="120" t="s">
        <v>2231</v>
      </c>
      <c r="D159" s="120" t="s">
        <v>2024</v>
      </c>
      <c r="E159" s="121" t="s">
        <v>227</v>
      </c>
      <c r="G159" s="122" t="n">
        <f aca="false">IF(MOD(LEN(H159) - LEN(SUBSTITUTE(H159, """", "")),2) = 1,1,0)</f>
        <v>0</v>
      </c>
      <c r="H159" s="134" t="str">
        <f aca="false">SUBSTITUTE(I159, "'", "\'")</f>
        <v>戻る</v>
      </c>
      <c r="I159" s="103" t="s">
        <v>2232</v>
      </c>
      <c r="J159" s="104" t="s">
        <v>2232</v>
      </c>
      <c r="K159" s="88" t="n">
        <v>45</v>
      </c>
    </row>
    <row r="160" customFormat="false" ht="12.65" hidden="false" customHeight="false" outlineLevel="0" collapsed="false">
      <c r="A160" s="131" t="str">
        <f aca="false">CLEAN(IF(LENB(B160)&gt;1,B160&amp;IF(LENB(H160)&lt;=1,"","'"&amp;H160&amp;"';"),""))</f>
        <v>$lang['button_prev']='前へ';</v>
      </c>
      <c r="B160" s="120" t="s">
        <v>2233</v>
      </c>
      <c r="D160" s="120" t="s">
        <v>2024</v>
      </c>
      <c r="E160" s="121" t="s">
        <v>227</v>
      </c>
      <c r="G160" s="122" t="n">
        <f aca="false">IF(MOD(LEN(H160) - LEN(SUBSTITUTE(H160, """", "")),2) = 1,1,0)</f>
        <v>0</v>
      </c>
      <c r="H160" s="134" t="str">
        <f aca="false">SUBSTITUTE(I160, "'", "\'")</f>
        <v>前へ</v>
      </c>
      <c r="I160" s="103" t="s">
        <v>2234</v>
      </c>
      <c r="J160" s="104" t="s">
        <v>2234</v>
      </c>
      <c r="K160" s="88" t="n">
        <v>90</v>
      </c>
    </row>
    <row r="161" customFormat="false" ht="12.65" hidden="false" customHeight="false" outlineLevel="0" collapsed="false">
      <c r="A161" s="131" t="str">
        <f aca="false">CLEAN(IF(LENB(B161)&gt;1,B161&amp;IF(LENB(H161)&lt;=1,"","'"&amp;H161&amp;"';"),""))</f>
        <v>$lang['button_next']='次へ';</v>
      </c>
      <c r="B161" s="120" t="s">
        <v>2235</v>
      </c>
      <c r="D161" s="120" t="s">
        <v>2024</v>
      </c>
      <c r="E161" s="121" t="s">
        <v>227</v>
      </c>
      <c r="G161" s="122" t="n">
        <f aca="false">IF(MOD(LEN(H161) - LEN(SUBSTITUTE(H161, """", "")),2) = 1,1,0)</f>
        <v>0</v>
      </c>
      <c r="H161" s="134" t="str">
        <f aca="false">SUBSTITUTE(I161, "'", "\'")</f>
        <v>次へ</v>
      </c>
      <c r="I161" s="103" t="s">
        <v>2236</v>
      </c>
      <c r="J161" s="104" t="s">
        <v>2236</v>
      </c>
      <c r="K161" s="88" t="n">
        <v>91</v>
      </c>
    </row>
    <row r="162" customFormat="false" ht="12.65" hidden="false" customHeight="false" outlineLevel="0" collapsed="false">
      <c r="A162" s="131" t="str">
        <f aca="false">CLEAN(B162&amp;IF(D162="","","'"&amp;H162&amp;"'"&amp;D162))</f>
        <v/>
      </c>
      <c r="G162" s="122" t="n">
        <f aca="false">IF(MOD(LEN(H162) - LEN(SUBSTITUTE(H162, """", "")),2) = 1,1,0)</f>
        <v>0</v>
      </c>
      <c r="H162" s="134" t="str">
        <f aca="false">SUBSTITUTE(I162, "'", "\'")</f>
        <v/>
      </c>
      <c r="I162" s="103"/>
      <c r="J162" s="104"/>
    </row>
    <row r="163" customFormat="false" ht="12.65" hidden="false" customHeight="false" outlineLevel="0" collapsed="false">
      <c r="A163" s="131" t="str">
        <f aca="false">CLEAN(IF(LENB(B163)&gt;1,B163&amp;IF(LENB(H163)&lt;=1,"","'"&amp;H163&amp;"';"),""))</f>
        <v>$lang['button_top']='トップ';</v>
      </c>
      <c r="B163" s="120" t="s">
        <v>2237</v>
      </c>
      <c r="D163" s="120" t="s">
        <v>2024</v>
      </c>
      <c r="E163" s="121" t="s">
        <v>227</v>
      </c>
      <c r="G163" s="122" t="n">
        <f aca="false">IF(MOD(LEN(H163) - LEN(SUBSTITUTE(H163, """", "")),2) = 1,1,0)</f>
        <v>0</v>
      </c>
      <c r="H163" s="134" t="str">
        <f aca="false">SUBSTITUTE(I163, "'", "\'")</f>
        <v>トップ</v>
      </c>
      <c r="I163" s="103" t="s">
        <v>2238</v>
      </c>
      <c r="J163" s="104" t="s">
        <v>2238</v>
      </c>
      <c r="K163" s="88" t="n">
        <v>57</v>
      </c>
    </row>
    <row r="164" customFormat="false" ht="12.65" hidden="false" customHeight="false" outlineLevel="0" collapsed="false">
      <c r="A164" s="131" t="str">
        <f aca="false">CLEAN(IF(LENB(B164)&gt;1,B164&amp;IF(LENB(H164)&lt;=1,"","'"&amp;H164&amp;"';"),""))</f>
        <v>$lang['button_input']='現状記入';</v>
      </c>
      <c r="B164" s="120" t="s">
        <v>2239</v>
      </c>
      <c r="D164" s="120" t="s">
        <v>2024</v>
      </c>
      <c r="E164" s="121" t="s">
        <v>227</v>
      </c>
      <c r="G164" s="122" t="n">
        <f aca="false">IF(MOD(LEN(H164) - LEN(SUBSTITUTE(H164, """", "")),2) = 1,1,0)</f>
        <v>0</v>
      </c>
      <c r="H164" s="134" t="str">
        <f aca="false">SUBSTITUTE(I164, "'", "\'")</f>
        <v>現状記入</v>
      </c>
      <c r="I164" s="103" t="s">
        <v>2240</v>
      </c>
      <c r="J164" s="104" t="s">
        <v>2240</v>
      </c>
      <c r="K164" s="88" t="n">
        <v>58</v>
      </c>
    </row>
    <row r="165" customFormat="false" ht="12.65" hidden="false" customHeight="false" outlineLevel="0" collapsed="false">
      <c r="A165" s="131" t="str">
        <f aca="false">CLEAN(IF(LENB(B165)&gt;1,B165&amp;IF(LENB(H165)&lt;=1,"","'"&amp;H165&amp;"';"),""))</f>
        <v>$lang['button_queslist']='質問一覧';</v>
      </c>
      <c r="B165" s="120" t="s">
        <v>2241</v>
      </c>
      <c r="D165" s="120" t="s">
        <v>2024</v>
      </c>
      <c r="E165" s="121" t="s">
        <v>227</v>
      </c>
      <c r="G165" s="122" t="n">
        <f aca="false">IF(MOD(LEN(H165) - LEN(SUBSTITUTE(H165, """", "")),2) = 1,1,0)</f>
        <v>0</v>
      </c>
      <c r="H165" s="134" t="str">
        <f aca="false">SUBSTITUTE(I165, "'", "\'")</f>
        <v>質問一覧</v>
      </c>
      <c r="I165" s="103" t="s">
        <v>2242</v>
      </c>
      <c r="J165" s="104" t="s">
        <v>2242</v>
      </c>
      <c r="K165" s="88" t="n">
        <v>92</v>
      </c>
    </row>
    <row r="166" customFormat="false" ht="12.65" hidden="false" customHeight="false" outlineLevel="0" collapsed="false">
      <c r="A166" s="131" t="str">
        <f aca="false">CLEAN(IF(LENB(B166)&gt;1,B166&amp;IF(LENB(H166)&lt;=1,"","'"&amp;H166&amp;"';"),""))</f>
        <v>$lang['button_diagnosis']='診断画面';</v>
      </c>
      <c r="B166" s="120" t="s">
        <v>2243</v>
      </c>
      <c r="D166" s="120" t="s">
        <v>2024</v>
      </c>
      <c r="E166" s="121" t="s">
        <v>227</v>
      </c>
      <c r="G166" s="122" t="n">
        <f aca="false">IF(MOD(LEN(H166) - LEN(SUBSTITUTE(H166, """", "")),2) = 1,1,0)</f>
        <v>0</v>
      </c>
      <c r="H166" s="134" t="str">
        <f aca="false">SUBSTITUTE(I166, "'", "\'")</f>
        <v>診断画面</v>
      </c>
      <c r="I166" s="103" t="s">
        <v>2244</v>
      </c>
      <c r="J166" s="104" t="s">
        <v>2244</v>
      </c>
      <c r="K166" s="88" t="n">
        <v>46</v>
      </c>
    </row>
    <row r="167" customFormat="false" ht="12.65" hidden="false" customHeight="false" outlineLevel="0" collapsed="false">
      <c r="A167" s="131" t="str">
        <f aca="false">CLEAN(IF(LENB(B167)&gt;1,B167&amp;IF(LENB(H167)&lt;=1,"","'"&amp;H167&amp;"';"),""))</f>
        <v>$lang['button_measures']='対策検討';</v>
      </c>
      <c r="B167" s="120" t="s">
        <v>2245</v>
      </c>
      <c r="D167" s="120" t="s">
        <v>2024</v>
      </c>
      <c r="E167" s="121" t="s">
        <v>227</v>
      </c>
      <c r="G167" s="122" t="n">
        <f aca="false">IF(MOD(LEN(H167) - LEN(SUBSTITUTE(H167, """", "")),2) = 1,1,0)</f>
        <v>0</v>
      </c>
      <c r="H167" s="134" t="str">
        <f aca="false">SUBSTITUTE(I167, "'", "\'")</f>
        <v>対策検討</v>
      </c>
      <c r="I167" s="103" t="s">
        <v>2246</v>
      </c>
      <c r="J167" s="104" t="s">
        <v>2246</v>
      </c>
      <c r="K167" s="88" t="n">
        <v>59</v>
      </c>
    </row>
    <row r="168" customFormat="false" ht="12.65" hidden="false" customHeight="false" outlineLevel="0" collapsed="false">
      <c r="A168" s="131" t="str">
        <f aca="false">CLEAN(IF(LENB(B168)&gt;1,B168&amp;IF(LENB(H168)&lt;=1,"","'"&amp;H168&amp;"';"),""))</f>
        <v>$lang['button_selectcategory']='評価分野設定';</v>
      </c>
      <c r="B168" s="120" t="s">
        <v>2247</v>
      </c>
      <c r="D168" s="120" t="s">
        <v>2024</v>
      </c>
      <c r="E168" s="121" t="s">
        <v>227</v>
      </c>
      <c r="G168" s="122" t="n">
        <f aca="false">IF(MOD(LEN(H168) - LEN(SUBSTITUTE(H168, """", "")),2) = 1,1,0)</f>
        <v>0</v>
      </c>
      <c r="H168" s="134" t="str">
        <f aca="false">SUBSTITUTE(I168, "'", "\'")</f>
        <v>評価分野設定</v>
      </c>
      <c r="I168" s="103" t="s">
        <v>2248</v>
      </c>
      <c r="J168" s="104" t="s">
        <v>2248</v>
      </c>
      <c r="K168" s="88" t="n">
        <v>60</v>
      </c>
    </row>
    <row r="169" customFormat="false" ht="12.65" hidden="false" customHeight="false" outlineLevel="0" collapsed="false">
      <c r="A169" s="131" t="str">
        <f aca="false">CLEAN(IF(LENB(B169)&gt;1,B169&amp;IF(LENB(H169)&lt;=1,"","'"&amp;H169&amp;"';"),""))</f>
        <v>$lang['button_calcresult']='計算結果';</v>
      </c>
      <c r="B169" s="120" t="s">
        <v>2249</v>
      </c>
      <c r="D169" s="120" t="s">
        <v>2024</v>
      </c>
      <c r="E169" s="121" t="s">
        <v>227</v>
      </c>
      <c r="G169" s="122" t="n">
        <f aca="false">IF(MOD(LEN(H169) - LEN(SUBSTITUTE(H169, """", "")),2) = 1,1,0)</f>
        <v>0</v>
      </c>
      <c r="H169" s="134" t="str">
        <f aca="false">SUBSTITUTE(I169, "'", "\'")</f>
        <v>計算結果</v>
      </c>
      <c r="I169" s="103" t="s">
        <v>2250</v>
      </c>
      <c r="J169" s="104" t="s">
        <v>2250</v>
      </c>
      <c r="K169" s="88" t="n">
        <v>93</v>
      </c>
    </row>
    <row r="170" customFormat="false" ht="12.65" hidden="false" customHeight="false" outlineLevel="0" collapsed="false">
      <c r="A170" s="131" t="str">
        <f aca="false">CLEAN(IF(LENB(B170)&gt;1,B170&amp;IF(LENB(H170)&lt;=1,"","'"&amp;H170&amp;"';"),""))</f>
        <v>$lang['button_about']='解説';</v>
      </c>
      <c r="B170" s="120" t="s">
        <v>2251</v>
      </c>
      <c r="D170" s="120" t="s">
        <v>2024</v>
      </c>
      <c r="E170" s="121" t="s">
        <v>227</v>
      </c>
      <c r="G170" s="122" t="n">
        <f aca="false">IF(MOD(LEN(H170) - LEN(SUBSTITUTE(H170, """", "")),2) = 1,1,0)</f>
        <v>0</v>
      </c>
      <c r="H170" s="134" t="str">
        <f aca="false">SUBSTITUTE(I170, "'", "\'")</f>
        <v>解説</v>
      </c>
      <c r="I170" s="103" t="s">
        <v>2252</v>
      </c>
      <c r="J170" s="104" t="s">
        <v>2252</v>
      </c>
      <c r="K170" s="88" t="n">
        <v>50</v>
      </c>
    </row>
    <row r="171" customFormat="false" ht="12.65" hidden="false" customHeight="false" outlineLevel="0" collapsed="false">
      <c r="A171" s="131" t="str">
        <f aca="false">CLEAN(IF(LENB(B171)&gt;1,B171&amp;IF(LENB(H171)&lt;=1,"","'"&amp;H171&amp;"';"),""))</f>
        <v>$lang['button_fullversion']='全機能版';</v>
      </c>
      <c r="B171" s="120" t="s">
        <v>2253</v>
      </c>
      <c r="D171" s="120" t="s">
        <v>2024</v>
      </c>
      <c r="E171" s="121" t="s">
        <v>227</v>
      </c>
      <c r="G171" s="122" t="n">
        <f aca="false">IF(MOD(LEN(H171) - LEN(SUBSTITUTE(H171, """", "")),2) = 1,1,0)</f>
        <v>0</v>
      </c>
      <c r="H171" s="134" t="str">
        <f aca="false">SUBSTITUTE(I171, "'", "\'")</f>
        <v>全機能版</v>
      </c>
      <c r="I171" s="103" t="s">
        <v>2254</v>
      </c>
      <c r="J171" s="104" t="s">
        <v>2254</v>
      </c>
      <c r="K171" s="88" t="n">
        <v>53</v>
      </c>
    </row>
    <row r="172" customFormat="false" ht="12.65" hidden="false" customHeight="false" outlineLevel="0" collapsed="false">
      <c r="A172" s="131" t="str">
        <f aca="false">CLEAN(IF(LENB(B172)&gt;1,B172&amp;IF(LENB(H172)&lt;=1,"","'"&amp;H172&amp;"';"),""))</f>
        <v>$lang['clear_confirm']='一覧モード';</v>
      </c>
      <c r="B172" s="120" t="s">
        <v>2255</v>
      </c>
      <c r="D172" s="120" t="s">
        <v>2024</v>
      </c>
      <c r="E172" s="121" t="s">
        <v>227</v>
      </c>
      <c r="G172" s="122" t="n">
        <f aca="false">IF(MOD(LEN(H172) - LEN(SUBSTITUTE(H172, """", "")),2) = 1,1,0)</f>
        <v>0</v>
      </c>
      <c r="H172" s="134" t="str">
        <f aca="false">SUBSTITUTE(I172, "'", "\'")</f>
        <v>一覧モード</v>
      </c>
      <c r="I172" s="103" t="s">
        <v>2256</v>
      </c>
      <c r="J172" s="104" t="s">
        <v>2256</v>
      </c>
      <c r="K172" s="88" t="n">
        <v>55</v>
      </c>
    </row>
    <row r="173" customFormat="false" ht="12.65" hidden="false" customHeight="false" outlineLevel="0" collapsed="false">
      <c r="A173" s="131" t="str">
        <f aca="false">CLEAN(IF(LENB(B173)&gt;1,B173&amp;IF(LENB(H173)&lt;=1,"","'"&amp;H173&amp;"';"),""))</f>
        <v/>
      </c>
      <c r="B173" s="120" t="s">
        <v>2058</v>
      </c>
      <c r="E173" s="121" t="s">
        <v>227</v>
      </c>
      <c r="G173" s="122" t="n">
        <f aca="false">IF(MOD(LEN(H173) - LEN(SUBSTITUTE(H173, """", "")),2) = 1,1,0)</f>
        <v>0</v>
      </c>
      <c r="H173" s="134" t="str">
        <f aca="false">SUBSTITUTE(I173, "'", "\'")</f>
        <v/>
      </c>
      <c r="I173" s="103"/>
      <c r="J173" s="104"/>
      <c r="K173" s="88" t="n">
        <v>56</v>
      </c>
    </row>
    <row r="174" customFormat="false" ht="12.65" hidden="false" customHeight="false" outlineLevel="0" collapsed="false">
      <c r="A174" s="131" t="str">
        <f aca="false">CLEAN(IF(LENB(B174)&gt;1,B174&amp;IF(LENB(H174)&lt;=1,"","'"&amp;H174&amp;"';"),""))</f>
        <v>$lang['button_co2emission']='CO2排出量';</v>
      </c>
      <c r="B174" s="120" t="s">
        <v>2257</v>
      </c>
      <c r="D174" s="120" t="s">
        <v>2024</v>
      </c>
      <c r="E174" s="121" t="s">
        <v>227</v>
      </c>
      <c r="G174" s="122" t="n">
        <f aca="false">IF(MOD(LEN(H174) - LEN(SUBSTITUTE(H174, """", "")),2) = 1,1,0)</f>
        <v>0</v>
      </c>
      <c r="H174" s="134" t="str">
        <f aca="false">SUBSTITUTE(I174, "'", "\'")</f>
        <v>CO2排出量</v>
      </c>
      <c r="I174" s="103" t="s">
        <v>2258</v>
      </c>
      <c r="J174" s="104" t="s">
        <v>2258</v>
      </c>
      <c r="K174" s="88" t="n">
        <v>63</v>
      </c>
    </row>
    <row r="175" customFormat="false" ht="12.65" hidden="false" customHeight="false" outlineLevel="0" collapsed="false">
      <c r="A175" s="131" t="str">
        <f aca="false">CLEAN(IF(LENB(B175)&gt;1,B175&amp;IF(LENB(H175)&lt;=1,"","'"&amp;H175&amp;"';"),""))</f>
        <v>$lang['button_firstenergy']='一次エネルギー量';</v>
      </c>
      <c r="B175" s="120" t="s">
        <v>2259</v>
      </c>
      <c r="D175" s="120" t="s">
        <v>2024</v>
      </c>
      <c r="E175" s="121" t="s">
        <v>227</v>
      </c>
      <c r="G175" s="122" t="n">
        <f aca="false">IF(MOD(LEN(H175) - LEN(SUBSTITUTE(H175, """", "")),2) = 1,1,0)</f>
        <v>0</v>
      </c>
      <c r="H175" s="134" t="str">
        <f aca="false">SUBSTITUTE(I175, "'", "\'")</f>
        <v>一次エネルギー量</v>
      </c>
      <c r="I175" s="103" t="s">
        <v>2260</v>
      </c>
      <c r="J175" s="104" t="s">
        <v>2260</v>
      </c>
      <c r="K175" s="88" t="n">
        <v>64</v>
      </c>
    </row>
    <row r="176" customFormat="false" ht="12.65" hidden="false" customHeight="false" outlineLevel="0" collapsed="false">
      <c r="A176" s="131" t="str">
        <f aca="false">CLEAN(IF(LENB(B176)&gt;1,B176&amp;IF(LENB(H176)&lt;=1,"","'"&amp;H176&amp;"';"),""))</f>
        <v>$lang['button_energyfee']='光熱費';</v>
      </c>
      <c r="B176" s="120" t="s">
        <v>2261</v>
      </c>
      <c r="D176" s="120" t="s">
        <v>2024</v>
      </c>
      <c r="E176" s="121" t="s">
        <v>227</v>
      </c>
      <c r="G176" s="122" t="n">
        <f aca="false">IF(MOD(LEN(H176) - LEN(SUBSTITUTE(H176, """", "")),2) = 1,1,0)</f>
        <v>0</v>
      </c>
      <c r="H176" s="134" t="str">
        <f aca="false">SUBSTITUTE(I176, "'", "\'")</f>
        <v>光熱費</v>
      </c>
      <c r="I176" s="103" t="s">
        <v>2262</v>
      </c>
      <c r="J176" s="104" t="s">
        <v>2262</v>
      </c>
      <c r="K176" s="88" t="n">
        <v>65</v>
      </c>
    </row>
    <row r="177" customFormat="false" ht="12.65" hidden="false" customHeight="false" outlineLevel="0" collapsed="false">
      <c r="A177" s="131" t="str">
        <f aca="false">CLEAN(B177&amp;IF(D177="","","'"&amp;H177&amp;"'"&amp;D177))</f>
        <v/>
      </c>
      <c r="G177" s="122" t="n">
        <f aca="false">IF(MOD(LEN(H177) - LEN(SUBSTITUTE(H177, """", "")),2) = 1,1,0)</f>
        <v>0</v>
      </c>
      <c r="H177" s="134" t="str">
        <f aca="false">SUBSTITUTE(I177, "'", "\'")</f>
        <v/>
      </c>
      <c r="I177" s="103"/>
      <c r="J177" s="104"/>
    </row>
    <row r="178" customFormat="false" ht="12.65" hidden="false" customHeight="false" outlineLevel="0" collapsed="false">
      <c r="A178" s="131" t="str">
        <f aca="false">CLEAN(B178&amp;IF(D178="","","'"&amp;H178&amp;"'"&amp;D178))</f>
        <v/>
      </c>
      <c r="G178" s="122" t="n">
        <f aca="false">IF(MOD(LEN(H178) - LEN(SUBSTITUTE(H178, """", "")),2) = 1,1,0)</f>
        <v>0</v>
      </c>
      <c r="H178" s="134" t="str">
        <f aca="false">SUBSTITUTE(I178, "'", "\'")</f>
        <v/>
      </c>
      <c r="I178" s="103"/>
      <c r="J178" s="104"/>
    </row>
    <row r="179" customFormat="false" ht="12.65" hidden="false" customHeight="false" outlineLevel="0" collapsed="false">
      <c r="A179" s="131" t="str">
        <f aca="false">CLEAN(IF(LENB(B179)&gt;1,B179&amp;IF(LENB(H179)&lt;=1,"","'"&amp;H179&amp;"';"),""))</f>
        <v>//---- 1 button mode -----------</v>
      </c>
      <c r="B179" s="120" t="s">
        <v>2263</v>
      </c>
      <c r="G179" s="122" t="n">
        <f aca="false">IF(MOD(LEN(H179) - LEN(SUBSTITUTE(H179, """", "")),2) = 1,1,0)</f>
        <v>0</v>
      </c>
      <c r="H179" s="134" t="str">
        <f aca="false">SUBSTITUTE(I179, "'", "\'")</f>
        <v/>
      </c>
      <c r="I179" s="103"/>
      <c r="J179" s="104"/>
      <c r="K179" s="88" t="n">
        <v>77</v>
      </c>
    </row>
    <row r="180" customFormat="false" ht="40.25" hidden="false" customHeight="false" outlineLevel="0" collapsed="false">
      <c r="A180" s="131" t="str">
        <f aca="false">CLEAN(IF(LENB(B180)&gt;1,B180&amp;IF(LENB(H180)&lt;=1,"","'"&amp;H180&amp;"';"),""))</f>
        <v>$lang['home_button_intro1']='　あなたの家庭でのエネルギー機器や、その使い方に応じて、有効な省エネ対策を提案します。家庭でのエネルギーの使い方について20問程度の質問があります。答えられる質問だけで結構ですので、回答いただくと、あなたの家庭にあった対策を提案することができます。';</v>
      </c>
      <c r="B180" s="120" t="s">
        <v>2264</v>
      </c>
      <c r="D180" s="120" t="s">
        <v>2024</v>
      </c>
      <c r="E180" s="121" t="s">
        <v>227</v>
      </c>
      <c r="G180" s="122" t="n">
        <f aca="false">IF(MOD(LEN(H180) - LEN(SUBSTITUTE(H180, """", "")),2) = 1,1,0)</f>
        <v>0</v>
      </c>
      <c r="H180" s="134" t="str">
        <f aca="false">SUBSTITUTE(I180, "'", "\'")</f>
        <v>　あなたの家庭でのエネルギー機器や、その使い方に応じて、有効な省エネ対策を提案します。家庭でのエネルギーの使い方について20問程度の質問があります。答えられる質問だけで結構ですので、回答いただくと、あなたの家庭にあった対策を提案することができます。</v>
      </c>
      <c r="I180" s="103" t="s">
        <v>2265</v>
      </c>
      <c r="J180" s="104" t="s">
        <v>2265</v>
      </c>
      <c r="K180" s="88" t="n">
        <v>79</v>
      </c>
    </row>
    <row r="181" customFormat="false" ht="20.85" hidden="false" customHeight="false" outlineLevel="0" collapsed="false">
      <c r="A181" s="131" t="str">
        <f aca="false">CLEAN(IF(LENB(B181)&gt;1,B181&amp;IF(LENB(H181)&lt;=1,"","'"&amp;H181&amp;"';"),""))</f>
        <v>$lang['home_button_intro2']='　入力された情報については、この端末を利用するあなただけが閲覧でき、サーバーには蓄積されません。';</v>
      </c>
      <c r="B181" s="120" t="s">
        <v>2266</v>
      </c>
      <c r="D181" s="120" t="s">
        <v>2024</v>
      </c>
      <c r="E181" s="121" t="s">
        <v>227</v>
      </c>
      <c r="G181" s="122" t="n">
        <f aca="false">IF(MOD(LEN(H181) - LEN(SUBSTITUTE(H181, """", "")),2) = 1,1,0)</f>
        <v>0</v>
      </c>
      <c r="H181" s="134" t="str">
        <f aca="false">SUBSTITUTE(I181, "'", "\'")</f>
        <v>　入力された情報については、この端末を利用するあなただけが閲覧でき、サーバーには蓄積されません。</v>
      </c>
      <c r="I181" s="103" t="s">
        <v>2267</v>
      </c>
      <c r="J181" s="104" t="s">
        <v>2267</v>
      </c>
      <c r="K181" s="88" t="n">
        <v>80</v>
      </c>
    </row>
    <row r="182" customFormat="false" ht="12" hidden="false" customHeight="false" outlineLevel="0" collapsed="false">
      <c r="A182" s="131" t="str">
        <f aca="false">CLEAN(IF(LENB(B182)&gt;1,B182&amp;IF(LENB(H182)&lt;=1,"","'"&amp;H182&amp;"';"),""))</f>
        <v>$lang['home_button_startdiagnosis']='診断をはじめる';</v>
      </c>
      <c r="B182" s="120" t="s">
        <v>2268</v>
      </c>
      <c r="D182" s="120" t="s">
        <v>2024</v>
      </c>
      <c r="E182" s="121" t="s">
        <v>227</v>
      </c>
      <c r="G182" s="122" t="n">
        <f aca="false">IF(MOD(LEN(H182) - LEN(SUBSTITUTE(H182, """", "")),2) = 1,1,0)</f>
        <v>0</v>
      </c>
      <c r="H182" s="134" t="str">
        <f aca="false">SUBSTITUTE(I182, "'", "\'")</f>
        <v>診断をはじめる</v>
      </c>
      <c r="I182" s="103" t="s">
        <v>2269</v>
      </c>
      <c r="J182" s="104" t="s">
        <v>2269</v>
      </c>
      <c r="K182" s="88" t="n">
        <v>81</v>
      </c>
    </row>
    <row r="183" customFormat="false" ht="12" hidden="false" customHeight="false" outlineLevel="0" collapsed="false">
      <c r="A183" s="131" t="str">
        <f aca="false">CLEAN(IF(LENB(B183)&gt;1,B183&amp;IF(LENB(H183)&lt;=1,"","'"&amp;H183&amp;"';"),""))</f>
        <v>$lang['home_button_about']='この診断について';</v>
      </c>
      <c r="B183" s="120" t="s">
        <v>2270</v>
      </c>
      <c r="D183" s="120" t="s">
        <v>2024</v>
      </c>
      <c r="E183" s="121" t="s">
        <v>227</v>
      </c>
      <c r="G183" s="122" t="n">
        <f aca="false">IF(MOD(LEN(H183) - LEN(SUBSTITUTE(H183, """", "")),2) = 1,1,0)</f>
        <v>0</v>
      </c>
      <c r="H183" s="134" t="str">
        <f aca="false">SUBSTITUTE(I183, "'", "\'")</f>
        <v>この診断について</v>
      </c>
      <c r="I183" s="103" t="s">
        <v>2271</v>
      </c>
      <c r="J183" s="104" t="s">
        <v>2271</v>
      </c>
      <c r="K183" s="88" t="n">
        <v>82</v>
      </c>
    </row>
    <row r="184" customFormat="false" ht="12" hidden="false" customHeight="false" outlineLevel="0" collapsed="false">
      <c r="A184" s="131" t="str">
        <f aca="false">CLEAN(IF(LENB(B184)&gt;1,B184&amp;IF(LENB(H184)&lt;=1,"","'"&amp;H184&amp;"';"),""))</f>
        <v>$lang['home_button_result']='結果をみる';</v>
      </c>
      <c r="B184" s="120" t="s">
        <v>2272</v>
      </c>
      <c r="D184" s="120" t="s">
        <v>2024</v>
      </c>
      <c r="E184" s="121" t="s">
        <v>227</v>
      </c>
      <c r="G184" s="122" t="n">
        <f aca="false">IF(MOD(LEN(H184) - LEN(SUBSTITUTE(H184, """", "")),2) = 1,1,0)</f>
        <v>0</v>
      </c>
      <c r="H184" s="134" t="str">
        <f aca="false">SUBSTITUTE(I184, "'", "\'")</f>
        <v>結果をみる</v>
      </c>
      <c r="I184" s="103" t="s">
        <v>2273</v>
      </c>
      <c r="J184" s="104" t="s">
        <v>2273</v>
      </c>
      <c r="K184" s="88" t="n">
        <v>83</v>
      </c>
    </row>
    <row r="185" customFormat="false" ht="12" hidden="false" customHeight="false" outlineLevel="0" collapsed="false">
      <c r="A185" s="131" t="str">
        <f aca="false">CLEAN(IF(LENB(B185)&gt;1,B185&amp;IF(LENB(H185)&lt;=1,"","'"&amp;H185&amp;"';"),""))</f>
        <v>$lang['home_button_retry']='回答しなおす';</v>
      </c>
      <c r="B185" s="120" t="s">
        <v>2274</v>
      </c>
      <c r="D185" s="120" t="s">
        <v>2024</v>
      </c>
      <c r="E185" s="121" t="s">
        <v>227</v>
      </c>
      <c r="G185" s="122" t="n">
        <f aca="false">IF(MOD(LEN(H185) - LEN(SUBSTITUTE(H185, """", "")),2) = 1,1,0)</f>
        <v>0</v>
      </c>
      <c r="H185" s="134" t="str">
        <f aca="false">SUBSTITUTE(I185, "'", "\'")</f>
        <v>回答しなおす</v>
      </c>
      <c r="I185" s="103" t="s">
        <v>2275</v>
      </c>
      <c r="J185" s="104" t="s">
        <v>2275</v>
      </c>
      <c r="K185" s="88" t="n">
        <v>84</v>
      </c>
    </row>
    <row r="186" customFormat="false" ht="12" hidden="false" customHeight="false" outlineLevel="0" collapsed="false">
      <c r="A186" s="131" t="str">
        <f aca="false">CLEAN(IF(LENB(B186)&gt;1,B186&amp;IF(LENB(H186)&lt;=1,"","'"&amp;H186&amp;"';"),""))</f>
        <v>$lang['home_button_average']='平均比較';</v>
      </c>
      <c r="B186" s="120" t="s">
        <v>2276</v>
      </c>
      <c r="D186" s="120" t="s">
        <v>2024</v>
      </c>
      <c r="E186" s="121" t="s">
        <v>227</v>
      </c>
      <c r="G186" s="122" t="n">
        <f aca="false">IF(MOD(LEN(H186) - LEN(SUBSTITUTE(H186, """", "")),2) = 1,1,0)</f>
        <v>0</v>
      </c>
      <c r="H186" s="134" t="str">
        <f aca="false">SUBSTITUTE(I186, "'", "\'")</f>
        <v>平均比較</v>
      </c>
      <c r="I186" s="103" t="s">
        <v>2277</v>
      </c>
      <c r="J186" s="104" t="s">
        <v>2277</v>
      </c>
      <c r="K186" s="88" t="n">
        <v>85</v>
      </c>
    </row>
    <row r="187" customFormat="false" ht="12" hidden="false" customHeight="false" outlineLevel="0" collapsed="false">
      <c r="A187" s="131" t="str">
        <f aca="false">CLEAN(IF(LENB(B187)&gt;1,B187&amp;IF(LENB(H187)&lt;=1,"","'"&amp;H187&amp;"';"),""))</f>
        <v>$lang['home_button_monthly']='月変化';</v>
      </c>
      <c r="B187" s="120" t="s">
        <v>2278</v>
      </c>
      <c r="D187" s="120" t="s">
        <v>2024</v>
      </c>
      <c r="E187" s="121" t="s">
        <v>227</v>
      </c>
      <c r="G187" s="122" t="n">
        <f aca="false">IF(MOD(LEN(H187) - LEN(SUBSTITUTE(H187, """", "")),2) = 1,1,0)</f>
        <v>0</v>
      </c>
      <c r="H187" s="134" t="str">
        <f aca="false">SUBSTITUTE(I187, "'", "\'")</f>
        <v>月変化</v>
      </c>
      <c r="I187" s="103" t="s">
        <v>2279</v>
      </c>
      <c r="J187" s="104" t="s">
        <v>2279</v>
      </c>
      <c r="K187" s="88" t="n">
        <v>86</v>
      </c>
    </row>
    <row r="188" customFormat="false" ht="12" hidden="false" customHeight="false" outlineLevel="0" collapsed="false">
      <c r="A188" s="131" t="str">
        <f aca="false">CLEAN(IF(LENB(B188)&gt;1,B188&amp;IF(LENB(H188)&lt;=1,"","'"&amp;H188&amp;"';"),""))</f>
        <v>$lang['home_button_measure']='有効な対策';</v>
      </c>
      <c r="B188" s="120" t="s">
        <v>2280</v>
      </c>
      <c r="D188" s="120" t="s">
        <v>2024</v>
      </c>
      <c r="E188" s="121" t="s">
        <v>227</v>
      </c>
      <c r="G188" s="122" t="n">
        <f aca="false">IF(MOD(LEN(H188) - LEN(SUBSTITUTE(H188, """", "")),2) = 1,1,0)</f>
        <v>0</v>
      </c>
      <c r="H188" s="134" t="str">
        <f aca="false">SUBSTITUTE(I188, "'", "\'")</f>
        <v>有効な対策</v>
      </c>
      <c r="I188" s="103" t="s">
        <v>2281</v>
      </c>
      <c r="J188" s="104" t="s">
        <v>2281</v>
      </c>
      <c r="K188" s="88" t="n">
        <v>87</v>
      </c>
    </row>
    <row r="189" customFormat="false" ht="20.85" hidden="false" customHeight="false" outlineLevel="0" collapsed="false">
      <c r="A189" s="131" t="str">
        <f aca="false">CLEAN(IF(LENB(B189)&gt;1,B189&amp;IF(LENB(H189)&lt;=1,"","'"&amp;H189&amp;"';"),""))</f>
        <v>$lang['home_button_resultmessage']='　平均との比較をグラフにしました。「有効な対策」を実行した場合の効果が中央のグラフに表示されます。';</v>
      </c>
      <c r="B189" s="120" t="s">
        <v>2282</v>
      </c>
      <c r="D189" s="120" t="s">
        <v>2024</v>
      </c>
      <c r="E189" s="121" t="s">
        <v>227</v>
      </c>
      <c r="G189" s="122" t="n">
        <f aca="false">IF(MOD(LEN(H189) - LEN(SUBSTITUTE(H189, """", "")),2) = 1,1,0)</f>
        <v>0</v>
      </c>
      <c r="H189" s="134" t="str">
        <f aca="false">SUBSTITUTE(I189, "'", "\'")</f>
        <v>　平均との比較をグラフにしました。「有効な対策」を実行した場合の効果が中央のグラフに表示されます。</v>
      </c>
      <c r="I189" s="103" t="s">
        <v>2283</v>
      </c>
      <c r="J189" s="104" t="s">
        <v>2283</v>
      </c>
      <c r="K189" s="88" t="n">
        <v>88</v>
      </c>
    </row>
    <row r="190" customFormat="false" ht="20.85" hidden="false" customHeight="false" outlineLevel="0" collapsed="false">
      <c r="A190" s="131" t="str">
        <f aca="false">CLEAN(IF(LENB(B190)&gt;1,B190&amp;IF(LENB(H190)&lt;=1,"","'"&amp;H190&amp;"';"),""))</f>
        <v>$lang['home_button_measuremessage']='　有効な対策の一覧です。「選択」にチェックをすると、効果がグラフで表示されます。';</v>
      </c>
      <c r="B190" s="120" t="s">
        <v>2284</v>
      </c>
      <c r="D190" s="120" t="s">
        <v>2024</v>
      </c>
      <c r="E190" s="121" t="s">
        <v>227</v>
      </c>
      <c r="G190" s="122" t="n">
        <f aca="false">IF(MOD(LEN(H190) - LEN(SUBSTITUTE(H190, """", "")),2) = 1,1,0)</f>
        <v>0</v>
      </c>
      <c r="H190" s="134" t="str">
        <f aca="false">SUBSTITUTE(I190, "'", "\'")</f>
        <v>　有効な対策の一覧です。「選択」にチェックをすると、効果がグラフで表示されます。</v>
      </c>
      <c r="I190" s="103" t="s">
        <v>2285</v>
      </c>
      <c r="J190" s="104" t="s">
        <v>2285</v>
      </c>
      <c r="K190" s="88" t="n">
        <v>89</v>
      </c>
    </row>
    <row r="191" customFormat="false" ht="20.85" hidden="false" customHeight="false" outlineLevel="0" collapsed="false">
      <c r="A191" s="131" t="str">
        <f aca="false">CLEAN(IF(LENB(B191)&gt;1,B191&amp;IF(LENB(H191)&lt;=1,"","'"&amp;H191&amp;"';"),""))</f>
        <v>$lang['home_button_pagemessage']='　分野を指定して詳しく回答しなおすことができます。「追加」で部屋や機器を追加できます。';</v>
      </c>
      <c r="B191" s="120" t="s">
        <v>2286</v>
      </c>
      <c r="D191" s="120" t="s">
        <v>2024</v>
      </c>
      <c r="E191" s="121" t="s">
        <v>227</v>
      </c>
      <c r="G191" s="122" t="n">
        <f aca="false">IF(MOD(LEN(H191) - LEN(SUBSTITUTE(H191, """", "")),2) = 1,1,0)</f>
        <v>0</v>
      </c>
      <c r="H191" s="134" t="str">
        <f aca="false">SUBSTITUTE(I191, "'", "\'")</f>
        <v>　分野を指定して詳しく回答しなおすことができます。「追加」で部屋や機器を追加できます。</v>
      </c>
      <c r="I191" s="103" t="s">
        <v>2287</v>
      </c>
      <c r="J191" s="104" t="s">
        <v>2287</v>
      </c>
      <c r="K191" s="88" t="n">
        <v>94</v>
      </c>
    </row>
    <row r="192" customFormat="false" ht="12.65" hidden="false" customHeight="false" outlineLevel="0" collapsed="false">
      <c r="A192" s="131" t="str">
        <f aca="false">CLEAN(B192&amp;IF(D192="","","'"&amp;H192&amp;"'"&amp;D192))</f>
        <v/>
      </c>
      <c r="G192" s="122" t="n">
        <f aca="false">IF(MOD(LEN(H192) - LEN(SUBSTITUTE(H192, """", "")),2) = 1,1,0)</f>
        <v>0</v>
      </c>
      <c r="H192" s="134" t="str">
        <f aca="false">SUBSTITUTE(I192, "'", "\'")</f>
        <v/>
      </c>
      <c r="I192" s="103"/>
      <c r="J192" s="104"/>
    </row>
    <row r="193" customFormat="false" ht="12.65" hidden="false" customHeight="false" outlineLevel="0" collapsed="false">
      <c r="A193" s="131" t="str">
        <f aca="false">CLEAN(B193&amp;IF(D193="","","'"&amp;H193&amp;"'"&amp;D193))</f>
        <v/>
      </c>
      <c r="G193" s="122" t="n">
        <f aca="false">IF(MOD(LEN(H193) - LEN(SUBSTITUTE(H193, """", "")),2) = 1,1,0)</f>
        <v>0</v>
      </c>
      <c r="H193" s="134" t="str">
        <f aca="false">SUBSTITUTE(I193, "'", "\'")</f>
        <v/>
      </c>
      <c r="I193" s="103"/>
      <c r="J193" s="104"/>
    </row>
    <row r="194" customFormat="false" ht="12.65" hidden="false" customHeight="false" outlineLevel="0" collapsed="false">
      <c r="A194" s="131" t="str">
        <f aca="false">CLEAN(B194&amp;IF(D194="","","'"&amp;H194&amp;"'"&amp;D194))</f>
        <v/>
      </c>
      <c r="G194" s="122" t="n">
        <f aca="false">IF(MOD(LEN(H194) - LEN(SUBSTITUTE(H194, """", "")),2) = 1,1,0)</f>
        <v>0</v>
      </c>
      <c r="H194" s="134" t="str">
        <f aca="false">SUBSTITUTE(I194, "'", "\'")</f>
        <v/>
      </c>
      <c r="I194" s="103"/>
      <c r="J194" s="104"/>
    </row>
    <row r="195" customFormat="false" ht="12.65" hidden="false" customHeight="false" outlineLevel="0" collapsed="false">
      <c r="A195" s="131" t="str">
        <f aca="false">CLEAN(IF(LENB(B195)&gt;1,B195&amp;IF(LENB(H195)&lt;=1,"","'"&amp;H195&amp;"';"),""))</f>
        <v>//---------- 2 focus mode page -----------------------------------------------</v>
      </c>
      <c r="B195" s="120" t="s">
        <v>2288</v>
      </c>
      <c r="E195" s="121" t="s">
        <v>227</v>
      </c>
      <c r="G195" s="122" t="n">
        <f aca="false">IF(MOD(LEN(H195) - LEN(SUBSTITUTE(H195, """", "")),2) = 1,1,0)</f>
        <v>0</v>
      </c>
      <c r="H195" s="134" t="str">
        <f aca="false">SUBSTITUTE(I195, "'", "\'")</f>
        <v/>
      </c>
      <c r="I195" s="103"/>
      <c r="J195" s="104"/>
      <c r="K195" s="88" t="n">
        <v>41</v>
      </c>
    </row>
    <row r="196" customFormat="false" ht="12.65" hidden="false" customHeight="false" outlineLevel="0" collapsed="false">
      <c r="A196" s="131" t="str">
        <f aca="false">CLEAN(IF(LENB(B196)&gt;1,B196&amp;IF(LENB(H196)&lt;=1,"","'"&amp;H196&amp;"';"),""))</f>
        <v>$lang['home_focus_title_after']='　一覧モード';</v>
      </c>
      <c r="B196" s="120" t="s">
        <v>2289</v>
      </c>
      <c r="D196" s="120" t="s">
        <v>2024</v>
      </c>
      <c r="E196" s="121" t="s">
        <v>227</v>
      </c>
      <c r="G196" s="122" t="n">
        <f aca="false">IF(MOD(LEN(H196) - LEN(SUBSTITUTE(H196, """", "")),2) = 1,1,0)</f>
        <v>0</v>
      </c>
      <c r="H196" s="134" t="str">
        <f aca="false">SUBSTITUTE(I196, "'", "\'")</f>
        <v>　一覧モード</v>
      </c>
      <c r="I196" s="103" t="s">
        <v>2290</v>
      </c>
      <c r="J196" s="104" t="s">
        <v>2290</v>
      </c>
      <c r="K196" s="88" t="n">
        <v>42</v>
      </c>
    </row>
    <row r="197" customFormat="false" ht="12.65" hidden="false" customHeight="false" outlineLevel="0" collapsed="false">
      <c r="A197" s="131" t="str">
        <f aca="false">CLEAN(IF(LENB(B197)&gt;1,B197&amp;IF(LENB(H197)&lt;=1,"","'"&amp;H197&amp;"';"),""))</f>
        <v/>
      </c>
      <c r="E197" s="121" t="s">
        <v>227</v>
      </c>
      <c r="G197" s="122" t="n">
        <f aca="false">IF(MOD(LEN(H197) - LEN(SUBSTITUTE(H197, """", "")),2) = 1,1,0)</f>
        <v>0</v>
      </c>
      <c r="H197" s="134" t="str">
        <f aca="false">SUBSTITUTE(I197, "'", "\'")</f>
        <v/>
      </c>
      <c r="I197" s="103"/>
      <c r="J197" s="104"/>
      <c r="K197" s="88" t="n">
        <v>68</v>
      </c>
    </row>
    <row r="198" customFormat="false" ht="20.85" hidden="false" customHeight="false" outlineLevel="0" collapsed="false">
      <c r="A198" s="131" t="str">
        <f aca="false">CLEAN(IF(LENB(B198)&gt;1,B198&amp;IF(LENB(H198)&lt;=1,"","'"&amp;H198&amp;"';"),""))</f>
        <v>$lang['intro1']='ようこそ新省エネ診断ソフト(D6)へ。いまのエネルギーの使い方を入力することで、有効な省エネ対策を計算して提案できます。';</v>
      </c>
      <c r="B198" s="120" t="s">
        <v>2291</v>
      </c>
      <c r="D198" s="120" t="s">
        <v>2024</v>
      </c>
      <c r="E198" s="121" t="s">
        <v>227</v>
      </c>
      <c r="G198" s="122" t="n">
        <f aca="false">IF(MOD(LEN(H198) - LEN(SUBSTITUTE(H198, """", "")),2) = 1,1,0)</f>
        <v>0</v>
      </c>
      <c r="H198" s="134" t="str">
        <f aca="false">SUBSTITUTE(I198, "'", "\'")</f>
        <v>ようこそ新省エネ診断ソフト(D6)へ。いまのエネルギーの使い方を入力することで、有効な省エネ対策を計算して提案できます。</v>
      </c>
      <c r="I198" s="103" t="s">
        <v>2292</v>
      </c>
      <c r="J198" s="104" t="s">
        <v>2292</v>
      </c>
      <c r="K198" s="88" t="n">
        <v>69</v>
      </c>
    </row>
    <row r="199" customFormat="false" ht="20.85" hidden="false" customHeight="false" outlineLevel="0" collapsed="false">
      <c r="A199" s="131" t="str">
        <f aca="false">CLEAN(IF(LENB(B199)&gt;1,B199&amp;IF(LENB(H199)&lt;=1,"","'"&amp;H199&amp;"';"),""))</f>
        <v>$lang['intro2']='わかる範囲で、今のエネルギーの使い方を選んでください。おおよそでも構いませんし、わからない質問は飛ばしてください。';</v>
      </c>
      <c r="B199" s="120" t="s">
        <v>2293</v>
      </c>
      <c r="D199" s="120" t="s">
        <v>2024</v>
      </c>
      <c r="E199" s="121" t="s">
        <v>227</v>
      </c>
      <c r="G199" s="122" t="n">
        <f aca="false">IF(MOD(LEN(H199) - LEN(SUBSTITUTE(H199, """", "")),2) = 1,1,0)</f>
        <v>0</v>
      </c>
      <c r="H199" s="134" t="str">
        <f aca="false">SUBSTITUTE(I199, "'", "\'")</f>
        <v>わかる範囲で、今のエネルギーの使い方を選んでください。おおよそでも構いませんし、わからない質問は飛ばしてください。</v>
      </c>
      <c r="I199" s="103" t="s">
        <v>2294</v>
      </c>
      <c r="J199" s="104" t="s">
        <v>2294</v>
      </c>
      <c r="K199" s="88" t="n">
        <v>70</v>
      </c>
    </row>
    <row r="200" customFormat="false" ht="12" hidden="false" customHeight="false" outlineLevel="0" collapsed="false">
      <c r="A200" s="131" t="str">
        <f aca="false">CLEAN(IF(LENB(B200)&gt;1,B200&amp;IF(LENB(H200)&lt;=1,"","'"&amp;H200&amp;"';"),""))</f>
        <v>$lang['intro3']='入力に応じた分析結果が随時表示されます。';</v>
      </c>
      <c r="B200" s="120" t="s">
        <v>2295</v>
      </c>
      <c r="D200" s="120" t="s">
        <v>2024</v>
      </c>
      <c r="E200" s="121" t="s">
        <v>227</v>
      </c>
      <c r="G200" s="122" t="n">
        <f aca="false">IF(MOD(LEN(H200) - LEN(SUBSTITUTE(H200, """", "")),2) = 1,1,0)</f>
        <v>0</v>
      </c>
      <c r="H200" s="134" t="str">
        <f aca="false">SUBSTITUTE(I200, "'", "\'")</f>
        <v>入力に応じた分析結果が随時表示されます。</v>
      </c>
      <c r="I200" s="103" t="s">
        <v>2296</v>
      </c>
      <c r="J200" s="104" t="s">
        <v>2296</v>
      </c>
      <c r="K200" s="88" t="n">
        <v>71</v>
      </c>
    </row>
    <row r="201" customFormat="false" ht="30.55" hidden="false" customHeight="false" outlineLevel="0" collapsed="false">
      <c r="A201" s="131" t="str">
        <f aca="false">CLEAN(IF(LENB(B201)&gt;1,B201&amp;IF(LENB(H201)&lt;=1,"","'"&amp;H201&amp;"';"),""))</f>
        <v>$lang['intro4']='CO2排出量を用途別に分析した推計結果です。左があなたの現状です。右が比較として、同様の家庭（事業者）を示しています。中央は、対策を選択したときの削減成果が示されます。';</v>
      </c>
      <c r="B201" s="120" t="s">
        <v>2297</v>
      </c>
      <c r="D201" s="120" t="s">
        <v>2024</v>
      </c>
      <c r="E201" s="121" t="s">
        <v>227</v>
      </c>
      <c r="G201" s="122" t="n">
        <f aca="false">IF(MOD(LEN(H201) - LEN(SUBSTITUTE(H201, """", "")),2) = 1,1,0)</f>
        <v>0</v>
      </c>
      <c r="H201" s="134" t="str">
        <f aca="false">SUBSTITUTE(I201, "'", "\'")</f>
        <v>CO2排出量を用途別に分析した推計結果です。左があなたの現状です。右が比較として、同様の家庭（事業者）を示しています。中央は、対策を選択したときの削減成果が示されます。</v>
      </c>
      <c r="I201" s="103" t="s">
        <v>2298</v>
      </c>
      <c r="J201" s="104" t="s">
        <v>2298</v>
      </c>
      <c r="K201" s="88" t="n">
        <v>72</v>
      </c>
    </row>
    <row r="202" customFormat="false" ht="12" hidden="false" customHeight="false" outlineLevel="0" collapsed="false">
      <c r="A202" s="131" t="str">
        <f aca="false">CLEAN(IF(LENB(B202)&gt;1,B202&amp;IF(LENB(H202)&lt;=1,"","'"&amp;H202&amp;"';"),""))</f>
        <v>$lang['intro5']='月別の光熱費をグラフにしています。';</v>
      </c>
      <c r="B202" s="120" t="s">
        <v>2299</v>
      </c>
      <c r="D202" s="120" t="s">
        <v>2024</v>
      </c>
      <c r="E202" s="121" t="s">
        <v>227</v>
      </c>
      <c r="G202" s="122" t="n">
        <f aca="false">IF(MOD(LEN(H202) - LEN(SUBSTITUTE(H202, """", "")),2) = 1,1,0)</f>
        <v>0</v>
      </c>
      <c r="H202" s="134" t="str">
        <f aca="false">SUBSTITUTE(I202, "'", "\'")</f>
        <v>月別の光熱費をグラフにしています。</v>
      </c>
      <c r="I202" s="103" t="s">
        <v>2300</v>
      </c>
      <c r="J202" s="104" t="s">
        <v>2300</v>
      </c>
      <c r="K202" s="88" t="n">
        <v>73</v>
      </c>
    </row>
    <row r="203" customFormat="false" ht="40.25" hidden="false" customHeight="false" outlineLevel="0" collapsed="false">
      <c r="A203" s="131" t="str">
        <f aca="false">CLEAN(IF(LENB(B203)&gt;1,B203&amp;IF(LENB(H203)&lt;=1,"","'"&amp;H203&amp;"';"),""))</f>
        <v>$lang['intro6']='有効な省エネ対策が随時表示されます。タイトルをクリックすると、詳しく解説されます。お得の★は、購入費用があっても元を取れる対策です。右の列をクリックして選択すると、対策をした場合の成果が、中央のグラフに反映されます。';</v>
      </c>
      <c r="B203" s="120" t="s">
        <v>2301</v>
      </c>
      <c r="D203" s="120" t="s">
        <v>2024</v>
      </c>
      <c r="E203" s="121" t="s">
        <v>227</v>
      </c>
      <c r="G203" s="122" t="n">
        <f aca="false">IF(MOD(LEN(H203) - LEN(SUBSTITUTE(H203, """", "")),2) = 1,1,0)</f>
        <v>0</v>
      </c>
      <c r="H203" s="134" t="str">
        <f aca="false">SUBSTITUTE(I203, "'", "\'")</f>
        <v>有効な省エネ対策が随時表示されます。タイトルをクリックすると、詳しく解説されます。お得の★は、購入費用があっても元を取れる対策です。右の列をクリックして選択すると、対策をした場合の成果が、中央のグラフに反映されます。</v>
      </c>
      <c r="I203" s="103" t="s">
        <v>2302</v>
      </c>
      <c r="J203" s="104" t="s">
        <v>2302</v>
      </c>
      <c r="K203" s="88" t="n">
        <v>74</v>
      </c>
    </row>
    <row r="204" customFormat="false" ht="12" hidden="false" customHeight="false" outlineLevel="0" collapsed="false">
      <c r="A204" s="131" t="str">
        <f aca="false">CLEAN(IF(LENB(B204)&gt;1,B204&amp;IF(LENB(H204)&lt;=1,"","'"&amp;H204&amp;"';"),""))</f>
        <v>$lang['intro7']='ブラウザに入力情報を保存しておくことができます。';</v>
      </c>
      <c r="B204" s="120" t="s">
        <v>2303</v>
      </c>
      <c r="D204" s="120" t="s">
        <v>2024</v>
      </c>
      <c r="E204" s="121" t="s">
        <v>227</v>
      </c>
      <c r="G204" s="122" t="n">
        <f aca="false">IF(MOD(LEN(H204) - LEN(SUBSTITUTE(H204, """", "")),2) = 1,1,0)</f>
        <v>0</v>
      </c>
      <c r="H204" s="134" t="str">
        <f aca="false">SUBSTITUTE(I204, "'", "\'")</f>
        <v>ブラウザに入力情報を保存しておくことができます。</v>
      </c>
      <c r="I204" s="103" t="s">
        <v>2304</v>
      </c>
      <c r="J204" s="104" t="s">
        <v>2304</v>
      </c>
      <c r="K204" s="88" t="n">
        <v>75</v>
      </c>
    </row>
    <row r="205" customFormat="false" ht="20.85" hidden="false" customHeight="false" outlineLevel="0" collapsed="false">
      <c r="A205" s="131" t="str">
        <f aca="false">CLEAN(IF(LENB(B205)&gt;1,B205&amp;IF(LENB(H205)&lt;=1,"","'"&amp;H205&amp;"';"),""))</f>
        <v>$lang['intro8']='この画面は20項目程度の限られた質問だけですが、詳しく診断することもできます。ではさっそく[Done]を押して診断をはじめてください。';</v>
      </c>
      <c r="B205" s="120" t="s">
        <v>2305</v>
      </c>
      <c r="D205" s="120" t="s">
        <v>2024</v>
      </c>
      <c r="E205" s="121" t="s">
        <v>227</v>
      </c>
      <c r="G205" s="122" t="n">
        <f aca="false">IF(MOD(LEN(H205) - LEN(SUBSTITUTE(H205, """", "")),2) = 1,1,0)</f>
        <v>0</v>
      </c>
      <c r="H205" s="134" t="str">
        <f aca="false">SUBSTITUTE(I205, "'", "\'")</f>
        <v>この画面は20項目程度の限られた質問だけですが、詳しく診断することもできます。ではさっそく[Done]を押して診断をはじめてください。</v>
      </c>
      <c r="I205" s="103" t="s">
        <v>2306</v>
      </c>
      <c r="J205" s="104" t="s">
        <v>2306</v>
      </c>
      <c r="K205" s="88" t="n">
        <v>76</v>
      </c>
    </row>
    <row r="206" customFormat="false" ht="12.65" hidden="false" customHeight="false" outlineLevel="0" collapsed="false">
      <c r="A206" s="131" t="str">
        <f aca="false">CLEAN(B206&amp;IF(D206="","","'"&amp;H206&amp;"'"&amp;D206))</f>
        <v/>
      </c>
      <c r="G206" s="122" t="n">
        <f aca="false">IF(MOD(LEN(H206) - LEN(SUBSTITUTE(H206, """", "")),2) = 1,1,0)</f>
        <v>0</v>
      </c>
      <c r="H206" s="134" t="str">
        <f aca="false">SUBSTITUTE(I206, "'", "\'")</f>
        <v/>
      </c>
      <c r="I206" s="103"/>
      <c r="J206" s="104"/>
    </row>
    <row r="207" customFormat="false" ht="12.65" hidden="false" customHeight="false" outlineLevel="0" collapsed="false">
      <c r="A207" s="131" t="str">
        <f aca="false">CLEAN(IF(LENB(B207)&gt;1,B207&amp;IF(LENB(H207)&lt;=1,"","'"&amp;H207&amp;"';"),""))</f>
        <v>//---------- 3 easy mode page -----------------------------------------------</v>
      </c>
      <c r="B207" s="120" t="s">
        <v>2307</v>
      </c>
      <c r="E207" s="121" t="s">
        <v>227</v>
      </c>
      <c r="G207" s="122" t="n">
        <f aca="false">IF(MOD(LEN(H207) - LEN(SUBSTITUTE(H207, """", "")),2) = 1,1,0)</f>
        <v>0</v>
      </c>
      <c r="H207" s="134" t="str">
        <f aca="false">SUBSTITUTE(I207, "'", "\'")</f>
        <v/>
      </c>
      <c r="I207" s="103"/>
      <c r="J207" s="104"/>
      <c r="K207" s="88" t="n">
        <v>9</v>
      </c>
    </row>
    <row r="208" customFormat="false" ht="12.65" hidden="false" customHeight="false" outlineLevel="0" collapsed="false">
      <c r="A208" s="131" t="str">
        <f aca="false">CLEAN(IF(LENB(B208)&gt;1,B208&amp;IF(LENB(H208)&lt;=1,"","'"&amp;H208&amp;"';"),""))</f>
        <v>$lang['home_easy_title']='快適生活のための簡単エコチェック';</v>
      </c>
      <c r="B208" s="120" t="s">
        <v>2308</v>
      </c>
      <c r="D208" s="120" t="s">
        <v>2024</v>
      </c>
      <c r="E208" s="121" t="s">
        <v>227</v>
      </c>
      <c r="G208" s="122" t="n">
        <f aca="false">IF(MOD(LEN(H208) - LEN(SUBSTITUTE(H208, """", "")),2) = 1,1,0)</f>
        <v>0</v>
      </c>
      <c r="H208" s="134" t="str">
        <f aca="false">SUBSTITUTE(I208, "'", "\'")</f>
        <v>快適生活のための簡単エコチェック</v>
      </c>
      <c r="I208" s="103" t="s">
        <v>2309</v>
      </c>
      <c r="J208" s="104" t="s">
        <v>2309</v>
      </c>
      <c r="K208" s="88" t="n">
        <v>10</v>
      </c>
    </row>
    <row r="209" customFormat="false" ht="12.65" hidden="false" customHeight="false" outlineLevel="0" collapsed="false">
      <c r="A209" s="131" t="str">
        <f aca="false">CLEAN(IF(LENB(B209)&gt;1,B209&amp;IF(LENB(H209)&lt;=1,"","'"&amp;H209&amp;"';"),""))</f>
        <v>$lang['home_easy_step1']='質問';</v>
      </c>
      <c r="B209" s="120" t="s">
        <v>2310</v>
      </c>
      <c r="D209" s="120" t="s">
        <v>2024</v>
      </c>
      <c r="E209" s="121" t="s">
        <v>227</v>
      </c>
      <c r="G209" s="122" t="n">
        <f aca="false">IF(MOD(LEN(H209) - LEN(SUBSTITUTE(H209, """", "")),2) = 1,1,0)</f>
        <v>0</v>
      </c>
      <c r="H209" s="134" t="str">
        <f aca="false">SUBSTITUTE(I209, "'", "\'")</f>
        <v>質問</v>
      </c>
      <c r="I209" s="103" t="s">
        <v>2311</v>
      </c>
      <c r="J209" s="104" t="s">
        <v>2311</v>
      </c>
      <c r="K209" s="88" t="n">
        <v>11</v>
      </c>
    </row>
    <row r="210" customFormat="false" ht="12.65" hidden="false" customHeight="false" outlineLevel="0" collapsed="false">
      <c r="A210" s="131" t="str">
        <f aca="false">CLEAN(IF(LENB(B210)&gt;1,B210&amp;IF(LENB(H210)&lt;=1,"","'"&amp;H210&amp;"';"),""))</f>
        <v>$lang['home_easy_step2']='比較';</v>
      </c>
      <c r="B210" s="120" t="s">
        <v>2312</v>
      </c>
      <c r="D210" s="120" t="s">
        <v>2024</v>
      </c>
      <c r="E210" s="121" t="s">
        <v>227</v>
      </c>
      <c r="G210" s="122" t="n">
        <f aca="false">IF(MOD(LEN(H210) - LEN(SUBSTITUTE(H210, """", "")),2) = 1,1,0)</f>
        <v>0</v>
      </c>
      <c r="H210" s="134" t="str">
        <f aca="false">SUBSTITUTE(I210, "'", "\'")</f>
        <v>比較</v>
      </c>
      <c r="I210" s="103" t="s">
        <v>2313</v>
      </c>
      <c r="J210" s="104" t="s">
        <v>2313</v>
      </c>
      <c r="K210" s="88" t="n">
        <v>12</v>
      </c>
    </row>
    <row r="211" customFormat="false" ht="12.65" hidden="false" customHeight="false" outlineLevel="0" collapsed="false">
      <c r="A211" s="131" t="str">
        <f aca="false">CLEAN(IF(LENB(B211)&gt;1,B211&amp;IF(LENB(H211)&lt;=1,"","'"&amp;H211&amp;"';"),""))</f>
        <v>$lang['home_easy_step3']='特徴';</v>
      </c>
      <c r="B211" s="120" t="s">
        <v>2314</v>
      </c>
      <c r="D211" s="120" t="s">
        <v>2024</v>
      </c>
      <c r="E211" s="121" t="s">
        <v>227</v>
      </c>
      <c r="G211" s="122" t="n">
        <f aca="false">IF(MOD(LEN(H211) - LEN(SUBSTITUTE(H211, """", "")),2) = 1,1,0)</f>
        <v>0</v>
      </c>
      <c r="H211" s="134" t="str">
        <f aca="false">SUBSTITUTE(I211, "'", "\'")</f>
        <v>特徴</v>
      </c>
      <c r="I211" s="103" t="s">
        <v>2315</v>
      </c>
      <c r="J211" s="104" t="s">
        <v>2315</v>
      </c>
      <c r="K211" s="88" t="n">
        <v>13</v>
      </c>
    </row>
    <row r="212" customFormat="false" ht="12.65" hidden="false" customHeight="false" outlineLevel="0" collapsed="false">
      <c r="A212" s="131" t="str">
        <f aca="false">CLEAN(IF(LENB(B212)&gt;1,B212&amp;IF(LENB(H212)&lt;=1,"","'"&amp;H212&amp;"';"),""))</f>
        <v>$lang['home_easy_step4']='対策';</v>
      </c>
      <c r="B212" s="120" t="s">
        <v>2316</v>
      </c>
      <c r="D212" s="120" t="s">
        <v>2024</v>
      </c>
      <c r="E212" s="121" t="s">
        <v>227</v>
      </c>
      <c r="G212" s="122" t="n">
        <f aca="false">IF(MOD(LEN(H212) - LEN(SUBSTITUTE(H212, """", "")),2) = 1,1,0)</f>
        <v>0</v>
      </c>
      <c r="H212" s="134" t="str">
        <f aca="false">SUBSTITUTE(I212, "'", "\'")</f>
        <v>対策</v>
      </c>
      <c r="I212" s="103" t="s">
        <v>2129</v>
      </c>
      <c r="J212" s="104" t="s">
        <v>2129</v>
      </c>
      <c r="K212" s="88" t="n">
        <v>14</v>
      </c>
    </row>
    <row r="213" customFormat="false" ht="12.65" hidden="false" customHeight="false" outlineLevel="0" collapsed="false">
      <c r="A213" s="131" t="str">
        <f aca="false">CLEAN(IF(LENB(B213)&gt;1,B213&amp;IF(LENB(H213)&lt;=1,"","'"&amp;H213&amp;"';"),""))</f>
        <v>$lang['home_easy_toptitle']='家の光熱費を安くしてみませんか';</v>
      </c>
      <c r="B213" s="120" t="s">
        <v>2317</v>
      </c>
      <c r="D213" s="120" t="s">
        <v>2024</v>
      </c>
      <c r="E213" s="121" t="s">
        <v>227</v>
      </c>
      <c r="G213" s="122" t="n">
        <f aca="false">IF(MOD(LEN(H213) - LEN(SUBSTITUTE(H213, """", "")),2) = 1,1,0)</f>
        <v>0</v>
      </c>
      <c r="H213" s="134" t="str">
        <f aca="false">SUBSTITUTE(I213, "'", "\'")</f>
        <v>家の光熱費を安くしてみませんか</v>
      </c>
      <c r="I213" s="103" t="s">
        <v>2318</v>
      </c>
      <c r="J213" s="104" t="s">
        <v>2318</v>
      </c>
      <c r="K213" s="88" t="n">
        <v>15</v>
      </c>
    </row>
    <row r="214" customFormat="false" ht="30.55" hidden="false" customHeight="false" outlineLevel="0" collapsed="false">
      <c r="A214" s="131" t="str">
        <f aca="false">CLEAN(IF(LENB(B214)&gt;1,B214&amp;IF(LENB(H214)&lt;=1,"","'"&amp;H214&amp;"';"),""))</f>
        <v>$lang['home_easy_top1']='　日本では「省エネ」が誤解されています。決して「がまんする」ものではなく、より生活を豊かにするものです。光熱費も安くなり、生活が快適になり、それで未来の子どもたちのためにもなります。';</v>
      </c>
      <c r="B214" s="120" t="s">
        <v>2319</v>
      </c>
      <c r="D214" s="120" t="s">
        <v>2024</v>
      </c>
      <c r="E214" s="121" t="s">
        <v>227</v>
      </c>
      <c r="G214" s="122" t="n">
        <f aca="false">IF(MOD(LEN(H214) - LEN(SUBSTITUTE(H214, """", "")),2) = 1,1,0)</f>
        <v>0</v>
      </c>
      <c r="H214" s="134" t="str">
        <f aca="false">SUBSTITUTE(I214, "'", "\'")</f>
        <v>　日本では「省エネ」が誤解されています。決して「がまんする」ものではなく、より生活を豊かにするものです。光熱費も安くなり、生活が快適になり、それで未来の子どもたちのためにもなります。</v>
      </c>
      <c r="I214" s="103" t="s">
        <v>2320</v>
      </c>
      <c r="J214" s="104" t="s">
        <v>2320</v>
      </c>
      <c r="K214" s="88" t="n">
        <v>16</v>
      </c>
    </row>
    <row r="215" customFormat="false" ht="20.85" hidden="false" customHeight="false" outlineLevel="0" collapsed="false">
      <c r="A215" s="131" t="str">
        <f aca="false">CLEAN(IF(LENB(B215)&gt;1,B215&amp;IF(LENB(H215)&lt;=1,"","'"&amp;H215&amp;"';"),""))</f>
        <v>$lang['home_easy_top2']='　かんたんな質問で、あなたの生活にあった対策を示します。3分間でできるエコチェックしてみてください。';</v>
      </c>
      <c r="B215" s="120" t="s">
        <v>2321</v>
      </c>
      <c r="D215" s="120" t="s">
        <v>2024</v>
      </c>
      <c r="E215" s="121" t="s">
        <v>227</v>
      </c>
      <c r="G215" s="122" t="n">
        <f aca="false">IF(MOD(LEN(H215) - LEN(SUBSTITUTE(H215, """", "")),2) = 1,1,0)</f>
        <v>0</v>
      </c>
      <c r="H215" s="134" t="str">
        <f aca="false">SUBSTITUTE(I215, "'", "\'")</f>
        <v>　かんたんな質問で、あなたの生活にあった対策を示します。3分間でできるエコチェックしてみてください。</v>
      </c>
      <c r="I215" s="103" t="s">
        <v>2322</v>
      </c>
      <c r="J215" s="104" t="s">
        <v>2322</v>
      </c>
      <c r="K215" s="88" t="n">
        <v>17</v>
      </c>
    </row>
    <row r="216" customFormat="false" ht="49.95" hidden="false" customHeight="false" outlineLevel="0" collapsed="false">
      <c r="A216" s="131" t="str">
        <f aca="false">CLEAN(IF(LENB(B216)&gt;1,B216&amp;IF(LENB(H216)&lt;=1,"","'"&amp;H216&amp;"';"),""))</f>
        <v>$lang['home_easy_top3sm']='※完全無料です。名前やメールアドレスなど、あなたを特定する情報の入力は必要ありません。この診断ソフトは、計算ロジック自体を端末にダウンロードして行うため、入力した値を利用端末以外に送ることはありません。このページは利用状況を把握するためにGoogle Anarliticsを使用しています。';</v>
      </c>
      <c r="B216" s="120" t="s">
        <v>2323</v>
      </c>
      <c r="D216" s="120" t="s">
        <v>2024</v>
      </c>
      <c r="E216" s="121" t="s">
        <v>227</v>
      </c>
      <c r="G216" s="122" t="n">
        <f aca="false">IF(MOD(LEN(H216) - LEN(SUBSTITUTE(H216, """", "")),2) = 1,1,0)</f>
        <v>0</v>
      </c>
      <c r="H216" s="134" t="str">
        <f aca="false">SUBSTITUTE(I216, "'", "\'")</f>
        <v>※完全無料です。名前やメールアドレスなど、あなたを特定する情報の入力は必要ありません。この診断ソフトは、計算ロジック自体を端末にダウンロードして行うため、入力した値を利用端末以外に送ることはありません。このページは利用状況を把握するためにGoogle Anarliticsを使用しています。</v>
      </c>
      <c r="I216" s="103" t="s">
        <v>2324</v>
      </c>
      <c r="J216" s="104" t="s">
        <v>2324</v>
      </c>
      <c r="K216" s="88" t="n">
        <v>18</v>
      </c>
    </row>
    <row r="217" customFormat="false" ht="12" hidden="false" customHeight="false" outlineLevel="0" collapsed="false">
      <c r="A217" s="131" t="str">
        <f aca="false">CLEAN(IF(LENB(B217)&gt;1,B217&amp;IF(LENB(H217)&lt;=1,"","'"&amp;H217&amp;"';"),""))</f>
        <v>$lang['home_easy_top_button_start']='診断をはじめる';</v>
      </c>
      <c r="B217" s="120" t="s">
        <v>2325</v>
      </c>
      <c r="D217" s="120" t="s">
        <v>2024</v>
      </c>
      <c r="E217" s="121" t="s">
        <v>227</v>
      </c>
      <c r="G217" s="122" t="n">
        <f aca="false">IF(MOD(LEN(H217) - LEN(SUBSTITUTE(H217, """", "")),2) = 1,1,0)</f>
        <v>0</v>
      </c>
      <c r="H217" s="134" t="str">
        <f aca="false">SUBSTITUTE(I217, "'", "\'")</f>
        <v>診断をはじめる</v>
      </c>
      <c r="I217" s="103" t="s">
        <v>2269</v>
      </c>
      <c r="J217" s="104" t="s">
        <v>2269</v>
      </c>
      <c r="K217" s="88" t="n">
        <v>19</v>
      </c>
    </row>
    <row r="218" customFormat="false" ht="12" hidden="false" customHeight="false" outlineLevel="0" collapsed="false">
      <c r="A218" s="131" t="str">
        <f aca="false">CLEAN(IF(LENB(B218)&gt;1,B218&amp;IF(LENB(H218)&lt;=1,"","'"&amp;H218&amp;"';"),""))</f>
        <v>$lang['home_easy_top_button_about']='　解説　';</v>
      </c>
      <c r="B218" s="120" t="s">
        <v>2326</v>
      </c>
      <c r="D218" s="120" t="s">
        <v>2024</v>
      </c>
      <c r="E218" s="121" t="s">
        <v>227</v>
      </c>
      <c r="G218" s="122" t="n">
        <f aca="false">IF(MOD(LEN(H218) - LEN(SUBSTITUTE(H218, """", "")),2) = 1,1,0)</f>
        <v>0</v>
      </c>
      <c r="H218" s="134" t="str">
        <f aca="false">SUBSTITUTE(I218, "'", "\'")</f>
        <v>　解説　</v>
      </c>
      <c r="I218" s="103" t="s">
        <v>2327</v>
      </c>
      <c r="J218" s="104" t="s">
        <v>2327</v>
      </c>
      <c r="K218" s="88" t="n">
        <v>20</v>
      </c>
    </row>
    <row r="219" customFormat="false" ht="12" hidden="false" customHeight="false" outlineLevel="0" collapsed="false">
      <c r="A219" s="131" t="str">
        <f aca="false">CLEAN(IF(LENB(B219)&gt;1,B219&amp;IF(LENB(H219)&lt;=1,"","'"&amp;H219&amp;"';"),""))</f>
        <v/>
      </c>
      <c r="B219" s="120" t="s">
        <v>2058</v>
      </c>
      <c r="E219" s="121" t="s">
        <v>227</v>
      </c>
      <c r="G219" s="122" t="n">
        <f aca="false">IF(MOD(LEN(H219) - LEN(SUBSTITUTE(H219, """", "")),2) = 1,1,0)</f>
        <v>0</v>
      </c>
      <c r="H219" s="134" t="str">
        <f aca="false">SUBSTITUTE(I219, "'", "\'")</f>
        <v/>
      </c>
      <c r="I219" s="103"/>
      <c r="J219" s="104"/>
      <c r="K219" s="88" t="n">
        <v>21</v>
      </c>
    </row>
    <row r="220" customFormat="false" ht="12" hidden="false" customHeight="false" outlineLevel="0" collapsed="false">
      <c r="A220" s="131" t="str">
        <f aca="false">CLEAN(IF(LENB(B220)&gt;1,B220&amp;IF(LENB(H220)&lt;=1,"","'"&amp;H220&amp;"';"),""))</f>
        <v>$lang['home_easy_p5title']='この質問にお答えください';</v>
      </c>
      <c r="B220" s="120" t="s">
        <v>2328</v>
      </c>
      <c r="D220" s="120" t="s">
        <v>2024</v>
      </c>
      <c r="E220" s="121" t="s">
        <v>227</v>
      </c>
      <c r="G220" s="122" t="n">
        <f aca="false">IF(MOD(LEN(H220) - LEN(SUBSTITUTE(H220, """", "")),2) = 1,1,0)</f>
        <v>0</v>
      </c>
      <c r="H220" s="134" t="str">
        <f aca="false">SUBSTITUTE(I220, "'", "\'")</f>
        <v>この質問にお答えください</v>
      </c>
      <c r="I220" s="103" t="s">
        <v>2329</v>
      </c>
      <c r="J220" s="104" t="s">
        <v>2329</v>
      </c>
      <c r="K220" s="88" t="n">
        <v>22</v>
      </c>
    </row>
    <row r="221" customFormat="false" ht="20.85" hidden="false" customHeight="false" outlineLevel="0" collapsed="false">
      <c r="A221" s="131" t="str">
        <f aca="false">CLEAN(IF(LENB(B221)&gt;1,B221&amp;IF(LENB(H221)&lt;=1,"","'"&amp;H221&amp;"';"),""))</f>
        <v>$lang['home_easy_p5_1']='　おおよそあてはまる選択肢を選んでください。わからない場合には、回答しなくても構いません。';</v>
      </c>
      <c r="B221" s="120" t="s">
        <v>2330</v>
      </c>
      <c r="D221" s="120" t="s">
        <v>2024</v>
      </c>
      <c r="E221" s="121" t="s">
        <v>227</v>
      </c>
      <c r="G221" s="122" t="n">
        <f aca="false">IF(MOD(LEN(H221) - LEN(SUBSTITUTE(H221, """", "")),2) = 1,1,0)</f>
        <v>0</v>
      </c>
      <c r="H221" s="134" t="str">
        <f aca="false">SUBSTITUTE(I221, "'", "\'")</f>
        <v>　おおよそあてはまる選択肢を選んでください。わからない場合には、回答しなくても構いません。</v>
      </c>
      <c r="I221" s="103" t="s">
        <v>2331</v>
      </c>
      <c r="J221" s="104" t="s">
        <v>2331</v>
      </c>
      <c r="K221" s="88" t="n">
        <v>23</v>
      </c>
    </row>
    <row r="222" customFormat="false" ht="12" hidden="false" customHeight="false" outlineLevel="0" collapsed="false">
      <c r="A222" s="131" t="str">
        <f aca="false">CLEAN(IF(LENB(B222)&gt;1,B222&amp;IF(LENB(H222)&lt;=1,"","'"&amp;H222&amp;"';"),""))</f>
        <v>$lang['home_easy_p5_button_next']='結果をみる';</v>
      </c>
      <c r="B222" s="120" t="s">
        <v>2332</v>
      </c>
      <c r="D222" s="120" t="s">
        <v>2024</v>
      </c>
      <c r="E222" s="121" t="s">
        <v>227</v>
      </c>
      <c r="G222" s="122" t="n">
        <f aca="false">IF(MOD(LEN(H222) - LEN(SUBSTITUTE(H222, """", "")),2) = 1,1,0)</f>
        <v>0</v>
      </c>
      <c r="H222" s="134" t="str">
        <f aca="false">SUBSTITUTE(I222, "'", "\'")</f>
        <v>結果をみる</v>
      </c>
      <c r="I222" s="103" t="s">
        <v>2273</v>
      </c>
      <c r="J222" s="104" t="s">
        <v>2273</v>
      </c>
      <c r="K222" s="88" t="n">
        <v>24</v>
      </c>
    </row>
    <row r="223" customFormat="false" ht="12" hidden="false" customHeight="false" outlineLevel="0" collapsed="false">
      <c r="A223" s="131" t="str">
        <f aca="false">CLEAN(IF(LENB(B223)&gt;1,B223&amp;IF(LENB(H223)&lt;=1,"","'"&amp;H223&amp;"';"),""))</f>
        <v/>
      </c>
      <c r="B223" s="120" t="s">
        <v>2058</v>
      </c>
      <c r="E223" s="121" t="s">
        <v>227</v>
      </c>
      <c r="G223" s="122" t="n">
        <f aca="false">IF(MOD(LEN(H223) - LEN(SUBSTITUTE(H223, """", "")),2) = 1,1,0)</f>
        <v>0</v>
      </c>
      <c r="H223" s="134" t="str">
        <f aca="false">SUBSTITUTE(I223, "'", "\'")</f>
        <v/>
      </c>
      <c r="I223" s="103"/>
      <c r="J223" s="104"/>
      <c r="K223" s="88" t="n">
        <v>25</v>
      </c>
    </row>
    <row r="224" customFormat="false" ht="12" hidden="false" customHeight="false" outlineLevel="0" collapsed="false">
      <c r="A224" s="131" t="str">
        <f aca="false">CLEAN(IF(LENB(B224)&gt;1,B224&amp;IF(LENB(H224)&lt;=1,"","'"&amp;H224&amp;"';"),""))</f>
        <v>$lang['home_easy_p2title']='平均世帯とくらべて';</v>
      </c>
      <c r="B224" s="120" t="s">
        <v>2333</v>
      </c>
      <c r="D224" s="120" t="s">
        <v>2024</v>
      </c>
      <c r="E224" s="121" t="s">
        <v>227</v>
      </c>
      <c r="G224" s="122" t="n">
        <f aca="false">IF(MOD(LEN(H224) - LEN(SUBSTITUTE(H224, """", "")),2) = 1,1,0)</f>
        <v>0</v>
      </c>
      <c r="H224" s="134" t="str">
        <f aca="false">SUBSTITUTE(I224, "'", "\'")</f>
        <v>平均世帯とくらべて</v>
      </c>
      <c r="I224" s="103" t="s">
        <v>2334</v>
      </c>
      <c r="J224" s="104" t="s">
        <v>2334</v>
      </c>
      <c r="K224" s="88" t="n">
        <v>26</v>
      </c>
    </row>
    <row r="225" customFormat="false" ht="12" hidden="false" customHeight="false" outlineLevel="0" collapsed="false">
      <c r="A225" s="131" t="str">
        <f aca="false">CLEAN(IF(LENB(B225)&gt;1,B225&amp;IF(LENB(H225)&lt;=1,"","'"&amp;H225&amp;"';"),""))</f>
        <v>$lang['home_easy_p2_button_next']='大きな原因を明らかにします';</v>
      </c>
      <c r="B225" s="120" t="s">
        <v>2335</v>
      </c>
      <c r="D225" s="120" t="s">
        <v>2024</v>
      </c>
      <c r="E225" s="121" t="s">
        <v>227</v>
      </c>
      <c r="G225" s="122" t="n">
        <f aca="false">IF(MOD(LEN(H225) - LEN(SUBSTITUTE(H225, """", "")),2) = 1,1,0)</f>
        <v>0</v>
      </c>
      <c r="H225" s="134" t="str">
        <f aca="false">SUBSTITUTE(I225, "'", "\'")</f>
        <v>大きな原因を明らかにします</v>
      </c>
      <c r="I225" s="103" t="s">
        <v>2336</v>
      </c>
      <c r="J225" s="104" t="s">
        <v>2336</v>
      </c>
      <c r="K225" s="88" t="n">
        <v>27</v>
      </c>
    </row>
    <row r="226" customFormat="false" ht="12" hidden="false" customHeight="false" outlineLevel="0" collapsed="false">
      <c r="A226" s="131" t="str">
        <f aca="false">CLEAN(IF(LENB(B226)&gt;1,B226&amp;IF(LENB(H226)&lt;=1,"","'"&amp;H226&amp;"';"),""))</f>
        <v/>
      </c>
      <c r="B226" s="120" t="s">
        <v>2058</v>
      </c>
      <c r="E226" s="121" t="s">
        <v>227</v>
      </c>
      <c r="G226" s="122" t="n">
        <f aca="false">IF(MOD(LEN(H226) - LEN(SUBSTITUTE(H226, """", "")),2) = 1,1,0)</f>
        <v>0</v>
      </c>
      <c r="H226" s="134" t="str">
        <f aca="false">SUBSTITUTE(I226, "'", "\'")</f>
        <v/>
      </c>
      <c r="I226" s="103"/>
      <c r="J226" s="104"/>
      <c r="K226" s="88" t="n">
        <v>28</v>
      </c>
    </row>
    <row r="227" customFormat="false" ht="12" hidden="false" customHeight="false" outlineLevel="0" collapsed="false">
      <c r="A227" s="131" t="str">
        <f aca="false">CLEAN(IF(LENB(B227)&gt;1,B227&amp;IF(LENB(H227)&lt;=1,"","'"&amp;H227&amp;"';"),""))</f>
        <v>$lang['home_easy_p3title']='あなたの生活の特徴';</v>
      </c>
      <c r="B227" s="120" t="s">
        <v>2337</v>
      </c>
      <c r="D227" s="120" t="s">
        <v>2024</v>
      </c>
      <c r="E227" s="121" t="s">
        <v>227</v>
      </c>
      <c r="G227" s="122" t="n">
        <f aca="false">IF(MOD(LEN(H227) - LEN(SUBSTITUTE(H227, """", "")),2) = 1,1,0)</f>
        <v>0</v>
      </c>
      <c r="H227" s="134" t="str">
        <f aca="false">SUBSTITUTE(I227, "'", "\'")</f>
        <v>あなたの生活の特徴</v>
      </c>
      <c r="I227" s="103" t="s">
        <v>2338</v>
      </c>
      <c r="J227" s="104" t="s">
        <v>2338</v>
      </c>
      <c r="K227" s="88" t="n">
        <v>29</v>
      </c>
    </row>
    <row r="228" customFormat="false" ht="20.85" hidden="false" customHeight="false" outlineLevel="0" collapsed="false">
      <c r="A228" s="131" t="str">
        <f aca="false">CLEAN(IF(LENB(B228)&gt;1,B228&amp;IF(LENB(H228)&lt;=1,"","'"&amp;H228&amp;"';"),""))</f>
        <v>$lang['home_easy_p3_1']='　CO2がどこから出ているのか分析した結果です。左があなた、右は条件があなたに似た家庭の標準値を示しています。';</v>
      </c>
      <c r="B228" s="120" t="s">
        <v>2339</v>
      </c>
      <c r="D228" s="120" t="s">
        <v>2024</v>
      </c>
      <c r="E228" s="121" t="s">
        <v>227</v>
      </c>
      <c r="G228" s="122" t="n">
        <f aca="false">IF(MOD(LEN(H228) - LEN(SUBSTITUTE(H228, """", "")),2) = 1,1,0)</f>
        <v>0</v>
      </c>
      <c r="H228" s="134" t="str">
        <f aca="false">SUBSTITUTE(I228, "'", "\'")</f>
        <v>　CO2がどこから出ているのか分析した結果です。左があなた、右は条件があなたに似た家庭の標準値を示しています。</v>
      </c>
      <c r="I228" s="103" t="s">
        <v>2340</v>
      </c>
      <c r="J228" s="104" t="s">
        <v>2340</v>
      </c>
      <c r="K228" s="88" t="n">
        <v>30</v>
      </c>
    </row>
    <row r="229" customFormat="false" ht="12" hidden="false" customHeight="false" outlineLevel="0" collapsed="false">
      <c r="A229" s="131" t="str">
        <f aca="false">CLEAN(IF(LENB(B229)&gt;1,B229&amp;IF(LENB(H229)&lt;=1,"","'"&amp;H229&amp;"';"),""))</f>
        <v>$lang['home_easy_p3_button_next']='おすすめの対策はこちら';</v>
      </c>
      <c r="B229" s="120" t="s">
        <v>2341</v>
      </c>
      <c r="D229" s="120" t="s">
        <v>2024</v>
      </c>
      <c r="E229" s="121" t="s">
        <v>227</v>
      </c>
      <c r="G229" s="122" t="n">
        <f aca="false">IF(MOD(LEN(H229) - LEN(SUBSTITUTE(H229, """", "")),2) = 1,1,0)</f>
        <v>0</v>
      </c>
      <c r="H229" s="134" t="str">
        <f aca="false">SUBSTITUTE(I229, "'", "\'")</f>
        <v>おすすめの対策はこちら</v>
      </c>
      <c r="I229" s="103" t="s">
        <v>2342</v>
      </c>
      <c r="J229" s="104" t="s">
        <v>2342</v>
      </c>
      <c r="K229" s="88" t="n">
        <v>31</v>
      </c>
    </row>
    <row r="230" customFormat="false" ht="12" hidden="false" customHeight="false" outlineLevel="0" collapsed="false">
      <c r="A230" s="131" t="str">
        <f aca="false">CLEAN(IF(LENB(B230)&gt;1,B230&amp;IF(LENB(H230)&lt;=1,"","'"&amp;H230&amp;"';"),""))</f>
        <v>$lang['home_easy_p4title_pre']='　';</v>
      </c>
      <c r="B230" s="120" t="s">
        <v>2343</v>
      </c>
      <c r="D230" s="120" t="s">
        <v>2033</v>
      </c>
      <c r="E230" s="121" t="s">
        <v>227</v>
      </c>
      <c r="G230" s="122" t="n">
        <f aca="false">IF(MOD(LEN(H230) - LEN(SUBSTITUTE(H230, """", "")),2) = 1,1,0)</f>
        <v>0</v>
      </c>
      <c r="H230" s="134" t="str">
        <f aca="false">SUBSTITUTE(I230, "'", "\'")</f>
        <v>　</v>
      </c>
      <c r="I230" s="103" t="s">
        <v>2344</v>
      </c>
      <c r="J230" s="104"/>
      <c r="K230" s="88" t="n">
        <v>32</v>
      </c>
    </row>
    <row r="231" customFormat="false" ht="12" hidden="false" customHeight="false" outlineLevel="0" collapsed="false">
      <c r="A231" s="131" t="str">
        <f aca="false">CLEAN(IF(LENB(B231)&gt;1,B231&amp;IF(LENB(H231)&lt;=1,"","'"&amp;H231&amp;"';"),""))</f>
        <v>$lang['home_easy_p4title_after']='つのおすすめ対策';</v>
      </c>
      <c r="B231" s="120" t="s">
        <v>2345</v>
      </c>
      <c r="D231" s="120" t="s">
        <v>2024</v>
      </c>
      <c r="E231" s="121" t="s">
        <v>227</v>
      </c>
      <c r="G231" s="122" t="n">
        <f aca="false">IF(MOD(LEN(H231) - LEN(SUBSTITUTE(H231, """", "")),2) = 1,1,0)</f>
        <v>0</v>
      </c>
      <c r="H231" s="134" t="str">
        <f aca="false">SUBSTITUTE(I231, "'", "\'")</f>
        <v>つのおすすめ対策</v>
      </c>
      <c r="I231" s="103" t="s">
        <v>2346</v>
      </c>
      <c r="J231" s="104" t="s">
        <v>2346</v>
      </c>
      <c r="K231" s="88" t="n">
        <v>33</v>
      </c>
    </row>
    <row r="232" customFormat="false" ht="12" hidden="false" customHeight="false" outlineLevel="0" collapsed="false">
      <c r="A232" s="131" t="str">
        <f aca="false">CLEAN(IF(LENB(B232)&gt;1,B232&amp;IF(LENB(H232)&lt;=1,"","'"&amp;H232&amp;"';"),""))</f>
        <v>$lang['home_easy_p4_button_next']='一番おすすめの対策';</v>
      </c>
      <c r="B232" s="120" t="s">
        <v>2347</v>
      </c>
      <c r="D232" s="120" t="s">
        <v>2024</v>
      </c>
      <c r="E232" s="121" t="s">
        <v>227</v>
      </c>
      <c r="G232" s="122" t="n">
        <f aca="false">IF(MOD(LEN(H232) - LEN(SUBSTITUTE(H232, """", "")),2) = 1,1,0)</f>
        <v>0</v>
      </c>
      <c r="H232" s="134" t="str">
        <f aca="false">SUBSTITUTE(I232, "'", "\'")</f>
        <v>一番おすすめの対策</v>
      </c>
      <c r="I232" s="103" t="s">
        <v>2348</v>
      </c>
      <c r="J232" s="104" t="s">
        <v>2348</v>
      </c>
      <c r="K232" s="88" t="n">
        <v>34</v>
      </c>
    </row>
    <row r="233" customFormat="false" ht="30.55" hidden="false" customHeight="false" outlineLevel="0" collapsed="false">
      <c r="A233" s="131" t="str">
        <f aca="false">CLEAN(IF(LENB(B233)&gt;1,B233&amp;IF(LENB(H233)&lt;=1,"","'"&amp;H233&amp;"';"),""))</f>
        <v>$lang['home_easy_p4_1']='　あなたの家庭に合わせた、おすすめの省エネ対策です。タイトルをクリックすると、詳しく解説されます。お得の★マークは、購入費用があっても元を取れる対策です。';</v>
      </c>
      <c r="B233" s="120" t="s">
        <v>2349</v>
      </c>
      <c r="D233" s="120" t="s">
        <v>2024</v>
      </c>
      <c r="E233" s="121" t="s">
        <v>227</v>
      </c>
      <c r="G233" s="122" t="n">
        <f aca="false">IF(MOD(LEN(H233) - LEN(SUBSTITUTE(H233, """", "")),2) = 1,1,0)</f>
        <v>0</v>
      </c>
      <c r="H233" s="134" t="str">
        <f aca="false">SUBSTITUTE(I233, "'", "\'")</f>
        <v>　あなたの家庭に合わせた、おすすめの省エネ対策です。タイトルをクリックすると、詳しく解説されます。お得の★マークは、購入費用があっても元を取れる対策です。</v>
      </c>
      <c r="I233" s="103" t="s">
        <v>2350</v>
      </c>
      <c r="J233" s="104" t="s">
        <v>2350</v>
      </c>
      <c r="K233" s="88" t="n">
        <v>35</v>
      </c>
    </row>
    <row r="234" customFormat="false" ht="20.85" hidden="false" customHeight="false" outlineLevel="0" collapsed="false">
      <c r="A234" s="131" t="str">
        <f aca="false">CLEAN(IF(LENB(B234)&gt;1,B234&amp;IF(LENB(H234)&lt;=1,"","'"&amp;H234&amp;"';"),""))</f>
        <v>$lang['home_easy_p4_2']='　これは概算です。詳しい診断で、よりあなたにあった提案をすることもできます。';</v>
      </c>
      <c r="B234" s="120" t="s">
        <v>2351</v>
      </c>
      <c r="D234" s="120" t="s">
        <v>2024</v>
      </c>
      <c r="E234" s="121" t="s">
        <v>227</v>
      </c>
      <c r="G234" s="122" t="n">
        <f aca="false">IF(MOD(LEN(H234) - LEN(SUBSTITUTE(H234, """", "")),2) = 1,1,0)</f>
        <v>0</v>
      </c>
      <c r="H234" s="134" t="str">
        <f aca="false">SUBSTITUTE(I234, "'", "\'")</f>
        <v>　これは概算です。詳しい診断で、よりあなたにあった提案をすることもできます。</v>
      </c>
      <c r="I234" s="103" t="s">
        <v>2352</v>
      </c>
      <c r="J234" s="104" t="s">
        <v>2352</v>
      </c>
      <c r="K234" s="88" t="n">
        <v>36</v>
      </c>
    </row>
    <row r="235" customFormat="false" ht="12" hidden="false" customHeight="false" outlineLevel="0" collapsed="false">
      <c r="A235" s="131" t="str">
        <f aca="false">CLEAN(IF(LENB(B235)&gt;1,B235&amp;IF(LENB(H235)&lt;=1,"","'"&amp;H235&amp;"';"),""))</f>
        <v>$lang['home_easy_p4_button_next2']='さらに詳しい診断はこちらからできます';</v>
      </c>
      <c r="B235" s="120" t="s">
        <v>2353</v>
      </c>
      <c r="D235" s="120" t="s">
        <v>2024</v>
      </c>
      <c r="E235" s="121" t="s">
        <v>227</v>
      </c>
      <c r="G235" s="122" t="n">
        <f aca="false">IF(MOD(LEN(H235) - LEN(SUBSTITUTE(H235, """", "")),2) = 1,1,0)</f>
        <v>0</v>
      </c>
      <c r="H235" s="134" t="str">
        <f aca="false">SUBSTITUTE(I235, "'", "\'")</f>
        <v>さらに詳しい診断はこちらからできます</v>
      </c>
      <c r="I235" s="103" t="s">
        <v>2354</v>
      </c>
      <c r="J235" s="104" t="s">
        <v>2354</v>
      </c>
      <c r="K235" s="88" t="n">
        <v>37</v>
      </c>
    </row>
    <row r="236" customFormat="false" ht="12" hidden="false" customHeight="false" outlineLevel="0" collapsed="false">
      <c r="A236" s="131" t="str">
        <f aca="false">CLEAN(IF(LENB(B236)&gt;1,B236&amp;IF(LENB(H236)&lt;=1,"","'"&amp;H236&amp;"';"),""))</f>
        <v>$lang['home_easy_p4_button_next3']='家電製品の買い換えを考えているかた';</v>
      </c>
      <c r="B236" s="120" t="s">
        <v>2355</v>
      </c>
      <c r="D236" s="120" t="s">
        <v>2024</v>
      </c>
      <c r="E236" s="121" t="s">
        <v>227</v>
      </c>
      <c r="G236" s="122" t="n">
        <f aca="false">IF(MOD(LEN(H236) - LEN(SUBSTITUTE(H236, """", "")),2) = 1,1,0)</f>
        <v>0</v>
      </c>
      <c r="H236" s="134" t="str">
        <f aca="false">SUBSTITUTE(I236, "'", "\'")</f>
        <v>家電製品の買い換えを考えているかた</v>
      </c>
      <c r="I236" s="103" t="s">
        <v>2356</v>
      </c>
      <c r="J236" s="104" t="s">
        <v>2356</v>
      </c>
      <c r="K236" s="88" t="n">
        <v>38</v>
      </c>
    </row>
    <row r="237" customFormat="false" ht="20.85" hidden="false" customHeight="false" outlineLevel="0" collapsed="false">
      <c r="A237" s="135" t="str">
        <f aca="false">CLEAN(B237&amp;"'function("&amp;H237&amp;") {return "&amp;H238&amp;"};';")</f>
        <v>$lang['home_easy_measure_show']= 'function(num) {return num + "番目におすすめを表示"};';</v>
      </c>
      <c r="B237" s="120" t="s">
        <v>2357</v>
      </c>
      <c r="D237" s="120" t="s">
        <v>2024</v>
      </c>
      <c r="E237" s="121" t="s">
        <v>2061</v>
      </c>
      <c r="G237" s="122" t="n">
        <f aca="false">IF(MOD(LEN(H237) - LEN(SUBSTITUTE(H237, """", "")),2) = 1,1,0)</f>
        <v>0</v>
      </c>
      <c r="H237" s="134" t="str">
        <f aca="false">SUBSTITUTE(I237, "'", "\'")</f>
        <v>num</v>
      </c>
      <c r="I237" s="103" t="s">
        <v>2062</v>
      </c>
      <c r="J237" s="104"/>
      <c r="K237" s="88" t="n">
        <v>111</v>
      </c>
    </row>
    <row r="238" customFormat="false" ht="12" hidden="false" customHeight="false" outlineLevel="0" collapsed="false">
      <c r="A238" s="135" t="str">
        <f aca="false">CLEAN(IF(LENB(B238)&gt;1,B238&amp;IF(LENB(H238)&lt;=1,"","'"&amp;H238&amp;"';"),""))</f>
        <v/>
      </c>
      <c r="E238" s="121" t="s">
        <v>2063</v>
      </c>
      <c r="G238" s="122" t="n">
        <f aca="false">IF(MOD(LEN(H238) - LEN(SUBSTITUTE(H238, """", "")),2) = 1,1,0)</f>
        <v>0</v>
      </c>
      <c r="H238" s="134" t="str">
        <f aca="false">SUBSTITUTE(I238, "'", "\'")</f>
        <v>num + "番目におすすめを表示"</v>
      </c>
      <c r="I238" s="103" t="s">
        <v>2358</v>
      </c>
      <c r="J238" s="104"/>
      <c r="K238" s="88" t="n">
        <v>112</v>
      </c>
    </row>
    <row r="239" customFormat="false" ht="12" hidden="false" customHeight="false" outlineLevel="0" collapsed="false">
      <c r="A239" s="131" t="str">
        <f aca="false">CLEAN(IF(LENB(B239)&gt;1,B239&amp;IF(LENB(H239)&lt;=1,"","'"&amp;H239&amp;"';"),""))</f>
        <v/>
      </c>
      <c r="B239" s="120" t="s">
        <v>2058</v>
      </c>
      <c r="E239" s="121" t="s">
        <v>227</v>
      </c>
      <c r="G239" s="122" t="n">
        <f aca="false">IF(MOD(LEN(H239) - LEN(SUBSTITUTE(H239, """", "")),2) = 1,1,0)</f>
        <v>0</v>
      </c>
      <c r="H239" s="134" t="str">
        <f aca="false">SUBSTITUTE(I239, "'", "\'")</f>
        <v/>
      </c>
      <c r="I239" s="103"/>
      <c r="J239" s="104"/>
      <c r="K239" s="88" t="n">
        <v>39</v>
      </c>
    </row>
    <row r="240" customFormat="false" ht="12" hidden="false" customHeight="false" outlineLevel="0" collapsed="false">
      <c r="A240" s="131" t="str">
        <f aca="false">CLEAN(IF(LENB(B240)&gt;1,B240&amp;IF(LENB(H240)&lt;=1,"","'"&amp;H240&amp;"';"),""))</f>
        <v>//--5 maintenance page-----------------</v>
      </c>
      <c r="B240" s="120" t="s">
        <v>2359</v>
      </c>
      <c r="G240" s="122" t="n">
        <f aca="false">IF(MOD(LEN(H240) - LEN(SUBSTITUTE(H240, """", "")),2) = 1,1,0)</f>
        <v>0</v>
      </c>
      <c r="H240" s="134" t="str">
        <f aca="false">SUBSTITUTE(I240, "'", "\'")</f>
        <v/>
      </c>
      <c r="I240" s="103"/>
      <c r="J240" s="104"/>
    </row>
    <row r="241" customFormat="false" ht="20.85" hidden="false" customHeight="false" outlineLevel="0" collapsed="false">
      <c r="A241" s="131" t="str">
        <f aca="false">CLEAN(IF(LENB(B241)&gt;1,B241&amp;IF(LENB(H241)&lt;=1,"","'"&amp;H241&amp;"';"),""))</f>
        <v>$lang['home_maintenance_message']='　あなたの選択した対策は以下のとおりです。取り組めていますか？';</v>
      </c>
      <c r="B241" s="120" t="s">
        <v>2360</v>
      </c>
      <c r="D241" s="120" t="s">
        <v>2024</v>
      </c>
      <c r="G241" s="122" t="n">
        <f aca="false">IF(MOD(LEN(H241) - LEN(SUBSTITUTE(H241, """", "")),2) = 1,1,0)</f>
        <v>0</v>
      </c>
      <c r="H241" s="134" t="str">
        <f aca="false">SUBSTITUTE(I241, "'", "\'")</f>
        <v>　あなたの選択した対策は以下のとおりです。取り組めていますか？</v>
      </c>
      <c r="I241" s="103" t="s">
        <v>2361</v>
      </c>
      <c r="J241" s="104" t="s">
        <v>2361</v>
      </c>
    </row>
    <row r="242" customFormat="false" ht="12.65" hidden="false" customHeight="false" outlineLevel="0" collapsed="false">
      <c r="A242" s="131" t="str">
        <f aca="false">CLEAN(IF(LENB(B242)&gt;1,B242&amp;IF(LENB(H242)&lt;=1,"","'"&amp;H242&amp;"';"),""))</f>
        <v>$lang['home_maintenance_list']='選択した対策';</v>
      </c>
      <c r="B242" s="120" t="s">
        <v>2362</v>
      </c>
      <c r="D242" s="120" t="s">
        <v>2024</v>
      </c>
      <c r="G242" s="122" t="n">
        <f aca="false">IF(MOD(LEN(H242) - LEN(SUBSTITUTE(H242, """", "")),2) = 1,1,0)</f>
        <v>0</v>
      </c>
      <c r="H242" s="134" t="str">
        <f aca="false">SUBSTITUTE(I242, "'", "\'")</f>
        <v>選択した対策</v>
      </c>
      <c r="I242" s="103" t="s">
        <v>2363</v>
      </c>
      <c r="J242" s="104" t="s">
        <v>2363</v>
      </c>
    </row>
    <row r="243" customFormat="false" ht="12.65" hidden="false" customHeight="false" outlineLevel="0" collapsed="false">
      <c r="A243" s="131" t="str">
        <f aca="false">CLEAN(IF(LENB(B243)&gt;1,B243&amp;IF(LENB(H243)&lt;=1,"","'"&amp;H243&amp;"';"),""))</f>
        <v>$lang['home_maintenance_selected']='この対策を選択しました';</v>
      </c>
      <c r="B243" s="120" t="s">
        <v>2364</v>
      </c>
      <c r="D243" s="120" t="s">
        <v>2024</v>
      </c>
      <c r="G243" s="122" t="n">
        <f aca="false">IF(MOD(LEN(H243) - LEN(SUBSTITUTE(H243, """", "")),2) = 1,1,0)</f>
        <v>0</v>
      </c>
      <c r="H243" s="134" t="str">
        <f aca="false">SUBSTITUTE(I243, "'", "\'")</f>
        <v>この対策を選択しました</v>
      </c>
      <c r="I243" s="103" t="s">
        <v>2365</v>
      </c>
      <c r="J243" s="104" t="s">
        <v>2365</v>
      </c>
    </row>
    <row r="244" customFormat="false" ht="12.65" hidden="false" customHeight="false" outlineLevel="0" collapsed="false">
      <c r="A244" s="131" t="str">
        <f aca="false">CLEAN(IF(LENB(B244)&gt;1,B244&amp;IF(LENB(H244)&lt;=1,"","'"&amp;H244&amp;"';"),""))</f>
        <v/>
      </c>
      <c r="B244" s="120" t="s">
        <v>2058</v>
      </c>
      <c r="E244" s="121" t="s">
        <v>227</v>
      </c>
      <c r="G244" s="122" t="n">
        <f aca="false">IF(MOD(LEN(H244) - LEN(SUBSTITUTE(H244, """", "")),2) = 1,1,0)</f>
        <v>0</v>
      </c>
      <c r="H244" s="134" t="str">
        <f aca="false">SUBSTITUTE(I244, "'", "\'")</f>
        <v/>
      </c>
      <c r="I244" s="103"/>
      <c r="J244" s="104"/>
      <c r="K244" s="88" t="n">
        <v>40</v>
      </c>
    </row>
    <row r="245" customFormat="false" ht="12.65" hidden="false" customHeight="false" outlineLevel="0" collapsed="false">
      <c r="A245" s="131" t="str">
        <f aca="false">CLEAN(IF(LENB(B245)&gt;1,B245&amp;IF(LENB(H245)&lt;=1,"","'"&amp;H245&amp;"';"),""))</f>
        <v>//-- 6 action page-----------------</v>
      </c>
      <c r="B245" s="120" t="s">
        <v>2366</v>
      </c>
      <c r="G245" s="122" t="n">
        <f aca="false">IF(MOD(LEN(H245) - LEN(SUBSTITUTE(H245, """", "")),2) = 1,1,0)</f>
        <v>0</v>
      </c>
      <c r="H245" s="134" t="str">
        <f aca="false">SUBSTITUTE(I245, "'", "\'")</f>
        <v/>
      </c>
      <c r="I245" s="103"/>
      <c r="J245" s="104"/>
    </row>
    <row r="246" customFormat="false" ht="12.65" hidden="false" customHeight="false" outlineLevel="0" collapsed="false">
      <c r="A246" s="131" t="str">
        <f aca="false">CLEAN(IF(LENB(B246)&gt;1,B246&amp;IF(LENB(H246)&lt;=1,"","'"&amp;H246&amp;"';"),""))</f>
        <v>$lang['home_action_title']='低炭素生活のための簡単エコチェック';</v>
      </c>
      <c r="B246" s="120" t="s">
        <v>2367</v>
      </c>
      <c r="D246" s="120" t="s">
        <v>2024</v>
      </c>
      <c r="G246" s="122" t="n">
        <f aca="false">IF(MOD(LEN(H246) - LEN(SUBSTITUTE(H246, """", "")),2) = 1,1,0)</f>
        <v>0</v>
      </c>
      <c r="H246" s="134" t="str">
        <f aca="false">SUBSTITUTE(I246, "'", "\'")</f>
        <v>低炭素生活のための簡単エコチェック</v>
      </c>
      <c r="I246" s="103" t="s">
        <v>2368</v>
      </c>
      <c r="J246" s="104" t="s">
        <v>2368</v>
      </c>
    </row>
    <row r="247" customFormat="false" ht="12.65" hidden="false" customHeight="false" outlineLevel="0" collapsed="false">
      <c r="A247" s="131" t="str">
        <f aca="false">CLEAN(IF(LENB(B247)&gt;1,B247&amp;IF(LENB(H247)&lt;=1,"","'"&amp;H247&amp;"';"),""))</f>
        <v>$lang['home_action_step1']='質問';</v>
      </c>
      <c r="B247" s="120" t="s">
        <v>2369</v>
      </c>
      <c r="D247" s="120" t="s">
        <v>2024</v>
      </c>
      <c r="G247" s="122" t="n">
        <f aca="false">IF(MOD(LEN(H247) - LEN(SUBSTITUTE(H247, """", "")),2) = 1,1,0)</f>
        <v>0</v>
      </c>
      <c r="H247" s="134" t="str">
        <f aca="false">SUBSTITUTE(I247, "'", "\'")</f>
        <v>質問</v>
      </c>
      <c r="I247" s="103" t="s">
        <v>2311</v>
      </c>
      <c r="J247" s="104" t="s">
        <v>2311</v>
      </c>
    </row>
    <row r="248" customFormat="false" ht="12.65" hidden="false" customHeight="false" outlineLevel="0" collapsed="false">
      <c r="A248" s="131" t="str">
        <f aca="false">CLEAN(IF(LENB(B248)&gt;1,B248&amp;IF(LENB(H248)&lt;=1,"","'"&amp;H248&amp;"';"),""))</f>
        <v>$lang['home_action_step2']='評価';</v>
      </c>
      <c r="B248" s="120" t="s">
        <v>2370</v>
      </c>
      <c r="D248" s="120" t="s">
        <v>2024</v>
      </c>
      <c r="G248" s="122" t="n">
        <f aca="false">IF(MOD(LEN(H248) - LEN(SUBSTITUTE(H248, """", "")),2) = 1,1,0)</f>
        <v>0</v>
      </c>
      <c r="H248" s="134" t="str">
        <f aca="false">SUBSTITUTE(I248, "'", "\'")</f>
        <v>評価</v>
      </c>
      <c r="I248" s="103" t="s">
        <v>2371</v>
      </c>
      <c r="J248" s="104" t="s">
        <v>2371</v>
      </c>
    </row>
    <row r="249" customFormat="false" ht="12.65" hidden="false" customHeight="false" outlineLevel="0" collapsed="false">
      <c r="A249" s="131" t="str">
        <f aca="false">CLEAN(IF(LENB(B249)&gt;1,B249&amp;IF(LENB(H249)&lt;=1,"","'"&amp;H249&amp;"';"),""))</f>
        <v>$lang['home_action_step3']='対策';</v>
      </c>
      <c r="B249" s="120" t="s">
        <v>2372</v>
      </c>
      <c r="D249" s="120" t="s">
        <v>2024</v>
      </c>
      <c r="G249" s="122" t="n">
        <f aca="false">IF(MOD(LEN(H249) - LEN(SUBSTITUTE(H249, """", "")),2) = 1,1,0)</f>
        <v>0</v>
      </c>
      <c r="H249" s="134" t="str">
        <f aca="false">SUBSTITUTE(I249, "'", "\'")</f>
        <v>対策</v>
      </c>
      <c r="I249" s="103" t="s">
        <v>2129</v>
      </c>
      <c r="J249" s="104" t="s">
        <v>2129</v>
      </c>
    </row>
    <row r="250" customFormat="false" ht="12.65" hidden="false" customHeight="false" outlineLevel="0" collapsed="false">
      <c r="A250" s="131" t="str">
        <f aca="false">CLEAN(IF(LENB(B250)&gt;1,B250&amp;IF(LENB(H250)&lt;=1,"","'"&amp;H250&amp;"';"),""))</f>
        <v>$lang['home_action_toptitle']='めざせ低炭素家庭';</v>
      </c>
      <c r="B250" s="120" t="s">
        <v>2373</v>
      </c>
      <c r="D250" s="120" t="s">
        <v>2024</v>
      </c>
      <c r="G250" s="122" t="n">
        <f aca="false">IF(MOD(LEN(H250) - LEN(SUBSTITUTE(H250, """", "")),2) = 1,1,0)</f>
        <v>0</v>
      </c>
      <c r="H250" s="134" t="str">
        <f aca="false">SUBSTITUTE(I250, "'", "\'")</f>
        <v>めざせ低炭素家庭</v>
      </c>
      <c r="I250" s="103" t="s">
        <v>2374</v>
      </c>
      <c r="J250" s="104" t="s">
        <v>2374</v>
      </c>
    </row>
    <row r="251" customFormat="false" ht="12.65" hidden="false" customHeight="false" outlineLevel="0" collapsed="false">
      <c r="A251" s="131" t="str">
        <f aca="false">CLEAN(IF(LENB(B251)&gt;1,B251&amp;IF(LENB(H251)&lt;=1,"","'"&amp;H251&amp;"';"),""))</f>
        <v>$lang['home_action_top1']='削減ができます';</v>
      </c>
      <c r="B251" s="120" t="s">
        <v>2375</v>
      </c>
      <c r="D251" s="120" t="s">
        <v>2024</v>
      </c>
      <c r="G251" s="122" t="n">
        <f aca="false">IF(MOD(LEN(H251) - LEN(SUBSTITUTE(H251, """", "")),2) = 1,1,0)</f>
        <v>0</v>
      </c>
      <c r="H251" s="134" t="str">
        <f aca="false">SUBSTITUTE(I251, "'", "\'")</f>
        <v>削減ができます</v>
      </c>
      <c r="I251" s="103" t="s">
        <v>2376</v>
      </c>
      <c r="J251" s="104" t="s">
        <v>2376</v>
      </c>
    </row>
    <row r="252" customFormat="false" ht="12.65" hidden="false" customHeight="false" outlineLevel="0" collapsed="false">
      <c r="A252" s="131" t="str">
        <f aca="false">CLEAN(IF(LENB(B252)&gt;1,B252&amp;IF(LENB(H252)&lt;=1,"","'"&amp;H252&amp;"';"),""))</f>
        <v>$lang['home_action_top2']='かんたんな方法で';</v>
      </c>
      <c r="B252" s="120" t="s">
        <v>2377</v>
      </c>
      <c r="D252" s="120" t="s">
        <v>2024</v>
      </c>
      <c r="G252" s="122" t="n">
        <f aca="false">IF(MOD(LEN(H252) - LEN(SUBSTITUTE(H252, """", "")),2) = 1,1,0)</f>
        <v>0</v>
      </c>
      <c r="H252" s="134" t="str">
        <f aca="false">SUBSTITUTE(I252, "'", "\'")</f>
        <v>かんたんな方法で</v>
      </c>
      <c r="I252" s="103" t="s">
        <v>2378</v>
      </c>
      <c r="J252" s="104" t="s">
        <v>2378</v>
      </c>
    </row>
    <row r="253" customFormat="false" ht="12.65" hidden="false" customHeight="false" outlineLevel="0" collapsed="false">
      <c r="A253" s="131" t="str">
        <f aca="false">CLEAN(IF(LENB(B253)&gt;1,B253&amp;IF(LENB(H253)&lt;=1,"","'"&amp;H253&amp;"';"),""))</f>
        <v>$lang['home_action_axis1']='持続可能性';</v>
      </c>
      <c r="B253" s="120" t="s">
        <v>2379</v>
      </c>
      <c r="D253" s="120" t="s">
        <v>2024</v>
      </c>
      <c r="G253" s="122" t="n">
        <f aca="false">IF(MOD(LEN(H253) - LEN(SUBSTITUTE(H253, """", "")),2) = 1,1,0)</f>
        <v>0</v>
      </c>
      <c r="H253" s="134" t="str">
        <f aca="false">SUBSTITUTE(I253, "'", "\'")</f>
        <v>持続可能性</v>
      </c>
      <c r="I253" s="103" t="s">
        <v>2380</v>
      </c>
      <c r="J253" s="104" t="s">
        <v>2380</v>
      </c>
    </row>
    <row r="254" customFormat="false" ht="12.65" hidden="false" customHeight="false" outlineLevel="0" collapsed="false">
      <c r="A254" s="131" t="str">
        <f aca="false">CLEAN(IF(LENB(B254)&gt;1,B254&amp;IF(LENB(H254)&lt;=1,"","'"&amp;H254&amp;"';"),""))</f>
        <v>$lang['home_action_axis2']='省エネ機器';</v>
      </c>
      <c r="B254" s="120" t="s">
        <v>2381</v>
      </c>
      <c r="D254" s="120" t="s">
        <v>2024</v>
      </c>
      <c r="G254" s="122" t="n">
        <f aca="false">IF(MOD(LEN(H254) - LEN(SUBSTITUTE(H254, """", "")),2) = 1,1,0)</f>
        <v>0</v>
      </c>
      <c r="H254" s="134" t="str">
        <f aca="false">SUBSTITUTE(I254, "'", "\'")</f>
        <v>省エネ機器</v>
      </c>
      <c r="I254" s="103" t="s">
        <v>2382</v>
      </c>
      <c r="J254" s="104" t="s">
        <v>2382</v>
      </c>
    </row>
    <row r="255" customFormat="false" ht="12.65" hidden="false" customHeight="false" outlineLevel="0" collapsed="false">
      <c r="A255" s="131" t="str">
        <f aca="false">CLEAN(IF(LENB(B255)&gt;1,B255&amp;IF(LENB(H255)&lt;=1,"","'"&amp;H255&amp;"';"),""))</f>
        <v>$lang['home_action_axis3']='省エネ行動';</v>
      </c>
      <c r="B255" s="120" t="s">
        <v>2383</v>
      </c>
      <c r="D255" s="120" t="s">
        <v>2024</v>
      </c>
      <c r="G255" s="122" t="n">
        <f aca="false">IF(MOD(LEN(H255) - LEN(SUBSTITUTE(H255, """", "")),2) = 1,1,0)</f>
        <v>0</v>
      </c>
      <c r="H255" s="134" t="str">
        <f aca="false">SUBSTITUTE(I255, "'", "\'")</f>
        <v>省エネ行動</v>
      </c>
      <c r="I255" s="103" t="s">
        <v>2384</v>
      </c>
      <c r="J255" s="104" t="s">
        <v>2384</v>
      </c>
    </row>
    <row r="256" customFormat="false" ht="12.65" hidden="false" customHeight="false" outlineLevel="0" collapsed="false">
      <c r="A256" s="131" t="str">
        <f aca="false">CLEAN(IF(LENB(B256)&gt;1,B256&amp;IF(LENB(H256)&lt;=1,"","'"&amp;H256&amp;"';"),""))</f>
        <v>$lang['home_action_label1']='すばらしい！';</v>
      </c>
      <c r="B256" s="120" t="s">
        <v>2385</v>
      </c>
      <c r="D256" s="120" t="s">
        <v>2024</v>
      </c>
      <c r="G256" s="122" t="n">
        <f aca="false">IF(MOD(LEN(H256) - LEN(SUBSTITUTE(H256, """", "")),2) = 1,1,0)</f>
        <v>0</v>
      </c>
      <c r="H256" s="134" t="str">
        <f aca="false">SUBSTITUTE(I256, "'", "\'")</f>
        <v>すばらしい！</v>
      </c>
      <c r="I256" s="103" t="s">
        <v>2386</v>
      </c>
      <c r="J256" s="104" t="s">
        <v>2386</v>
      </c>
    </row>
    <row r="257" customFormat="false" ht="12.65" hidden="false" customHeight="false" outlineLevel="0" collapsed="false">
      <c r="A257" s="131" t="str">
        <f aca="false">CLEAN(IF(LENB(B257)&gt;1,B257&amp;IF(LENB(H257)&lt;=1,"","'"&amp;H257&amp;"';"),""))</f>
        <v>$lang['home_action_label2']='まあまあよい';</v>
      </c>
      <c r="B257" s="120" t="s">
        <v>2387</v>
      </c>
      <c r="D257" s="120" t="s">
        <v>2024</v>
      </c>
      <c r="G257" s="122" t="n">
        <f aca="false">IF(MOD(LEN(H257) - LEN(SUBSTITUTE(H257, """", "")),2) = 1,1,0)</f>
        <v>0</v>
      </c>
      <c r="H257" s="134" t="str">
        <f aca="false">SUBSTITUTE(I257, "'", "\'")</f>
        <v>まあまあよい</v>
      </c>
      <c r="I257" s="103" t="s">
        <v>2388</v>
      </c>
      <c r="J257" s="104" t="s">
        <v>2388</v>
      </c>
    </row>
    <row r="258" customFormat="false" ht="12.65" hidden="false" customHeight="false" outlineLevel="0" collapsed="false">
      <c r="A258" s="131" t="str">
        <f aca="false">CLEAN(IF(LENB(B258)&gt;1,B258&amp;IF(LENB(H258)&lt;=1,"","'"&amp;H258&amp;"';"),""))</f>
        <v>$lang['home_action_label3']='ちょっと残念';</v>
      </c>
      <c r="B258" s="120" t="s">
        <v>2389</v>
      </c>
      <c r="D258" s="120" t="s">
        <v>2024</v>
      </c>
      <c r="G258" s="122" t="n">
        <f aca="false">IF(MOD(LEN(H258) - LEN(SUBSTITUTE(H258, """", "")),2) = 1,1,0)</f>
        <v>0</v>
      </c>
      <c r="H258" s="134" t="str">
        <f aca="false">SUBSTITUTE(I258, "'", "\'")</f>
        <v>ちょっと残念</v>
      </c>
      <c r="I258" s="103" t="s">
        <v>2390</v>
      </c>
      <c r="J258" s="104" t="s">
        <v>2390</v>
      </c>
    </row>
    <row r="259" customFormat="false" ht="12.65" hidden="false" customHeight="false" outlineLevel="0" collapsed="false">
      <c r="A259" s="131" t="str">
        <f aca="false">CLEAN(IF(LENB(B259)&gt;1,B259&amp;IF(LENB(H259)&lt;=1,"","'"&amp;H259&amp;"';"),""))</f>
        <v>$lang['home_action_good_point']='良い点';</v>
      </c>
      <c r="B259" s="120" t="s">
        <v>2391</v>
      </c>
      <c r="D259" s="120" t="s">
        <v>2024</v>
      </c>
      <c r="G259" s="122" t="n">
        <f aca="false">IF(MOD(LEN(H259) - LEN(SUBSTITUTE(H259, """", "")),2) = 1,1,0)</f>
        <v>0</v>
      </c>
      <c r="H259" s="134" t="str">
        <f aca="false">SUBSTITUTE(I259, "'", "\'")</f>
        <v>良い点</v>
      </c>
      <c r="I259" s="103" t="s">
        <v>2392</v>
      </c>
      <c r="J259" s="104" t="s">
        <v>2392</v>
      </c>
    </row>
    <row r="260" customFormat="false" ht="12.65" hidden="false" customHeight="false" outlineLevel="0" collapsed="false">
      <c r="A260" s="131" t="str">
        <f aca="false">CLEAN(IF(LENB(B260)&gt;1,B260&amp;IF(LENB(H260)&lt;=1,"","'"&amp;H260&amp;"';"),""))</f>
        <v>$lang['home_action_bad_point']='改善点';</v>
      </c>
      <c r="B260" s="120" t="s">
        <v>2393</v>
      </c>
      <c r="D260" s="120" t="s">
        <v>2024</v>
      </c>
      <c r="G260" s="122" t="n">
        <f aca="false">IF(MOD(LEN(H260) - LEN(SUBSTITUTE(H260, """", "")),2) = 1,1,0)</f>
        <v>0</v>
      </c>
      <c r="H260" s="134" t="str">
        <f aca="false">SUBSTITUTE(I260, "'", "\'")</f>
        <v>改善点</v>
      </c>
      <c r="I260" s="103" t="s">
        <v>2394</v>
      </c>
      <c r="J260" s="104" t="s">
        <v>2394</v>
      </c>
    </row>
    <row r="261" customFormat="false" ht="12.65" hidden="false" customHeight="false" outlineLevel="0" collapsed="false">
      <c r="A261" s="131" t="str">
        <f aca="false">CLEAN(B261&amp;IF(D261="","","'"&amp;H261&amp;"'"&amp;D261))</f>
        <v/>
      </c>
      <c r="G261" s="122" t="n">
        <f aca="false">IF(MOD(LEN(H261) - LEN(SUBSTITUTE(H261, """", "")),2) = 1,1,0)</f>
        <v>0</v>
      </c>
      <c r="H261" s="134" t="str">
        <f aca="false">SUBSTITUTE(I261, "'", "\'")</f>
        <v/>
      </c>
      <c r="I261" s="103"/>
      <c r="J261" s="104"/>
    </row>
    <row r="262" customFormat="false" ht="12.65" hidden="false" customHeight="false" outlineLevel="0" collapsed="false">
      <c r="A262" s="131" t="str">
        <f aca="false">CLEAN(IF(LENB(B262)&gt;1,B262&amp;IF(LENB(H262)&lt;=1,"","'"&amp;H262&amp;"';"),""))</f>
        <v>//--99 list page-----------------</v>
      </c>
      <c r="B262" s="120" t="s">
        <v>2395</v>
      </c>
      <c r="G262" s="122" t="n">
        <f aca="false">IF(MOD(LEN(H262) - LEN(SUBSTITUTE(H262, """", "")),2) = 1,1,0)</f>
        <v>0</v>
      </c>
      <c r="H262" s="134" t="str">
        <f aca="false">SUBSTITUTE(I262, "'", "\'")</f>
        <v/>
      </c>
      <c r="I262" s="103"/>
      <c r="J262" s="104"/>
    </row>
    <row r="263" customFormat="false" ht="12.65" hidden="false" customHeight="false" outlineLevel="0" collapsed="false">
      <c r="A263" s="131" t="str">
        <f aca="false">CLEAN(IF(LENB(B263)&gt;1,B263&amp;IF(LENB(H263)&lt;=1,"","'"&amp;H263&amp;"';"),""))</f>
        <v>$lang['home_list_message']='この中からあなたにあった対策を厳選します';</v>
      </c>
      <c r="B263" s="120" t="s">
        <v>2396</v>
      </c>
      <c r="D263" s="120" t="s">
        <v>2024</v>
      </c>
      <c r="G263" s="122" t="n">
        <f aca="false">IF(MOD(LEN(H263) - LEN(SUBSTITUTE(H263, """", "")),2) = 1,1,0)</f>
        <v>0</v>
      </c>
      <c r="H263" s="134" t="str">
        <f aca="false">SUBSTITUTE(I263, "'", "\'")</f>
        <v>この中からあなたにあった対策を厳選します</v>
      </c>
      <c r="I263" s="103" t="s">
        <v>2397</v>
      </c>
      <c r="J263" s="104" t="s">
        <v>2397</v>
      </c>
    </row>
    <row r="264" customFormat="false" ht="12.65" hidden="false" customHeight="false" outlineLevel="0" collapsed="false">
      <c r="A264" s="131" t="str">
        <f aca="false">CLEAN(IF(LENB(B264)&gt;1,B264&amp;IF(LENB(H264)&lt;=1,"","'"&amp;H264&amp;"';"),""))</f>
        <v/>
      </c>
      <c r="G264" s="122" t="n">
        <f aca="false">IF(MOD(LEN(H264) - LEN(SUBSTITUTE(H264, """", "")),2) = 1,1,0)</f>
        <v>0</v>
      </c>
      <c r="H264" s="134" t="str">
        <f aca="false">SUBSTITUTE(I264, "'", "\'")</f>
        <v/>
      </c>
      <c r="I264" s="103"/>
      <c r="J264" s="104"/>
    </row>
    <row r="265" customFormat="false" ht="12.65" hidden="false" customHeight="false" outlineLevel="0" collapsed="false">
      <c r="A265" s="131" t="str">
        <f aca="false">CLEAN(B265&amp;IF(D265="","","'"&amp;H265&amp;"'"&amp;D265))</f>
        <v>//--createpage-----------------</v>
      </c>
      <c r="B265" s="120" t="s">
        <v>2398</v>
      </c>
      <c r="E265" s="121" t="s">
        <v>227</v>
      </c>
      <c r="G265" s="122" t="n">
        <f aca="false">IF(MOD(LEN(H265) - LEN(SUBSTITUTE(H265, """", "")),2) = 1,1,0)</f>
        <v>0</v>
      </c>
      <c r="H265" s="134" t="str">
        <f aca="false">SUBSTITUTE(I265, "'", "\'")</f>
        <v/>
      </c>
      <c r="I265" s="103"/>
      <c r="J265" s="104"/>
      <c r="K265" s="88" t="n">
        <v>125</v>
      </c>
    </row>
    <row r="266" customFormat="false" ht="12.65" hidden="false" customHeight="false" outlineLevel="0" collapsed="false">
      <c r="A266" s="131" t="str">
        <f aca="false">CLEAN(B266&amp;IF(D266="","","'"&amp;H266&amp;"'"&amp;D266))</f>
        <v/>
      </c>
      <c r="B266" s="120" t="s">
        <v>2058</v>
      </c>
      <c r="E266" s="121" t="s">
        <v>227</v>
      </c>
      <c r="G266" s="122" t="n">
        <f aca="false">IF(MOD(LEN(H266) - LEN(SUBSTITUTE(H266, """", "")),2) = 1,1,0)</f>
        <v>0</v>
      </c>
      <c r="H266" s="134" t="str">
        <f aca="false">SUBSTITUTE(I266, "'", "\'")</f>
        <v/>
      </c>
      <c r="I266" s="103"/>
      <c r="J266" s="104"/>
      <c r="K266" s="88" t="n">
        <v>140</v>
      </c>
    </row>
    <row r="267" customFormat="false" ht="12.65" hidden="false" customHeight="false" outlineLevel="0" collapsed="false">
      <c r="A267" s="131" t="str">
        <f aca="false">B267&amp;"'"&amp;H60&amp;H267&amp;"';"</f>
        <v>$lang["younow"]='あなた現状';</v>
      </c>
      <c r="B267" s="120" t="s">
        <v>2399</v>
      </c>
      <c r="D267" s="120" t="s">
        <v>2024</v>
      </c>
      <c r="E267" s="121" t="s">
        <v>227</v>
      </c>
      <c r="G267" s="122" t="n">
        <f aca="false">IF(MOD(LEN(H267) - LEN(SUBSTITUTE(H267, """", "")),2) = 1,1,0)</f>
        <v>0</v>
      </c>
      <c r="H267" s="134" t="str">
        <f aca="false">SUBSTITUTE(I267, "'", "\'")</f>
        <v>現状</v>
      </c>
      <c r="I267" s="103" t="s">
        <v>2400</v>
      </c>
      <c r="J267" s="104" t="s">
        <v>2400</v>
      </c>
      <c r="K267" s="88" t="n">
        <v>141</v>
      </c>
    </row>
    <row r="268" customFormat="false" ht="12.65" hidden="false" customHeight="false" outlineLevel="0" collapsed="false">
      <c r="A268" s="131" t="str">
        <f aca="false">CLEAN(B268&amp;IF(D268="","","'"&amp;H268&amp;"'"&amp;D268))</f>
        <v>$lang["youafter"]='対策後';</v>
      </c>
      <c r="B268" s="120" t="s">
        <v>2401</v>
      </c>
      <c r="D268" s="120" t="s">
        <v>2024</v>
      </c>
      <c r="E268" s="121" t="s">
        <v>227</v>
      </c>
      <c r="G268" s="122" t="n">
        <f aca="false">IF(MOD(LEN(H268) - LEN(SUBSTITUTE(H268, """", "")),2) = 1,1,0)</f>
        <v>0</v>
      </c>
      <c r="H268" s="134" t="str">
        <f aca="false">SUBSTITUTE(I268, "'", "\'")</f>
        <v>対策後</v>
      </c>
      <c r="I268" s="103" t="s">
        <v>2402</v>
      </c>
      <c r="J268" s="104" t="s">
        <v>2402</v>
      </c>
      <c r="K268" s="88" t="n">
        <v>143</v>
      </c>
    </row>
    <row r="269" customFormat="false" ht="12.65" hidden="false" customHeight="false" outlineLevel="0" collapsed="false">
      <c r="A269" s="131" t="str">
        <f aca="false">CLEAN(B269&amp;IF(D269="","","'"&amp;H269&amp;"'"&amp;D269))</f>
        <v>$lang["average"]='平均';</v>
      </c>
      <c r="B269" s="120" t="s">
        <v>2403</v>
      </c>
      <c r="D269" s="120" t="s">
        <v>2024</v>
      </c>
      <c r="E269" s="121" t="s">
        <v>227</v>
      </c>
      <c r="G269" s="122" t="n">
        <f aca="false">IF(MOD(LEN(H269) - LEN(SUBSTITUTE(H269, """", "")),2) = 1,1,0)</f>
        <v>0</v>
      </c>
      <c r="H269" s="134" t="str">
        <f aca="false">SUBSTITUTE(I269, "'", "\'")</f>
        <v>平均</v>
      </c>
      <c r="I269" s="103" t="s">
        <v>2404</v>
      </c>
      <c r="J269" s="104" t="s">
        <v>2404</v>
      </c>
      <c r="K269" s="88" t="n">
        <v>144</v>
      </c>
    </row>
    <row r="270" customFormat="false" ht="12.65" hidden="false" customHeight="false" outlineLevel="0" collapsed="false">
      <c r="A270" s="131" t="str">
        <f aca="false">CLEAN(B270&amp;IF(D270="","","'"&amp;H270&amp;"'"&amp;D270))</f>
        <v>$lang["compare"]='比較';</v>
      </c>
      <c r="B270" s="120" t="s">
        <v>2405</v>
      </c>
      <c r="D270" s="120" t="s">
        <v>2024</v>
      </c>
      <c r="E270" s="121" t="s">
        <v>227</v>
      </c>
      <c r="G270" s="122" t="n">
        <f aca="false">IF(MOD(LEN(H270) - LEN(SUBSTITUTE(H270, """", "")),2) = 1,1,0)</f>
        <v>0</v>
      </c>
      <c r="H270" s="134" t="str">
        <f aca="false">SUBSTITUTE(I270, "'", "\'")</f>
        <v>比較</v>
      </c>
      <c r="I270" s="103" t="s">
        <v>2313</v>
      </c>
      <c r="J270" s="104" t="s">
        <v>2313</v>
      </c>
      <c r="K270" s="88" t="n">
        <v>145</v>
      </c>
    </row>
    <row r="271" customFormat="false" ht="12.65" hidden="false" customHeight="false" outlineLevel="0" collapsed="false">
      <c r="A271" s="131" t="str">
        <f aca="false">B271&amp;"'"&amp;H269&amp;H270&amp;"';"</f>
        <v>$lang["comparetoaverage"]='平均比較';</v>
      </c>
      <c r="B271" s="120" t="s">
        <v>2406</v>
      </c>
      <c r="E271" s="121" t="s">
        <v>227</v>
      </c>
      <c r="G271" s="122" t="n">
        <f aca="false">IF(MOD(LEN(H271) - LEN(SUBSTITUTE(H271, """", "")),2) = 1,1,0)</f>
        <v>0</v>
      </c>
      <c r="H271" s="134" t="str">
        <f aca="false">SUBSTITUTE(I271, "'", "\'")</f>
        <v/>
      </c>
      <c r="I271" s="103"/>
      <c r="J271" s="104"/>
      <c r="K271" s="88" t="n">
        <v>146</v>
      </c>
    </row>
    <row r="272" customFormat="false" ht="12.65" hidden="false" customHeight="false" outlineLevel="0" collapsed="false">
      <c r="A272" s="131" t="str">
        <f aca="false">CLEAN(B272&amp;IF(D272="","","'"&amp;H272&amp;"'"&amp;D272))</f>
        <v>$lang["co2emission"]='CO2排出量';</v>
      </c>
      <c r="B272" s="120" t="s">
        <v>2407</v>
      </c>
      <c r="D272" s="120" t="s">
        <v>2024</v>
      </c>
      <c r="E272" s="121" t="s">
        <v>227</v>
      </c>
      <c r="G272" s="122" t="n">
        <f aca="false">IF(MOD(LEN(H272) - LEN(SUBSTITUTE(H272, """", "")),2) = 1,1,0)</f>
        <v>0</v>
      </c>
      <c r="H272" s="134" t="str">
        <f aca="false">SUBSTITUTE(I272, "'", "\'")</f>
        <v>CO2排出量</v>
      </c>
      <c r="I272" s="103" t="s">
        <v>2258</v>
      </c>
      <c r="J272" s="104" t="s">
        <v>2258</v>
      </c>
      <c r="K272" s="88" t="n">
        <v>147</v>
      </c>
    </row>
    <row r="273" customFormat="false" ht="12.65" hidden="false" customHeight="false" outlineLevel="0" collapsed="false">
      <c r="A273" s="131" t="str">
        <f aca="false">CLEAN(B273&amp;IF(D273="","","'"&amp;H273&amp;"'"&amp;D273))</f>
        <v>$lang["co2reductiontitle"]='CO2削減効果';</v>
      </c>
      <c r="B273" s="120" t="s">
        <v>2408</v>
      </c>
      <c r="D273" s="120" t="s">
        <v>2024</v>
      </c>
      <c r="E273" s="121" t="s">
        <v>227</v>
      </c>
      <c r="G273" s="122" t="n">
        <f aca="false">IF(MOD(LEN(H273) - LEN(SUBSTITUTE(H273, """", "")),2) = 1,1,0)</f>
        <v>0</v>
      </c>
      <c r="H273" s="134" t="str">
        <f aca="false">SUBSTITUTE(I273, "'", "\'")</f>
        <v>CO2削減効果</v>
      </c>
      <c r="I273" s="103" t="s">
        <v>2409</v>
      </c>
      <c r="J273" s="104" t="s">
        <v>2409</v>
      </c>
      <c r="K273" s="88" t="n">
        <v>148</v>
      </c>
    </row>
    <row r="274" customFormat="false" ht="12.65" hidden="false" customHeight="false" outlineLevel="0" collapsed="false">
      <c r="A274" s="131" t="str">
        <f aca="false">CLEAN(B274&amp;IF(D274="","","'"&amp;H274&amp;"'"&amp;D274))</f>
        <v>$lang["fee"]='光熱費';</v>
      </c>
      <c r="B274" s="120" t="s">
        <v>2410</v>
      </c>
      <c r="D274" s="120" t="s">
        <v>2024</v>
      </c>
      <c r="E274" s="121" t="s">
        <v>227</v>
      </c>
      <c r="G274" s="122" t="n">
        <f aca="false">IF(MOD(LEN(H274) - LEN(SUBSTITUTE(H274, """", "")),2) = 1,1,0)</f>
        <v>0</v>
      </c>
      <c r="H274" s="134" t="str">
        <f aca="false">SUBSTITUTE(I274, "'", "\'")</f>
        <v>光熱費</v>
      </c>
      <c r="I274" s="103" t="s">
        <v>2262</v>
      </c>
      <c r="J274" s="104" t="s">
        <v>2262</v>
      </c>
      <c r="K274" s="88" t="n">
        <v>151</v>
      </c>
    </row>
    <row r="275" customFormat="false" ht="12.65" hidden="false" customHeight="false" outlineLevel="0" collapsed="false">
      <c r="A275" s="131" t="str">
        <f aca="false">CLEAN(B275&amp;IF(D275="","","'"&amp;H275&amp;"'"&amp;D275))</f>
        <v>$lang["feereductiontitle"]='光熱費削減';</v>
      </c>
      <c r="B275" s="120" t="s">
        <v>2411</v>
      </c>
      <c r="D275" s="120" t="s">
        <v>2024</v>
      </c>
      <c r="E275" s="121" t="s">
        <v>227</v>
      </c>
      <c r="G275" s="122" t="n">
        <f aca="false">IF(MOD(LEN(H275) - LEN(SUBSTITUTE(H275, """", "")),2) = 1,1,0)</f>
        <v>0</v>
      </c>
      <c r="H275" s="134" t="str">
        <f aca="false">SUBSTITUTE(I275, "'", "\'")</f>
        <v>光熱費削減</v>
      </c>
      <c r="I275" s="103" t="s">
        <v>2412</v>
      </c>
      <c r="J275" s="104" t="s">
        <v>2412</v>
      </c>
      <c r="K275" s="88" t="n">
        <v>152</v>
      </c>
    </row>
    <row r="276" customFormat="false" ht="12.65" hidden="false" customHeight="false" outlineLevel="0" collapsed="false">
      <c r="A276" s="131" t="str">
        <f aca="false">CLEAN(B276&amp;IF(D276="","","'"&amp;H276&amp;"'"&amp;D276))</f>
        <v>$lang["initialcosttitle"]='初期投資額';</v>
      </c>
      <c r="B276" s="120" t="s">
        <v>2413</v>
      </c>
      <c r="D276" s="120" t="s">
        <v>2024</v>
      </c>
      <c r="E276" s="121" t="s">
        <v>227</v>
      </c>
      <c r="G276" s="122" t="n">
        <f aca="false">IF(MOD(LEN(H276) - LEN(SUBSTITUTE(H276, """", "")),2) = 1,1,0)</f>
        <v>0</v>
      </c>
      <c r="H276" s="134" t="str">
        <f aca="false">SUBSTITUTE(I276, "'", "\'")</f>
        <v>初期投資額</v>
      </c>
      <c r="I276" s="103" t="s">
        <v>2414</v>
      </c>
      <c r="J276" s="104" t="s">
        <v>2414</v>
      </c>
      <c r="K276" s="88" t="n">
        <v>155</v>
      </c>
    </row>
    <row r="277" customFormat="false" ht="12.65" hidden="false" customHeight="false" outlineLevel="0" collapsed="false">
      <c r="A277" s="131" t="str">
        <f aca="false">CLEAN(B277&amp;IF(D277="","","'"&amp;H277&amp;"'"&amp;D277))</f>
        <v>$lang["loadperyear"]='年間負担額';</v>
      </c>
      <c r="B277" s="120" t="s">
        <v>2415</v>
      </c>
      <c r="D277" s="120" t="s">
        <v>2024</v>
      </c>
      <c r="E277" s="121" t="s">
        <v>227</v>
      </c>
      <c r="G277" s="122" t="n">
        <f aca="false">IF(MOD(LEN(H277) - LEN(SUBSTITUTE(H277, """", "")),2) = 1,1,0)</f>
        <v>0</v>
      </c>
      <c r="H277" s="134" t="str">
        <f aca="false">SUBSTITUTE(I277, "'", "\'")</f>
        <v>年間負担額</v>
      </c>
      <c r="I277" s="103" t="s">
        <v>2416</v>
      </c>
      <c r="J277" s="104" t="s">
        <v>2416</v>
      </c>
      <c r="K277" s="88" t="n">
        <v>157</v>
      </c>
    </row>
    <row r="278" customFormat="false" ht="12.65" hidden="false" customHeight="false" outlineLevel="0" collapsed="false">
      <c r="A278" s="131" t="str">
        <f aca="false">CLEAN(B278&amp;IF(D278="","","'"&amp;H278&amp;"'"&amp;D278))</f>
        <v>$lang["primaryenergy"]='一次エネルギー消費量';</v>
      </c>
      <c r="B278" s="120" t="s">
        <v>2417</v>
      </c>
      <c r="D278" s="120" t="s">
        <v>2024</v>
      </c>
      <c r="E278" s="121" t="s">
        <v>227</v>
      </c>
      <c r="G278" s="122" t="n">
        <f aca="false">IF(MOD(LEN(H278) - LEN(SUBSTITUTE(H278, """", "")),2) = 1,1,0)</f>
        <v>0</v>
      </c>
      <c r="H278" s="134" t="str">
        <f aca="false">SUBSTITUTE(I278, "'", "\'")</f>
        <v>一次エネルギー消費量</v>
      </c>
      <c r="I278" s="103" t="s">
        <v>2418</v>
      </c>
      <c r="J278" s="104" t="s">
        <v>2418</v>
      </c>
      <c r="K278" s="88" t="n">
        <v>158</v>
      </c>
    </row>
    <row r="279" customFormat="false" ht="12.65" hidden="false" customHeight="false" outlineLevel="0" collapsed="false">
      <c r="A279" s="131" t="str">
        <f aca="false">CLEAN(B279&amp;IF(D279="","","'"&amp;H279&amp;"'"&amp;D279))</f>
        <v>$lang["other"]='その他';</v>
      </c>
      <c r="B279" s="120" t="s">
        <v>2419</v>
      </c>
      <c r="D279" s="120" t="s">
        <v>2024</v>
      </c>
      <c r="E279" s="121" t="s">
        <v>227</v>
      </c>
      <c r="G279" s="122" t="n">
        <f aca="false">IF(MOD(LEN(H279) - LEN(SUBSTITUTE(H279, """", "")),2) = 1,1,0)</f>
        <v>0</v>
      </c>
      <c r="H279" s="134" t="str">
        <f aca="false">SUBSTITUTE(I279, "'", "\'")</f>
        <v>その他</v>
      </c>
      <c r="I279" s="103" t="s">
        <v>2420</v>
      </c>
      <c r="J279" s="104" t="s">
        <v>2420</v>
      </c>
      <c r="K279" s="88" t="n">
        <v>161</v>
      </c>
    </row>
    <row r="280" customFormat="false" ht="12.65" hidden="false" customHeight="false" outlineLevel="0" collapsed="false">
      <c r="A280" s="131" t="str">
        <f aca="false">CLEAN(B280&amp;IF(D280="","","'"&amp;H280&amp;"'"&amp;D280))</f>
        <v/>
      </c>
      <c r="B280" s="120" t="s">
        <v>2058</v>
      </c>
      <c r="E280" s="121" t="s">
        <v>227</v>
      </c>
      <c r="G280" s="122" t="n">
        <f aca="false">IF(MOD(LEN(H280) - LEN(SUBSTITUTE(H280, """", "")),2) = 1,1,0)</f>
        <v>0</v>
      </c>
      <c r="H280" s="134" t="str">
        <f aca="false">SUBSTITUTE(I280, "'", "\'")</f>
        <v/>
      </c>
      <c r="I280" s="103"/>
      <c r="J280" s="104"/>
      <c r="K280" s="88" t="n">
        <v>162</v>
      </c>
    </row>
    <row r="281" customFormat="false" ht="12.65" hidden="false" customHeight="false" outlineLevel="0" collapsed="false">
      <c r="A281" s="131" t="str">
        <f aca="false">CLEAN(B281&amp;IF(D281="","","'"&amp;H281&amp;"'"&amp;D281))</f>
        <v/>
      </c>
      <c r="B281" s="120" t="s">
        <v>2058</v>
      </c>
      <c r="E281" s="121" t="s">
        <v>227</v>
      </c>
      <c r="G281" s="122" t="n">
        <f aca="false">IF(MOD(LEN(H281) - LEN(SUBSTITUTE(H281, """", "")),2) = 1,1,0)</f>
        <v>0</v>
      </c>
      <c r="H281" s="134" t="str">
        <f aca="false">SUBSTITUTE(I281, "'", "\'")</f>
        <v/>
      </c>
      <c r="I281" s="103"/>
      <c r="J281" s="104"/>
      <c r="K281" s="88" t="n">
        <v>211</v>
      </c>
    </row>
    <row r="282" customFormat="false" ht="12.65" hidden="false" customHeight="false" outlineLevel="0" collapsed="false">
      <c r="A282" s="131" t="str">
        <f aca="false">CLEAN(B282&amp;IF(D282="","","'"&amp;H282&amp;"'"&amp;D282))</f>
        <v/>
      </c>
      <c r="G282" s="122" t="n">
        <f aca="false">IF(MOD(LEN(H282) - LEN(SUBSTITUTE(H282, """", "")),2) = 1,1,0)</f>
        <v>0</v>
      </c>
      <c r="H282" s="134" t="str">
        <f aca="false">SUBSTITUTE(I282, "'", "\'")</f>
        <v/>
      </c>
      <c r="I282" s="103"/>
      <c r="J282" s="104"/>
      <c r="K282" s="88" t="n">
        <v>263</v>
      </c>
    </row>
    <row r="283" customFormat="false" ht="12.65" hidden="false" customHeight="false" outlineLevel="0" collapsed="false">
      <c r="A283" s="131" t="str">
        <f aca="false">CLEAN(B283&amp;IF(D283="","","'"&amp;H283&amp;"'"&amp;D283))</f>
        <v>//----------for office -----------------------------------------------</v>
      </c>
      <c r="B283" s="120" t="s">
        <v>2421</v>
      </c>
      <c r="G283" s="122" t="n">
        <f aca="false">IF(MOD(LEN(H283) - LEN(SUBSTITUTE(H283, """", "")),2) = 1,1,0)</f>
        <v>0</v>
      </c>
      <c r="H283" s="134" t="str">
        <f aca="false">SUBSTITUTE(I283, "'", "\'")</f>
        <v/>
      </c>
      <c r="I283" s="103"/>
      <c r="J283" s="104"/>
    </row>
    <row r="284" customFormat="false" ht="12.65" hidden="false" customHeight="false" outlineLevel="0" collapsed="false">
      <c r="A284" s="131" t="str">
        <f aca="false">CLEAN(IF(LENB(B284)&gt;1,B284&amp;IF(LENB(H284)&lt;=1,"","'"&amp;H284&amp;"';"),""))</f>
        <v>$lang['office_title']='事業所簡易省エネ診断';</v>
      </c>
      <c r="B284" s="120" t="s">
        <v>2422</v>
      </c>
      <c r="D284" s="120" t="s">
        <v>2024</v>
      </c>
      <c r="E284" s="121" t="s">
        <v>227</v>
      </c>
      <c r="G284" s="122" t="n">
        <f aca="false">IF(MOD(LEN(H284) - LEN(SUBSTITUTE(H284, """", "")),2) = 1,1,0)</f>
        <v>0</v>
      </c>
      <c r="H284" s="134" t="str">
        <f aca="false">SUBSTITUTE(I284, "'", "\'")</f>
        <v>事業所簡易省エネ診断</v>
      </c>
      <c r="I284" s="103" t="s">
        <v>2423</v>
      </c>
      <c r="J284" s="104" t="s">
        <v>2423</v>
      </c>
      <c r="K284" s="88" t="n">
        <v>5</v>
      </c>
    </row>
    <row r="285" customFormat="false" ht="12.65" hidden="false" customHeight="false" outlineLevel="0" collapsed="false">
      <c r="A285" s="131" t="str">
        <f aca="false">CLEAN(B285&amp;IF(D285="","","'"&amp;H285&amp;"'"&amp;D285))</f>
        <v>$lang["officecall"]='御社';</v>
      </c>
      <c r="B285" s="120" t="s">
        <v>2424</v>
      </c>
      <c r="D285" s="120" t="s">
        <v>2024</v>
      </c>
      <c r="E285" s="121" t="s">
        <v>227</v>
      </c>
      <c r="G285" s="122" t="n">
        <f aca="false">IF(MOD(LEN(H285) - LEN(SUBSTITUTE(H285, """", "")),2) = 1,1,0)</f>
        <v>0</v>
      </c>
      <c r="H285" s="134" t="str">
        <f aca="false">SUBSTITUTE(I285, "'", "\'")</f>
        <v>御社</v>
      </c>
      <c r="I285" s="103" t="s">
        <v>2425</v>
      </c>
      <c r="J285" s="104" t="s">
        <v>2425</v>
      </c>
      <c r="K285" s="88" t="n">
        <v>129</v>
      </c>
    </row>
    <row r="286" customFormat="false" ht="12.65" hidden="false" customHeight="false" outlineLevel="0" collapsed="false">
      <c r="A286" s="131" t="str">
        <f aca="false">CLEAN(B286&amp;IF(D286="","","'"&amp;H286&amp;"'"&amp;D286))</f>
        <v>$lang["officecount"]='事業所';</v>
      </c>
      <c r="B286" s="120" t="s">
        <v>2426</v>
      </c>
      <c r="D286" s="120" t="s">
        <v>2024</v>
      </c>
      <c r="E286" s="121" t="s">
        <v>227</v>
      </c>
      <c r="G286" s="122" t="n">
        <f aca="false">IF(MOD(LEN(H286) - LEN(SUBSTITUTE(H286, """", "")),2) = 1,1,0)</f>
        <v>0</v>
      </c>
      <c r="H286" s="134" t="str">
        <f aca="false">SUBSTITUTE(I286, "'", "\'")</f>
        <v>事業所</v>
      </c>
      <c r="I286" s="103" t="s">
        <v>2427</v>
      </c>
      <c r="J286" s="104" t="s">
        <v>2427</v>
      </c>
      <c r="K286" s="88" t="n">
        <v>130</v>
      </c>
    </row>
    <row r="287" customFormat="false" ht="12.65" hidden="false" customHeight="false" outlineLevel="0" collapsed="false">
      <c r="A287" s="131" t="str">
        <f aca="false">CLEAN(B287&amp;IF(D287="","","'"&amp;H287&amp;"'"&amp;D287))</f>
        <v>$lang["totaloffice"]='事業所全体';</v>
      </c>
      <c r="B287" s="120" t="s">
        <v>2428</v>
      </c>
      <c r="D287" s="120" t="s">
        <v>2024</v>
      </c>
      <c r="E287" s="121" t="s">
        <v>227</v>
      </c>
      <c r="G287" s="122" t="n">
        <f aca="false">IF(MOD(LEN(H287) - LEN(SUBSTITUTE(H287, """", "")),2) = 1,1,0)</f>
        <v>0</v>
      </c>
      <c r="H287" s="134" t="str">
        <f aca="false">SUBSTITUTE(I287, "'", "\'")</f>
        <v>事業所全体</v>
      </c>
      <c r="I287" s="103" t="s">
        <v>2429</v>
      </c>
      <c r="J287" s="104" t="s">
        <v>2429</v>
      </c>
      <c r="K287" s="88" t="n">
        <v>132</v>
      </c>
    </row>
    <row r="288" customFormat="false" ht="12.65" hidden="false" customHeight="false" outlineLevel="0" collapsed="false">
      <c r="A288" s="131" t="str">
        <f aca="false">B288&amp;"'"&amp;H286&amp;H288&amp;"';"</f>
        <v>$lang["officenow"]='事業所現状';</v>
      </c>
      <c r="B288" s="120" t="s">
        <v>2430</v>
      </c>
      <c r="D288" s="120" t="s">
        <v>2024</v>
      </c>
      <c r="E288" s="121" t="s">
        <v>227</v>
      </c>
      <c r="G288" s="122" t="n">
        <f aca="false">IF(MOD(LEN(H288) - LEN(SUBSTITUTE(H288, """", "")),2) = 1,1,0)</f>
        <v>0</v>
      </c>
      <c r="H288" s="134" t="str">
        <f aca="false">SUBSTITUTE(I288, "'", "\'")</f>
        <v>現状</v>
      </c>
      <c r="I288" s="103" t="s">
        <v>2400</v>
      </c>
      <c r="J288" s="104" t="s">
        <v>2400</v>
      </c>
      <c r="K288" s="88" t="n">
        <v>142</v>
      </c>
    </row>
    <row r="289" customFormat="false" ht="12.65" hidden="false" customHeight="false" outlineLevel="0" collapsed="false">
      <c r="A289" s="135" t="str">
        <f aca="false">CLEAN(B289&amp;"'function("&amp;H289&amp;") {return "&amp;H290&amp;"};';")</f>
        <v>$lang["compareoffice"]='function(target) {return "同じ規模の" + target};';</v>
      </c>
      <c r="B289" s="120" t="s">
        <v>2431</v>
      </c>
      <c r="E289" s="121" t="s">
        <v>2061</v>
      </c>
      <c r="G289" s="122" t="n">
        <f aca="false">IF(MOD(LEN(H289) - LEN(SUBSTITUTE(H289, """", "")),2) = 1,1,0)</f>
        <v>0</v>
      </c>
      <c r="H289" s="134" t="str">
        <f aca="false">SUBSTITUTE(I289, "'", "\'")</f>
        <v>target</v>
      </c>
      <c r="I289" s="103" t="s">
        <v>29</v>
      </c>
      <c r="J289" s="104"/>
      <c r="K289" s="88" t="n">
        <v>137</v>
      </c>
    </row>
    <row r="290" customFormat="false" ht="12.65" hidden="false" customHeight="false" outlineLevel="0" collapsed="false">
      <c r="A290" s="135" t="str">
        <f aca="false">CLEAN(IF(LENB(B290)&gt;1,B290&amp;IF(LENB(H290)&lt;=1,"","'"&amp;H290&amp;"';"),""))</f>
        <v/>
      </c>
      <c r="E290" s="121" t="s">
        <v>2063</v>
      </c>
      <c r="G290" s="122" t="n">
        <f aca="false">IF(MOD(LEN(H290) - LEN(SUBSTITUTE(H290, """", "")),2) = 1,1,0)</f>
        <v>0</v>
      </c>
      <c r="H290" s="134" t="str">
        <f aca="false">SUBSTITUTE(I290, "'", "\'")</f>
        <v>"同じ規模の" + target</v>
      </c>
      <c r="I290" s="103" t="s">
        <v>2432</v>
      </c>
      <c r="J290" s="104" t="s">
        <v>2433</v>
      </c>
      <c r="K290" s="88" t="n">
        <v>138</v>
      </c>
    </row>
    <row r="291" customFormat="false" ht="12.65" hidden="false" customHeight="false" outlineLevel="0" collapsed="false">
      <c r="A291" s="131" t="str">
        <f aca="false">CLEAN(IF(LENB(B291)&gt;1,B291&amp;IF(LENB(H291)&lt;=1,"","'"&amp;H291&amp;"';"),""))</f>
        <v/>
      </c>
      <c r="E291" s="121" t="s">
        <v>227</v>
      </c>
      <c r="G291" s="122" t="n">
        <f aca="false">IF(MOD(LEN(H291) - LEN(SUBSTITUTE(H291, """", "")),2) = 1,1,0)</f>
        <v>0</v>
      </c>
      <c r="H291" s="134" t="str">
        <f aca="false">SUBSTITUTE(I291, "'", "\'")</f>
        <v/>
      </c>
      <c r="I291" s="103"/>
      <c r="J291" s="104"/>
      <c r="K291" s="88" t="n">
        <v>139</v>
      </c>
    </row>
    <row r="292" customFormat="false" ht="12.65" hidden="false" customHeight="false" outlineLevel="0" collapsed="false">
      <c r="A292" s="131" t="str">
        <f aca="false">CLEAN(IF(LENB(B292)&gt;1,B292&amp;IF(LENB(H292)&lt;=1,"","'"&amp;H292&amp;"';"),""))</f>
        <v>$lang['button_demand']='デマンド';</v>
      </c>
      <c r="B292" s="120" t="s">
        <v>2434</v>
      </c>
      <c r="D292" s="120" t="s">
        <v>2024</v>
      </c>
      <c r="E292" s="121" t="s">
        <v>227</v>
      </c>
      <c r="G292" s="122" t="n">
        <f aca="false">IF(MOD(LEN(H292) - LEN(SUBSTITUTE(H292, """", "")),2) = 1,1,0)</f>
        <v>0</v>
      </c>
      <c r="H292" s="134" t="str">
        <f aca="false">SUBSTITUTE(I292, "'", "\'")</f>
        <v>デマンド</v>
      </c>
      <c r="I292" s="103" t="s">
        <v>2435</v>
      </c>
      <c r="J292" s="104" t="s">
        <v>2435</v>
      </c>
      <c r="K292" s="88" t="n">
        <v>61</v>
      </c>
    </row>
    <row r="293" customFormat="false" ht="12.65" hidden="false" customHeight="false" outlineLevel="0" collapsed="false">
      <c r="A293" s="131" t="str">
        <f aca="false">CLEAN(IF(LENB(B293)&gt;1,B293&amp;IF(LENB(H293)&lt;=1,"","'"&amp;H293&amp;"';"),""))</f>
        <v/>
      </c>
      <c r="E293" s="121" t="s">
        <v>227</v>
      </c>
      <c r="G293" s="122" t="n">
        <f aca="false">IF(MOD(LEN(H293) - LEN(SUBSTITUTE(H293, """", "")),2) = 1,1,0)</f>
        <v>0</v>
      </c>
      <c r="H293" s="134" t="str">
        <f aca="false">SUBSTITUTE(I293, "'", "\'")</f>
        <v/>
      </c>
      <c r="I293" s="103"/>
      <c r="J293" s="104"/>
    </row>
    <row r="294" customFormat="false" ht="12.65" hidden="false" customHeight="false" outlineLevel="0" collapsed="false">
      <c r="A294" s="131" t="str">
        <f aca="false">CLEAN(IF(LENB(B294)&gt;1,B294&amp;IF(LENB(H294)&lt;=1,"","'"&amp;H294&amp;"';"),""))</f>
        <v>//----------7 lifegame -----------------------------------------------</v>
      </c>
      <c r="B294" s="120" t="s">
        <v>2436</v>
      </c>
      <c r="E294" s="121" t="s">
        <v>227</v>
      </c>
      <c r="G294" s="122" t="n">
        <f aca="false">IF(MOD(LEN(H294) - LEN(SUBSTITUTE(H294, """", "")),2) = 1,1,0)</f>
        <v>0</v>
      </c>
      <c r="H294" s="134" t="str">
        <f aca="false">SUBSTITUTE(I294, "'", "\'")</f>
        <v/>
      </c>
      <c r="I294" s="103"/>
      <c r="J294" s="104"/>
    </row>
    <row r="295" customFormat="false" ht="12.65" hidden="false" customHeight="false" outlineLevel="0" collapsed="false">
      <c r="A295" s="131" t="str">
        <f aca="false">CLEAN(IF(LENB(B295)&gt;1,B295&amp;IF(LENB(H295)&lt;=1,"","'"&amp;H295&amp;"';"),""))</f>
        <v>$lang['home_lifegame_title']='CO2ゼロ時代サバイバル';</v>
      </c>
      <c r="B295" s="120" t="s">
        <v>2437</v>
      </c>
      <c r="E295" s="121" t="s">
        <v>227</v>
      </c>
      <c r="G295" s="122" t="n">
        <f aca="false">IF(MOD(LEN(H295) - LEN(SUBSTITUTE(H295, """", "")),2) = 1,1,0)</f>
        <v>0</v>
      </c>
      <c r="H295" s="134" t="str">
        <f aca="false">SUBSTITUTE(I295, "'", "\'")</f>
        <v>CO2ゼロ時代サバイバル</v>
      </c>
      <c r="I295" s="103" t="s">
        <v>2438</v>
      </c>
      <c r="J295" s="104"/>
    </row>
    <row r="296" customFormat="false" ht="12.65" hidden="false" customHeight="false" outlineLevel="0" collapsed="false">
      <c r="A296" s="131" t="str">
        <f aca="false">CLEAN(IF(LENB(B296)&gt;1,B296&amp;IF(LENB(H296)&lt;=1,"","'"&amp;H296&amp;"';"),""))</f>
        <v>$lang['home_lifegame_toptitle']='あなたの月の収入が1万円あがりました！';</v>
      </c>
      <c r="B296" s="120" t="s">
        <v>2439</v>
      </c>
      <c r="E296" s="121" t="s">
        <v>227</v>
      </c>
      <c r="G296" s="122" t="n">
        <f aca="false">IF(MOD(LEN(H296) - LEN(SUBSTITUTE(H296, """", "")),2) = 1,1,0)</f>
        <v>0</v>
      </c>
      <c r="H296" s="134" t="str">
        <f aca="false">SUBSTITUTE(I296, "'", "\'")</f>
        <v>あなたの月の収入が1万円あがりました！</v>
      </c>
      <c r="I296" s="103" t="s">
        <v>2440</v>
      </c>
      <c r="J296" s="104"/>
    </row>
    <row r="297" customFormat="false" ht="30.55" hidden="false" customHeight="false" outlineLevel="0" collapsed="false">
      <c r="A297" s="131" t="str">
        <f aca="false">CLEAN(IF(LENB(B297)&gt;1,B297&amp;IF(LENB(H297)&lt;=1,"","'"&amp;H297&amp;"';"),""))</f>
        <v>$lang['home_lifegame_top1']='　景気が良くなったのか、あなたの仕事が認められるようになったのかわかりませんが、収入が月1万円増えました。おめでとうございます。え？たいした額ではないですって？　まあそう謙遜しなくても結構です。';</v>
      </c>
      <c r="B297" s="120" t="s">
        <v>2441</v>
      </c>
      <c r="E297" s="121" t="s">
        <v>227</v>
      </c>
      <c r="G297" s="122" t="n">
        <f aca="false">IF(MOD(LEN(H297) - LEN(SUBSTITUTE(H297, """", "")),2) = 1,1,0)</f>
        <v>0</v>
      </c>
      <c r="H297" s="134" t="str">
        <f aca="false">SUBSTITUTE(I297, "'", "\'")</f>
        <v>　景気が良くなったのか、あなたの仕事が認められるようになったのかわかりませんが、収入が月1万円増えました。おめでとうございます。え？たいした額ではないですって？　まあそう謙遜しなくても結構です。</v>
      </c>
      <c r="I297" s="103" t="s">
        <v>2442</v>
      </c>
      <c r="J297" s="104"/>
    </row>
    <row r="298" customFormat="false" ht="49.95" hidden="false" customHeight="false" outlineLevel="0" collapsed="false">
      <c r="A298" s="131" t="str">
        <f aca="false">CLEAN(IF(LENB(B298)&gt;1,B298&amp;IF(LENB(H298)&lt;=1,"","'"&amp;H298&amp;"';"),""))</f>
        <v>$lang['home_lifegame_top2']='　何に使おうが自由なのですが、あまり自由に消費すると、人類がこの地球上で生存できなくなることが明らかになっています。気候変動（地球温暖化）問題です。21世紀中には石油や石炭が使えなくすることが、世界中で合意されています。というわけで、この毎月の1万円を使って、あなたの生活のCO2排出をゼロにしてください。';</v>
      </c>
      <c r="B298" s="120" t="s">
        <v>2443</v>
      </c>
      <c r="E298" s="121" t="s">
        <v>227</v>
      </c>
      <c r="G298" s="122" t="n">
        <f aca="false">IF(MOD(LEN(H298) - LEN(SUBSTITUTE(H298, """", "")),2) = 1,1,0)</f>
        <v>0</v>
      </c>
      <c r="H298" s="134" t="str">
        <f aca="false">SUBSTITUTE(I298, "'", "\'")</f>
        <v>　何に使おうが自由なのですが、あまり自由に消費すると、人類がこの地球上で生存できなくなることが明らかになっています。気候変動（地球温暖化）問題です。21世紀中には石油や石炭が使えなくすることが、世界中で合意されています。というわけで、この毎月の1万円を使って、あなたの生活のCO2排出をゼロにしてください。</v>
      </c>
      <c r="I298" s="103" t="s">
        <v>2444</v>
      </c>
      <c r="J298" s="104"/>
    </row>
    <row r="299" customFormat="false" ht="20.85" hidden="false" customHeight="false" outlineLevel="0" collapsed="false">
      <c r="A299" s="131" t="str">
        <f aca="false">CLEAN(IF(LENB(B299)&gt;1,B299&amp;IF(LENB(H299)&lt;=1,"","'"&amp;H299&amp;"';"),""))</f>
        <v>$lang['home_lifegame_top3']='　ありがとうございます。何年かかっても構いませんが、生きている間にはゼロにしましょう。ただし追加で支払うお金は、月1万円です。';</v>
      </c>
      <c r="B299" s="120" t="s">
        <v>2445</v>
      </c>
      <c r="E299" s="121" t="s">
        <v>227</v>
      </c>
      <c r="G299" s="122" t="n">
        <f aca="false">IF(MOD(LEN(H299) - LEN(SUBSTITUTE(H299, """", "")),2) = 1,1,0)</f>
        <v>0</v>
      </c>
      <c r="H299" s="134" t="str">
        <f aca="false">SUBSTITUTE(I299, "'", "\'")</f>
        <v>　ありがとうございます。何年かかっても構いませんが、生きている間にはゼロにしましょう。ただし追加で支払うお金は、月1万円です。</v>
      </c>
      <c r="I299" s="103" t="s">
        <v>2446</v>
      </c>
      <c r="J299" s="104"/>
    </row>
    <row r="300" customFormat="false" ht="30.55" hidden="false" customHeight="false" outlineLevel="0" collapsed="false">
      <c r="A300" s="131" t="str">
        <f aca="false">CLEAN(IF(LENB(B300)&gt;1,B300&amp;IF(LENB(H300)&lt;=1,"","'"&amp;H300&amp;"';"),""))</f>
        <v>$lang['home_lifegame_top3b']='　ところであなたは、もしかして、&lt;br&gt;&lt;ul&gt;&lt;li&gt;25歳独身、賃貸アパートぐらし&lt;/li&gt;&lt;li&gt;光熱費日本平均&lt;/li&gt;&lt;/ul&gt;の生活をされている方ですか？';</v>
      </c>
      <c r="B300" s="120" t="s">
        <v>2447</v>
      </c>
      <c r="E300" s="121" t="s">
        <v>227</v>
      </c>
      <c r="G300" s="122" t="n">
        <f aca="false">IF(MOD(LEN(H300) - LEN(SUBSTITUTE(H300, """", "")),2) = 1,1,0)</f>
        <v>0</v>
      </c>
      <c r="H300" s="134" t="str">
        <f aca="false">SUBSTITUTE(I300, "'", "\'")</f>
        <v>　ところであなたは、もしかして、&lt;br&gt;&lt;ul&gt;&lt;li&gt;25歳独身、賃貸アパートぐらし&lt;/li&gt;&lt;li&gt;光熱費日本平均&lt;/li&gt;&lt;/ul&gt;の生活をされている方ですか？</v>
      </c>
      <c r="I300" s="103" t="s">
        <v>2448</v>
      </c>
      <c r="J300" s="104"/>
    </row>
    <row r="301" customFormat="false" ht="12" hidden="false" customHeight="false" outlineLevel="0" collapsed="false">
      <c r="A301" s="131" t="str">
        <f aca="false">CLEAN(IF(LENB(B301)&gt;1,B301&amp;IF(LENB(H301)&lt;=1,"","'"&amp;H301&amp;"';"),""))</f>
        <v>$lang['home_lifegame_toptitle4']='取り組みを選んでください';</v>
      </c>
      <c r="B301" s="120" t="s">
        <v>2449</v>
      </c>
      <c r="E301" s="121" t="s">
        <v>227</v>
      </c>
      <c r="G301" s="122" t="n">
        <f aca="false">IF(MOD(LEN(H301) - LEN(SUBSTITUTE(H301, """", "")),2) = 1,1,0)</f>
        <v>0</v>
      </c>
      <c r="H301" s="134" t="str">
        <f aca="false">SUBSTITUTE(I301, "'", "\'")</f>
        <v>取り組みを選んでください</v>
      </c>
      <c r="I301" s="103" t="s">
        <v>2450</v>
      </c>
      <c r="J301" s="104"/>
    </row>
    <row r="302" customFormat="false" ht="40.25" hidden="false" customHeight="false" outlineLevel="0" collapsed="false">
      <c r="A302" s="131" t="str">
        <f aca="false">CLEAN(IF(LENB(B302)&gt;1,B302&amp;IF(LENB(H302)&lt;=1,"","'"&amp;H302&amp;"';"),""))</f>
        <v>$lang['home_lifegame_top4']='　最初なので、まだ使える予算は1万円しかありません。1万円以内で取り組めること、お金がかからない取り組みにはこのようなものがあります。ただし、1回の選択では3項目までしか選ぶことはできません。それ以上選んでも、人間は忘れてしまいます。';</v>
      </c>
      <c r="B302" s="120" t="s">
        <v>2451</v>
      </c>
      <c r="E302" s="121" t="s">
        <v>227</v>
      </c>
      <c r="G302" s="122" t="n">
        <f aca="false">IF(MOD(LEN(H302) - LEN(SUBSTITUTE(H302, """", "")),2) = 1,1,0)</f>
        <v>0</v>
      </c>
      <c r="H302" s="134" t="str">
        <f aca="false">SUBSTITUTE(I302, "'", "\'")</f>
        <v>　最初なので、まだ使える予算は1万円しかありません。1万円以内で取り組めること、お金がかからない取り組みにはこのようなものがあります。ただし、1回の選択では3項目までしか選ぶことはできません。それ以上選んでも、人間は忘れてしまいます。</v>
      </c>
      <c r="I302" s="103" t="s">
        <v>2452</v>
      </c>
      <c r="J302" s="104"/>
    </row>
    <row r="303" customFormat="false" ht="12" hidden="false" customHeight="false" outlineLevel="0" collapsed="false">
      <c r="A303" s="131" t="str">
        <f aca="false">CLEAN(IF(LENB(B303)&gt;1,B303&amp;IF(LENB(H303)&lt;=1,"","'"&amp;H303&amp;"';"),""))</f>
        <v>$lang['home_lifegame_toptitle5']='取り組みありがとうございます';</v>
      </c>
      <c r="B303" s="120" t="s">
        <v>2453</v>
      </c>
      <c r="E303" s="121" t="s">
        <v>227</v>
      </c>
      <c r="G303" s="122" t="n">
        <f aca="false">IF(MOD(LEN(H303) - LEN(SUBSTITUTE(H303, """", "")),2) = 1,1,0)</f>
        <v>0</v>
      </c>
      <c r="H303" s="134" t="str">
        <f aca="false">SUBSTITUTE(I303, "'", "\'")</f>
        <v>取り組みありがとうございます</v>
      </c>
      <c r="I303" s="103" t="s">
        <v>2454</v>
      </c>
      <c r="J303" s="104"/>
    </row>
    <row r="304" customFormat="false" ht="20.85" hidden="false" customHeight="false" outlineLevel="0" collapsed="false">
      <c r="A304" s="131" t="str">
        <f aca="false">CLEAN(IF(LENB(B304)&gt;1,B304&amp;IF(LENB(H304)&lt;=1,"","'"&amp;H304&amp;"';"),""))</f>
        <v>$lang['home_lifegame_top5']='　○○、○○の取り組みを実行しました。このため○万円のお金が使われ、残りは○万円になりました。';</v>
      </c>
      <c r="B304" s="120" t="s">
        <v>2455</v>
      </c>
      <c r="E304" s="121" t="s">
        <v>227</v>
      </c>
      <c r="G304" s="122" t="n">
        <f aca="false">IF(MOD(LEN(H304) - LEN(SUBSTITUTE(H304, """", "")),2) = 1,1,0)</f>
        <v>0</v>
      </c>
      <c r="H304" s="134" t="str">
        <f aca="false">SUBSTITUTE(I304, "'", "\'")</f>
        <v>　○○、○○の取り組みを実行しました。このため○万円のお金が使われ、残りは○万円になりました。</v>
      </c>
      <c r="I304" s="103" t="s">
        <v>2456</v>
      </c>
      <c r="J304" s="104"/>
    </row>
    <row r="305" customFormat="false" ht="12" hidden="false" customHeight="false" outlineLevel="0" collapsed="false">
      <c r="A305" s="131" t="str">
        <f aca="false">CLEAN(IF(LENB(B305)&gt;1,B305&amp;IF(LENB(H305)&lt;=1,"","'"&amp;H305&amp;"';"),""))</f>
        <v>$lang['home_lifegame_toptitle6']='効果があらわれました';</v>
      </c>
      <c r="B305" s="120" t="s">
        <v>2457</v>
      </c>
      <c r="E305" s="121" t="s">
        <v>227</v>
      </c>
      <c r="G305" s="122" t="n">
        <f aca="false">IF(MOD(LEN(H305) - LEN(SUBSTITUTE(H305, """", "")),2) = 1,1,0)</f>
        <v>0</v>
      </c>
      <c r="H305" s="134" t="str">
        <f aca="false">SUBSTITUTE(I305, "'", "\'")</f>
        <v>効果があらわれました</v>
      </c>
      <c r="I305" s="103" t="s">
        <v>2458</v>
      </c>
      <c r="J305" s="104"/>
    </row>
    <row r="306" customFormat="false" ht="30.55" hidden="false" customHeight="false" outlineLevel="0" collapsed="false">
      <c r="A306" s="131" t="str">
        <f aca="false">CLEAN(IF(LENB(B306)&gt;1,B306&amp;IF(LENB(H306)&lt;=1,"","'"&amp;H306&amp;"';"),""))</f>
        <v>$lang['home_lifegame_top6']='　けれども、取り組みにより毎月○万円が追加で安くなりました。もし何もしなかった場合と比較すると、今までの積み重ねで、毎月○万円安くなっています。CO2排出量は、初期状態から○%減になっています。';</v>
      </c>
      <c r="B306" s="120" t="s">
        <v>2459</v>
      </c>
      <c r="E306" s="121" t="s">
        <v>227</v>
      </c>
      <c r="G306" s="122" t="n">
        <f aca="false">IF(MOD(LEN(H306) - LEN(SUBSTITUTE(H306, """", "")),2) = 1,1,0)</f>
        <v>0</v>
      </c>
      <c r="H306" s="134" t="str">
        <f aca="false">SUBSTITUTE(I306, "'", "\'")</f>
        <v>　けれども、取り組みにより毎月○万円が追加で安くなりました。もし何もしなかった場合と比較すると、今までの積み重ねで、毎月○万円安くなっています。CO2排出量は、初期状態から○%減になっています。</v>
      </c>
      <c r="I306" s="103" t="s">
        <v>2460</v>
      </c>
      <c r="J306" s="104"/>
    </row>
    <row r="307" customFormat="false" ht="30.55" hidden="false" customHeight="false" outlineLevel="0" collapsed="false">
      <c r="A307" s="131" t="str">
        <f aca="false">CLEAN(IF(LENB(B307)&gt;1,B307&amp;IF(LENB(H307)&lt;=1,"","'"&amp;H307&amp;"';"),""))</f>
        <v>$lang['home_lifegame_top6b']='　1年間が経過し、収入が上がった分、12万円が追加で使えます。加えて、1年の光熱費削減により、○万円が使えます。使えるお金は、○万円から○万円に増加しました。';</v>
      </c>
      <c r="B307" s="120" t="s">
        <v>2461</v>
      </c>
      <c r="E307" s="121" t="s">
        <v>227</v>
      </c>
      <c r="G307" s="122" t="n">
        <f aca="false">IF(MOD(LEN(H307) - LEN(SUBSTITUTE(H307, """", "")),2) = 1,1,0)</f>
        <v>0</v>
      </c>
      <c r="H307" s="134" t="str">
        <f aca="false">SUBSTITUTE(I307, "'", "\'")</f>
        <v>　1年間が経過し、収入が上がった分、12万円が追加で使えます。加えて、1年の光熱費削減により、○万円が使えます。使えるお金は、○万円から○万円に増加しました。</v>
      </c>
      <c r="I307" s="103" t="s">
        <v>2462</v>
      </c>
      <c r="J307" s="104"/>
    </row>
    <row r="308" customFormat="false" ht="12" hidden="false" customHeight="false" outlineLevel="0" collapsed="false">
      <c r="A308" s="131" t="str">
        <f aca="false">CLEAN(IF(LENB(B308)&gt;1,B308&amp;IF(LENB(H308)&lt;=1,"","'"&amp;H308&amp;"';"),""))</f>
        <v>$lang['home_lifegame_toptitle7']='取り組み時期になりました';</v>
      </c>
      <c r="B308" s="120" t="s">
        <v>2463</v>
      </c>
      <c r="E308" s="121" t="s">
        <v>227</v>
      </c>
      <c r="G308" s="122" t="n">
        <f aca="false">IF(MOD(LEN(H308) - LEN(SUBSTITUTE(H308, """", "")),2) = 1,1,0)</f>
        <v>0</v>
      </c>
      <c r="H308" s="134" t="str">
        <f aca="false">SUBSTITUTE(I308, "'", "\'")</f>
        <v>取り組み時期になりました</v>
      </c>
      <c r="I308" s="103" t="s">
        <v>2464</v>
      </c>
      <c r="J308" s="104"/>
    </row>
    <row r="309" customFormat="false" ht="30.55" hidden="false" customHeight="false" outlineLevel="0" collapsed="false">
      <c r="A309" s="131" t="str">
        <f aca="false">CLEAN(IF(LENB(B309)&gt;1,B309&amp;IF(LENB(H309)&lt;=1,"","'"&amp;H309&amp;"';"),""))</f>
        <v>$lang['home_lifegame_top7']='　現在、使える予算は○万円あります。この金額以内で取り組めること、お金がかからない取り組みにはこのようなものがあります。取り組む項目を選んでください。';</v>
      </c>
      <c r="B309" s="120" t="s">
        <v>2465</v>
      </c>
      <c r="E309" s="121" t="s">
        <v>227</v>
      </c>
      <c r="G309" s="122" t="n">
        <f aca="false">IF(MOD(LEN(H309) - LEN(SUBSTITUTE(H309, """", "")),2) = 1,1,0)</f>
        <v>0</v>
      </c>
      <c r="H309" s="134" t="str">
        <f aca="false">SUBSTITUTE(I309, "'", "\'")</f>
        <v>　現在、使える予算は○万円あります。この金額以内で取り組めること、お金がかからない取り組みにはこのようなものがあります。取り組む項目を選んでください。</v>
      </c>
      <c r="I309" s="103" t="s">
        <v>2466</v>
      </c>
      <c r="J309" s="104"/>
    </row>
    <row r="310" customFormat="false" ht="12" hidden="false" customHeight="false" outlineLevel="0" collapsed="false">
      <c r="A310" s="131" t="str">
        <f aca="false">CLEAN(IF(LENB(B310)&gt;1,B310&amp;IF(LENB(H310)&lt;=1,"","'"&amp;H310&amp;"';"),""))</f>
        <v>$lang['home_lifegame_toptitle90']='あなたの設定を選んでください';</v>
      </c>
      <c r="B310" s="120" t="s">
        <v>2467</v>
      </c>
      <c r="E310" s="121" t="s">
        <v>227</v>
      </c>
      <c r="G310" s="122" t="n">
        <f aca="false">IF(MOD(LEN(H310) - LEN(SUBSTITUTE(H310, """", "")),2) = 1,1,0)</f>
        <v>0</v>
      </c>
      <c r="H310" s="134" t="str">
        <f aca="false">SUBSTITUTE(I310, "'", "\'")</f>
        <v>あなたの設定を選んでください</v>
      </c>
      <c r="I310" s="103" t="s">
        <v>2468</v>
      </c>
      <c r="J310" s="104"/>
    </row>
    <row r="311" customFormat="false" ht="20.85" hidden="false" customHeight="false" outlineLevel="0" collapsed="false">
      <c r="A311" s="131" t="str">
        <f aca="false">CLEAN(IF(LENB(B311)&gt;1,B311&amp;IF(LENB(H311)&lt;=1,"","'"&amp;H311&amp;"';"),""))</f>
        <v>$lang['home_lifegame_top90']='　現在の生活を選ぶと、現在から本当にCO2をゼロにしていくシミュレーションが始まります。';</v>
      </c>
      <c r="B311" s="120" t="s">
        <v>2469</v>
      </c>
      <c r="E311" s="121" t="s">
        <v>227</v>
      </c>
      <c r="G311" s="122" t="n">
        <f aca="false">IF(MOD(LEN(H311) - LEN(SUBSTITUTE(H311, """", "")),2) = 1,1,0)</f>
        <v>0</v>
      </c>
      <c r="H311" s="134" t="str">
        <f aca="false">SUBSTITUTE(I311, "'", "\'")</f>
        <v>　現在の生活を選ぶと、現在から本当にCO2をゼロにしていくシミュレーションが始まります。</v>
      </c>
      <c r="I311" s="103" t="s">
        <v>2470</v>
      </c>
      <c r="J311" s="104"/>
    </row>
    <row r="312" customFormat="false" ht="12" hidden="false" customHeight="false" outlineLevel="0" collapsed="false">
      <c r="A312" s="131" t="str">
        <f aca="false">CLEAN(IF(LENB(B312)&gt;1,B312&amp;IF(LENB(H312)&lt;=1,"","'"&amp;H312&amp;"';"),""))</f>
        <v>$lang['home_lifegame_toptitle99']='死にました。おつかれさまでした。';</v>
      </c>
      <c r="B312" s="120" t="s">
        <v>2471</v>
      </c>
      <c r="E312" s="121" t="s">
        <v>227</v>
      </c>
      <c r="G312" s="122" t="n">
        <f aca="false">IF(MOD(LEN(H312) - LEN(SUBSTITUTE(H312, """", "")),2) = 1,1,0)</f>
        <v>0</v>
      </c>
      <c r="H312" s="134" t="str">
        <f aca="false">SUBSTITUTE(I312, "'", "\'")</f>
        <v>死にました。おつかれさまでした。</v>
      </c>
      <c r="I312" s="103" t="s">
        <v>2472</v>
      </c>
      <c r="J312" s="104"/>
    </row>
    <row r="313" customFormat="false" ht="49.95" hidden="false" customHeight="false" outlineLevel="0" collapsed="false">
      <c r="A313" s="131" t="str">
        <f aca="false">CLEAN(IF(LENB(B313)&gt;1,B313&amp;IF(LENB(H313)&lt;=1,"","'"&amp;H313&amp;"';"),""))</f>
        <v>$lang['home_lifegame_top99']='　人類は地球温暖化の進行を止めることができず、巨大な暴風雨で都市が壊滅状態となることが繰り返されました。世界の食料生産地では水不足が深刻化し、食料が世界的に不足し、食料をめぐる戦争が各地で起こりました。幸いなことに、あなたは、小さな子どもたちが苦しみ悲しむ姿を見ることなく、無事にあの世に行くことができました。よかったですね。';</v>
      </c>
      <c r="B313" s="120" t="s">
        <v>2473</v>
      </c>
      <c r="E313" s="121" t="s">
        <v>227</v>
      </c>
      <c r="G313" s="122" t="n">
        <f aca="false">IF(MOD(LEN(H313) - LEN(SUBSTITUTE(H313, """", "")),2) = 1,1,0)</f>
        <v>0</v>
      </c>
      <c r="H313" s="134" t="str">
        <f aca="false">SUBSTITUTE(I313, "'", "\'")</f>
        <v>　人類は地球温暖化の進行を止めることができず、巨大な暴風雨で都市が壊滅状態となることが繰り返されました。世界の食料生産地では水不足が深刻化し、食料が世界的に不足し、食料をめぐる戦争が各地で起こりました。幸いなことに、あなたは、小さな子どもたちが苦しみ悲しむ姿を見ることなく、無事にあの世に行くことができました。よかったですね。</v>
      </c>
      <c r="I313" s="103" t="s">
        <v>2474</v>
      </c>
      <c r="J313" s="104"/>
    </row>
    <row r="314" customFormat="false" ht="12.65" hidden="false" customHeight="false" outlineLevel="0" collapsed="false">
      <c r="A314" s="131" t="str">
        <f aca="false">CLEAN(IF(LENB(B314)&gt;1,B314&amp;IF(LENB(H314)&lt;=1,"","'"&amp;H314&amp;"';"),""))</f>
        <v/>
      </c>
      <c r="E314" s="121" t="s">
        <v>227</v>
      </c>
      <c r="G314" s="122" t="n">
        <f aca="false">IF(MOD(LEN(H314) - LEN(SUBSTITUTE(H314, """", "")),2) = 1,1,0)</f>
        <v>0</v>
      </c>
      <c r="H314" s="134" t="str">
        <f aca="false">SUBSTITUTE(I314, "'", "\'")</f>
        <v/>
      </c>
      <c r="I314" s="103"/>
      <c r="J314" s="104"/>
    </row>
    <row r="315" customFormat="false" ht="12.65" hidden="false" customHeight="false" outlineLevel="0" collapsed="false">
      <c r="A315" s="131" t="str">
        <f aca="false">CLEAN(IF(LENB(B315)&gt;1,B315&amp;IF(LENB(H315)&lt;=1,"","'"&amp;H315&amp;"';"),""))</f>
        <v/>
      </c>
      <c r="E315" s="121" t="s">
        <v>227</v>
      </c>
      <c r="G315" s="122" t="n">
        <f aca="false">IF(MOD(LEN(H315) - LEN(SUBSTITUTE(H315, """", "")),2) = 1,1,0)</f>
        <v>0</v>
      </c>
      <c r="H315" s="134" t="str">
        <f aca="false">SUBSTITUTE(I315, "'", "\'")</f>
        <v/>
      </c>
      <c r="I315" s="103"/>
      <c r="J315" s="104"/>
    </row>
    <row r="316" customFormat="false" ht="12.65" hidden="false" customHeight="false" outlineLevel="0" collapsed="false">
      <c r="A316" s="131" t="str">
        <f aca="false">CLEAN(IF(LENB(B316)&gt;1,B316&amp;IF(LENB(H316)&lt;=1,"","'"&amp;H316&amp;"';"),""))</f>
        <v>$lang['button_end']='やめる';</v>
      </c>
      <c r="B316" s="120" t="s">
        <v>2475</v>
      </c>
      <c r="D316" s="120" t="s">
        <v>2024</v>
      </c>
      <c r="E316" s="121" t="s">
        <v>227</v>
      </c>
      <c r="G316" s="122" t="n">
        <f aca="false">IF(MOD(LEN(H316) - LEN(SUBSTITUTE(H316, """", "")),2) = 1,1,0)</f>
        <v>0</v>
      </c>
      <c r="H316" s="134" t="str">
        <f aca="false">SUBSTITUTE(I316, "'", "\'")</f>
        <v>やめる</v>
      </c>
      <c r="I316" s="103" t="s">
        <v>2476</v>
      </c>
      <c r="J316" s="104" t="s">
        <v>2236</v>
      </c>
      <c r="K316" s="88" t="n">
        <v>91</v>
      </c>
    </row>
    <row r="317" customFormat="false" ht="12.65" hidden="false" customHeight="false" outlineLevel="0" collapsed="false">
      <c r="A317" s="131" t="str">
        <f aca="false">CLEAN(IF(LENB(B317)&gt;1,B317&amp;IF(LENB(H317)&lt;=1,"","'"&amp;H317&amp;"';"),""))</f>
        <v>$lang['button_agree']='設定する';</v>
      </c>
      <c r="B317" s="120" t="s">
        <v>2477</v>
      </c>
      <c r="D317" s="120" t="s">
        <v>2024</v>
      </c>
      <c r="E317" s="121" t="s">
        <v>227</v>
      </c>
      <c r="G317" s="122" t="n">
        <f aca="false">IF(MOD(LEN(H317) - LEN(SUBSTITUTE(H317, """", "")),2) = 1,1,0)</f>
        <v>0</v>
      </c>
      <c r="H317" s="134" t="str">
        <f aca="false">SUBSTITUTE(I317, "'", "\'")</f>
        <v>設定する</v>
      </c>
      <c r="I317" s="103" t="s">
        <v>2478</v>
      </c>
      <c r="J317" s="104" t="s">
        <v>2236</v>
      </c>
      <c r="K317" s="88" t="n">
        <v>91</v>
      </c>
    </row>
    <row r="318" customFormat="false" ht="12.65" hidden="false" customHeight="false" outlineLevel="0" collapsed="false">
      <c r="A318" s="131" t="str">
        <f aca="false">CLEAN(IF(LENB(B318)&gt;1,B318&amp;IF(LENB(H318)&lt;=1,"","'"&amp;H318&amp;"';"),""))</f>
        <v>$lang['button_commit']='実行します';</v>
      </c>
      <c r="B318" s="120" t="s">
        <v>2479</v>
      </c>
      <c r="D318" s="120" t="s">
        <v>2024</v>
      </c>
      <c r="E318" s="121" t="s">
        <v>227</v>
      </c>
      <c r="G318" s="122" t="n">
        <f aca="false">IF(MOD(LEN(H318) - LEN(SUBSTITUTE(H318, """", "")),2) = 1,1,0)</f>
        <v>0</v>
      </c>
      <c r="H318" s="134" t="str">
        <f aca="false">SUBSTITUTE(I318, "'", "\'")</f>
        <v>実行します</v>
      </c>
      <c r="I318" s="103" t="s">
        <v>2480</v>
      </c>
      <c r="J318" s="104" t="s">
        <v>2236</v>
      </c>
      <c r="K318" s="88" t="n">
        <v>91</v>
      </c>
    </row>
    <row r="319" customFormat="false" ht="12.65" hidden="false" customHeight="false" outlineLevel="0" collapsed="false">
      <c r="A319" s="131" t="str">
        <f aca="false">CLEAN(IF(LENB(B319)&gt;1,B319&amp;IF(LENB(H319)&lt;=1,"","'"&amp;H319&amp;"';"),""))</f>
        <v>$lang['home_lifegame_button_sel99']='すみません、やります。';</v>
      </c>
      <c r="B319" s="120" t="s">
        <v>2481</v>
      </c>
      <c r="E319" s="121" t="s">
        <v>227</v>
      </c>
      <c r="G319" s="122" t="n">
        <f aca="false">IF(MOD(LEN(H319) - LEN(SUBSTITUTE(H319, """", "")),2) = 1,1,0)</f>
        <v>0</v>
      </c>
      <c r="H319" s="134" t="str">
        <f aca="false">SUBSTITUTE(I319, "'", "\'")</f>
        <v>すみません、やります。</v>
      </c>
      <c r="I319" s="103" t="s">
        <v>2482</v>
      </c>
      <c r="J319" s="104"/>
    </row>
    <row r="320" customFormat="false" ht="12.65" hidden="false" customHeight="false" outlineLevel="0" collapsed="false">
      <c r="A320" s="131" t="str">
        <f aca="false">CLEAN(IF(LENB(B320)&gt;1,B320&amp;IF(LENB(H320)&lt;=1,"","'"&amp;H320&amp;"';"),""))</f>
        <v>$lang['home_lifegame_button_sel3a']='ちがいます';</v>
      </c>
      <c r="B320" s="120" t="s">
        <v>2483</v>
      </c>
      <c r="E320" s="121" t="s">
        <v>227</v>
      </c>
      <c r="G320" s="122" t="n">
        <f aca="false">IF(MOD(LEN(H320) - LEN(SUBSTITUTE(H320, """", "")),2) = 1,1,0)</f>
        <v>0</v>
      </c>
      <c r="H320" s="134" t="str">
        <f aca="false">SUBSTITUTE(I320, "'", "\'")</f>
        <v>ちがいます</v>
      </c>
      <c r="I320" s="103" t="s">
        <v>2484</v>
      </c>
      <c r="J320" s="104"/>
    </row>
    <row r="321" customFormat="false" ht="12.65" hidden="false" customHeight="false" outlineLevel="0" collapsed="false">
      <c r="A321" s="131" t="str">
        <f aca="false">CLEAN(IF(LENB(B321)&gt;1,B321&amp;IF(LENB(H321)&lt;=1,"","'"&amp;H321&amp;"';"),""))</f>
        <v>$lang['home_lifegame_button_sel3b']='まあ、それでいいです。';</v>
      </c>
      <c r="B321" s="120" t="s">
        <v>2485</v>
      </c>
      <c r="E321" s="121" t="s">
        <v>227</v>
      </c>
      <c r="G321" s="122" t="n">
        <f aca="false">IF(MOD(LEN(H321) - LEN(SUBSTITUTE(H321, """", "")),2) = 1,1,0)</f>
        <v>0</v>
      </c>
      <c r="H321" s="134" t="str">
        <f aca="false">SUBSTITUTE(I321, "'", "\'")</f>
        <v>まあ、それでいいです。</v>
      </c>
      <c r="I321" s="103" t="s">
        <v>2486</v>
      </c>
      <c r="J321" s="104"/>
    </row>
    <row r="322" customFormat="false" ht="12.65" hidden="false" customHeight="false" outlineLevel="0" collapsed="false">
      <c r="A322" s="131" t="str">
        <f aca="false">CLEAN(IF(LENB(B322)&gt;1,B322&amp;IF(LENB(H322)&lt;=1,"","'"&amp;H322&amp;"';"),""))</f>
        <v/>
      </c>
      <c r="E322" s="121" t="s">
        <v>227</v>
      </c>
      <c r="G322" s="122" t="n">
        <f aca="false">IF(MOD(LEN(H322) - LEN(SUBSTITUTE(H322, """", "")),2) = 1,1,0)</f>
        <v>0</v>
      </c>
      <c r="H322" s="134" t="str">
        <f aca="false">SUBSTITUTE(I322, "'", "\'")</f>
        <v/>
      </c>
      <c r="I322" s="103"/>
      <c r="J322" s="104"/>
    </row>
    <row r="323" customFormat="false" ht="12.65" hidden="false" customHeight="false" outlineLevel="0" collapsed="false">
      <c r="A323" s="131" t="str">
        <f aca="false">CLEAN(IF(LENB(B323)&gt;1,B323&amp;IF(LENB(H323)&lt;=1,"","'"&amp;H323&amp;"';"),""))</f>
        <v>//----------8 uchieco web -----------------------------------------------</v>
      </c>
      <c r="B323" s="120" t="s">
        <v>2487</v>
      </c>
      <c r="E323" s="121" t="s">
        <v>227</v>
      </c>
      <c r="G323" s="122" t="n">
        <f aca="false">IF(MOD(LEN(H323) - LEN(SUBSTITUTE(H323, """", "")),2) = 1,1,0)</f>
        <v>0</v>
      </c>
      <c r="H323" s="134" t="str">
        <f aca="false">SUBSTITUTE(I323, "'", "\'")</f>
        <v/>
      </c>
      <c r="I323" s="103"/>
      <c r="J323" s="104"/>
    </row>
    <row r="324" customFormat="false" ht="12.65" hidden="false" customHeight="false" outlineLevel="0" collapsed="false">
      <c r="A324" s="131" t="str">
        <f aca="false">CLEAN(IF(LENB(B324)&gt;1,B324&amp;IF(LENB(H324)&lt;=1,"","'"&amp;H324&amp;"';"),""))</f>
        <v>$lang['home_uchieco_title']='うちエコ診断WEB';</v>
      </c>
      <c r="B324" s="120" t="s">
        <v>2488</v>
      </c>
      <c r="E324" s="121" t="s">
        <v>227</v>
      </c>
      <c r="G324" s="122" t="n">
        <f aca="false">IF(MOD(LEN(H324) - LEN(SUBSTITUTE(H324, """", "")),2) = 1,1,0)</f>
        <v>0</v>
      </c>
      <c r="H324" s="134" t="str">
        <f aca="false">SUBSTITUTE(I324, "'", "\'")</f>
        <v>うちエコ診断WEB</v>
      </c>
      <c r="I324" s="103" t="s">
        <v>2489</v>
      </c>
      <c r="J324" s="104"/>
    </row>
    <row r="325" customFormat="false" ht="12.65" hidden="false" customHeight="false" outlineLevel="0" collapsed="false">
      <c r="A325" s="131" t="str">
        <f aca="false">CLEAN(IF(LENB(B325)&gt;1,B325&amp;IF(LENB(H325)&lt;=1,"","'"&amp;H325&amp;"';"),""))</f>
        <v/>
      </c>
      <c r="E325" s="121" t="s">
        <v>227</v>
      </c>
      <c r="G325" s="122" t="n">
        <f aca="false">IF(MOD(LEN(H325) - LEN(SUBSTITUTE(H325, """", "")),2) = 1,1,0)</f>
        <v>0</v>
      </c>
      <c r="H325" s="134" t="str">
        <f aca="false">SUBSTITUTE(I325, "'", "\'")</f>
        <v/>
      </c>
      <c r="I325" s="103"/>
      <c r="J325" s="104"/>
    </row>
    <row r="326" customFormat="false" ht="12.65" hidden="false" customHeight="false" outlineLevel="0" collapsed="false">
      <c r="A326" s="131" t="str">
        <f aca="false">CLEAN(IF(LENB(B326)&gt;1,B326&amp;IF(LENB(H326)&lt;=1,"","'"&amp;H326&amp;"';"),""))</f>
        <v/>
      </c>
      <c r="E326" s="121" t="s">
        <v>227</v>
      </c>
      <c r="G326" s="122" t="n">
        <f aca="false">IF(MOD(LEN(H326) - LEN(SUBSTITUTE(H326, """", "")),2) = 1,1,0)</f>
        <v>0</v>
      </c>
      <c r="H326" s="134" t="str">
        <f aca="false">SUBSTITUTE(I326, "'", "\'")</f>
        <v/>
      </c>
      <c r="I326" s="103"/>
      <c r="J326" s="104"/>
    </row>
    <row r="327" customFormat="false" ht="12.65" hidden="false" customHeight="false" outlineLevel="0" collapsed="false">
      <c r="A327" s="131" t="str">
        <f aca="false">CLEAN(IF(LENB(B327)&gt;1,B327&amp;IF(LENB(H327)&lt;=1,"","'"&amp;H327&amp;"';"),""))</f>
        <v/>
      </c>
      <c r="E327" s="121" t="s">
        <v>227</v>
      </c>
      <c r="G327" s="122" t="n">
        <f aca="false">IF(MOD(LEN(H327) - LEN(SUBSTITUTE(H327, """", "")),2) = 1,1,0)</f>
        <v>0</v>
      </c>
      <c r="H327" s="134" t="str">
        <f aca="false">SUBSTITUTE(I327, "'", "\'")</f>
        <v/>
      </c>
      <c r="I327" s="103"/>
      <c r="J327" s="104"/>
    </row>
  </sheetData>
  <conditionalFormatting sqref="G1:G1048576">
    <cfRule type="cellIs" priority="2" operator="between" aboveAverage="0" equalAverage="0" bottom="0" percent="0" rank="0" text="" dxfId="0">
      <formula>1</formula>
      <formula>1</formula>
    </cfRule>
    <cfRule type="cellIs" priority="3" operator="between" aboveAverage="0" equalAverage="0" bottom="0" percent="0" rank="0" text="" dxfId="1">
      <formula>0</formula>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3.5" customHeight="false" zeroHeight="false" outlineLevelRow="0" outlineLevelCol="0"/>
  <cols>
    <col collapsed="false" customWidth="true" hidden="false" outlineLevel="0" max="2" min="2" style="1" width="11.88"/>
  </cols>
  <sheetData>
    <row r="2" customFormat="false" ht="13.5" hidden="false" customHeight="false" outlineLevel="0" collapsed="false">
      <c r="C2" s="1" t="s">
        <v>2490</v>
      </c>
      <c r="F2" s="1" t="s">
        <v>2491</v>
      </c>
    </row>
    <row r="3" customFormat="false" ht="13.5" hidden="false" customHeight="false" outlineLevel="0" collapsed="false">
      <c r="B3" s="1" t="s">
        <v>2492</v>
      </c>
      <c r="C3" s="1" t="s">
        <v>476</v>
      </c>
      <c r="D3" s="1" t="s">
        <v>470</v>
      </c>
      <c r="F3" s="1" t="s">
        <v>476</v>
      </c>
      <c r="G3" s="1" t="s">
        <v>470</v>
      </c>
      <c r="L3" s="1" t="s">
        <v>2493</v>
      </c>
    </row>
    <row r="4" customFormat="false" ht="13.5" hidden="false" customHeight="false" outlineLevel="0" collapsed="false">
      <c r="B4" s="16" t="s">
        <v>2494</v>
      </c>
      <c r="C4" s="16" t="n">
        <v>19</v>
      </c>
      <c r="D4" s="16" t="n">
        <v>4</v>
      </c>
      <c r="F4" s="1" t="n">
        <v>24</v>
      </c>
      <c r="G4" s="1" t="n">
        <v>0</v>
      </c>
      <c r="H4" s="1" t="s">
        <v>2495</v>
      </c>
      <c r="J4" s="8" t="n">
        <v>1</v>
      </c>
      <c r="K4" s="8" t="s">
        <v>2496</v>
      </c>
      <c r="L4" s="137" t="n">
        <v>9.4</v>
      </c>
    </row>
    <row r="5" customFormat="false" ht="13.5" hidden="false" customHeight="false" outlineLevel="0" collapsed="false">
      <c r="B5" s="16" t="s">
        <v>2497</v>
      </c>
      <c r="C5" s="16" t="n">
        <v>27</v>
      </c>
      <c r="D5" s="16" t="n">
        <v>7</v>
      </c>
      <c r="F5" s="1" t="n">
        <v>30</v>
      </c>
      <c r="G5" s="1" t="n">
        <v>5</v>
      </c>
      <c r="H5" s="1" t="s">
        <v>2498</v>
      </c>
      <c r="J5" s="8" t="n">
        <v>2</v>
      </c>
      <c r="K5" s="8" t="s">
        <v>2499</v>
      </c>
      <c r="L5" s="137" t="n">
        <v>11.1</v>
      </c>
    </row>
    <row r="6" customFormat="false" ht="13.5" hidden="false" customHeight="false" outlineLevel="0" collapsed="false">
      <c r="B6" s="16" t="s">
        <v>2500</v>
      </c>
      <c r="C6" s="16" t="n">
        <v>29</v>
      </c>
      <c r="D6" s="16" t="n">
        <v>12</v>
      </c>
      <c r="F6" s="1" t="n">
        <v>28</v>
      </c>
      <c r="G6" s="1" t="n">
        <v>9</v>
      </c>
      <c r="H6" s="1" t="s">
        <v>2501</v>
      </c>
      <c r="J6" s="8" t="n">
        <v>3</v>
      </c>
      <c r="K6" s="8" t="s">
        <v>2502</v>
      </c>
      <c r="L6" s="137" t="n">
        <v>10.7</v>
      </c>
    </row>
    <row r="7" customFormat="false" ht="13.5" hidden="false" customHeight="false" outlineLevel="0" collapsed="false">
      <c r="B7" s="16"/>
      <c r="C7" s="16"/>
      <c r="D7" s="16"/>
      <c r="J7" s="8" t="n">
        <v>4</v>
      </c>
      <c r="K7" s="8" t="s">
        <v>2503</v>
      </c>
      <c r="L7" s="137" t="n">
        <v>13.1</v>
      </c>
    </row>
    <row r="8" customFormat="false" ht="13.5" hidden="false" customHeight="false" outlineLevel="0" collapsed="false">
      <c r="B8" s="16"/>
      <c r="C8" s="16"/>
      <c r="D8" s="16"/>
      <c r="J8" s="8" t="n">
        <v>5</v>
      </c>
      <c r="K8" s="8" t="s">
        <v>2495</v>
      </c>
      <c r="L8" s="137" t="n">
        <v>12.4</v>
      </c>
    </row>
    <row r="9" customFormat="false" ht="13.5" hidden="false" customHeight="false" outlineLevel="0" collapsed="false">
      <c r="B9" s="16"/>
      <c r="C9" s="16"/>
      <c r="D9" s="16"/>
      <c r="J9" s="8" t="n">
        <v>6</v>
      </c>
      <c r="K9" s="8" t="s">
        <v>2504</v>
      </c>
      <c r="L9" s="137" t="n">
        <v>12.2</v>
      </c>
    </row>
    <row r="10" customFormat="false" ht="13.5" hidden="false" customHeight="false" outlineLevel="0" collapsed="false">
      <c r="B10" s="16"/>
      <c r="C10" s="16"/>
      <c r="D10" s="16"/>
      <c r="J10" s="8" t="n">
        <v>7</v>
      </c>
      <c r="K10" s="8" t="s">
        <v>2505</v>
      </c>
      <c r="L10" s="137" t="n">
        <v>13.6</v>
      </c>
    </row>
    <row r="11" customFormat="false" ht="13.5" hidden="false" customHeight="false" outlineLevel="0" collapsed="false">
      <c r="B11" s="16"/>
      <c r="C11" s="16"/>
      <c r="D11" s="16"/>
      <c r="J11" s="8" t="n">
        <v>8</v>
      </c>
      <c r="K11" s="8" t="s">
        <v>2506</v>
      </c>
      <c r="L11" s="137" t="n">
        <v>14.4</v>
      </c>
    </row>
    <row r="12" customFormat="false" ht="13.5" hidden="false" customHeight="false" outlineLevel="0" collapsed="false">
      <c r="B12" s="16"/>
      <c r="C12" s="16"/>
      <c r="D12" s="16"/>
      <c r="J12" s="8" t="n">
        <v>9</v>
      </c>
      <c r="K12" s="8" t="s">
        <v>2507</v>
      </c>
      <c r="L12" s="137" t="n">
        <v>14.6</v>
      </c>
    </row>
    <row r="13" customFormat="false" ht="13.5" hidden="false" customHeight="false" outlineLevel="0" collapsed="false">
      <c r="B13" s="16"/>
      <c r="C13" s="16"/>
      <c r="D13" s="16"/>
      <c r="J13" s="8" t="n">
        <v>10</v>
      </c>
      <c r="K13" s="8" t="s">
        <v>2508</v>
      </c>
      <c r="L13" s="137" t="n">
        <v>15.3</v>
      </c>
    </row>
    <row r="14" customFormat="false" ht="13.5" hidden="false" customHeight="false" outlineLevel="0" collapsed="false">
      <c r="B14" s="16"/>
      <c r="C14" s="16"/>
      <c r="D14" s="16"/>
      <c r="J14" s="8" t="n">
        <v>11</v>
      </c>
      <c r="K14" s="8" t="s">
        <v>2509</v>
      </c>
      <c r="L14" s="137" t="n">
        <v>15.8</v>
      </c>
    </row>
    <row r="15" customFormat="false" ht="13.5" hidden="false" customHeight="false" outlineLevel="0" collapsed="false">
      <c r="B15" s="16"/>
      <c r="C15" s="16"/>
      <c r="D15" s="16"/>
      <c r="J15" s="8" t="n">
        <v>12</v>
      </c>
      <c r="K15" s="8" t="s">
        <v>2510</v>
      </c>
      <c r="L15" s="137" t="n">
        <v>16.6</v>
      </c>
    </row>
    <row r="16" customFormat="false" ht="13.5" hidden="false" customHeight="false" outlineLevel="0" collapsed="false">
      <c r="B16" s="16"/>
      <c r="C16" s="16"/>
      <c r="D16" s="16"/>
      <c r="J16" s="8" t="n">
        <v>13</v>
      </c>
      <c r="K16" s="8" t="s">
        <v>2511</v>
      </c>
      <c r="L16" s="137" t="n">
        <v>17</v>
      </c>
    </row>
    <row r="17" customFormat="false" ht="13.5" hidden="false" customHeight="false" outlineLevel="0" collapsed="false">
      <c r="J17" s="8" t="n">
        <v>14</v>
      </c>
      <c r="K17" s="8" t="s">
        <v>2512</v>
      </c>
      <c r="L17" s="137" t="n">
        <v>16.5</v>
      </c>
    </row>
    <row r="18" customFormat="false" ht="13.5" hidden="false" customHeight="false" outlineLevel="0" collapsed="false">
      <c r="J18" s="8" t="n">
        <v>15</v>
      </c>
      <c r="K18" s="8" t="s">
        <v>2498</v>
      </c>
      <c r="L18" s="137" t="n">
        <v>14.4</v>
      </c>
    </row>
    <row r="19" customFormat="false" ht="13.5" hidden="false" customHeight="false" outlineLevel="0" collapsed="false">
      <c r="J19" s="8" t="n">
        <v>16</v>
      </c>
      <c r="K19" s="8" t="s">
        <v>2513</v>
      </c>
      <c r="L19" s="137" t="n">
        <v>14.9</v>
      </c>
    </row>
    <row r="20" customFormat="false" ht="13.5" hidden="false" customHeight="false" outlineLevel="0" collapsed="false">
      <c r="J20" s="8" t="n">
        <v>17</v>
      </c>
      <c r="K20" s="8" t="s">
        <v>2514</v>
      </c>
      <c r="L20" s="137" t="n">
        <v>15.1</v>
      </c>
    </row>
    <row r="21" customFormat="false" ht="13.5" hidden="false" customHeight="false" outlineLevel="0" collapsed="false">
      <c r="J21" s="8" t="n">
        <v>18</v>
      </c>
      <c r="K21" s="8" t="s">
        <v>2515</v>
      </c>
      <c r="L21" s="137" t="n">
        <v>15</v>
      </c>
    </row>
    <row r="22" customFormat="false" ht="13.5" hidden="false" customHeight="false" outlineLevel="0" collapsed="false">
      <c r="J22" s="8" t="n">
        <v>19</v>
      </c>
      <c r="K22" s="8" t="s">
        <v>2516</v>
      </c>
      <c r="L22" s="137" t="n">
        <v>15.3</v>
      </c>
    </row>
    <row r="23" customFormat="false" ht="13.5" hidden="false" customHeight="false" outlineLevel="0" collapsed="false">
      <c r="J23" s="8" t="n">
        <v>20</v>
      </c>
      <c r="K23" s="8" t="s">
        <v>2517</v>
      </c>
      <c r="L23" s="137" t="n">
        <v>12.5</v>
      </c>
    </row>
    <row r="24" customFormat="false" ht="13.5" hidden="false" customHeight="false" outlineLevel="0" collapsed="false">
      <c r="J24" s="8" t="n">
        <v>21</v>
      </c>
      <c r="K24" s="8" t="s">
        <v>2518</v>
      </c>
      <c r="L24" s="137" t="n">
        <v>16.4</v>
      </c>
    </row>
    <row r="25" customFormat="false" ht="13.5" hidden="false" customHeight="false" outlineLevel="0" collapsed="false">
      <c r="J25" s="8" t="n">
        <v>22</v>
      </c>
      <c r="K25" s="8" t="s">
        <v>2519</v>
      </c>
      <c r="L25" s="137" t="n">
        <v>17.1</v>
      </c>
    </row>
    <row r="26" customFormat="false" ht="13.5" hidden="false" customHeight="false" outlineLevel="0" collapsed="false">
      <c r="J26" s="8" t="n">
        <v>23</v>
      </c>
      <c r="K26" s="8" t="s">
        <v>2520</v>
      </c>
      <c r="L26" s="137" t="n">
        <v>16.6</v>
      </c>
    </row>
    <row r="27" customFormat="false" ht="13.5" hidden="false" customHeight="false" outlineLevel="0" collapsed="false">
      <c r="J27" s="8" t="n">
        <v>24</v>
      </c>
      <c r="K27" s="8" t="s">
        <v>2521</v>
      </c>
      <c r="L27" s="137" t="n">
        <v>16.6</v>
      </c>
    </row>
    <row r="28" customFormat="false" ht="13.5" hidden="false" customHeight="false" outlineLevel="0" collapsed="false">
      <c r="J28" s="8" t="n">
        <v>25</v>
      </c>
      <c r="K28" s="8" t="s">
        <v>2522</v>
      </c>
      <c r="L28" s="137" t="n">
        <v>15.2</v>
      </c>
    </row>
    <row r="29" customFormat="false" ht="13.5" hidden="false" customHeight="false" outlineLevel="0" collapsed="false">
      <c r="J29" s="8" t="n">
        <v>26</v>
      </c>
      <c r="K29" s="8" t="s">
        <v>2523</v>
      </c>
      <c r="L29" s="137" t="n">
        <v>16.3</v>
      </c>
    </row>
    <row r="30" customFormat="false" ht="13.5" hidden="false" customHeight="false" outlineLevel="0" collapsed="false">
      <c r="J30" s="8" t="n">
        <v>27</v>
      </c>
      <c r="K30" s="8" t="s">
        <v>2524</v>
      </c>
      <c r="L30" s="137" t="n">
        <v>17.6</v>
      </c>
    </row>
    <row r="31" customFormat="false" ht="13.5" hidden="false" customHeight="false" outlineLevel="0" collapsed="false">
      <c r="J31" s="8" t="n">
        <v>28</v>
      </c>
      <c r="K31" s="8" t="s">
        <v>2525</v>
      </c>
      <c r="L31" s="137" t="n">
        <v>17.4</v>
      </c>
    </row>
    <row r="32" customFormat="false" ht="13.5" hidden="false" customHeight="false" outlineLevel="0" collapsed="false">
      <c r="J32" s="8" t="n">
        <v>29</v>
      </c>
      <c r="K32" s="8" t="s">
        <v>2526</v>
      </c>
      <c r="L32" s="137" t="n">
        <v>15.3</v>
      </c>
    </row>
    <row r="33" customFormat="false" ht="13.5" hidden="false" customHeight="false" outlineLevel="0" collapsed="false">
      <c r="J33" s="8" t="n">
        <v>30</v>
      </c>
      <c r="K33" s="8" t="s">
        <v>2527</v>
      </c>
      <c r="L33" s="137" t="n">
        <v>17.3</v>
      </c>
    </row>
    <row r="34" customFormat="false" ht="13.5" hidden="false" customHeight="false" outlineLevel="0" collapsed="false">
      <c r="J34" s="8" t="n">
        <v>31</v>
      </c>
      <c r="K34" s="8" t="s">
        <v>2528</v>
      </c>
      <c r="L34" s="137" t="n">
        <v>15.5</v>
      </c>
    </row>
    <row r="35" customFormat="false" ht="13.5" hidden="false" customHeight="false" outlineLevel="0" collapsed="false">
      <c r="J35" s="8" t="n">
        <v>32</v>
      </c>
      <c r="K35" s="8" t="s">
        <v>2529</v>
      </c>
      <c r="L35" s="137" t="n">
        <v>15.7</v>
      </c>
    </row>
    <row r="36" customFormat="false" ht="13.5" hidden="false" customHeight="false" outlineLevel="0" collapsed="false">
      <c r="J36" s="8" t="n">
        <v>33</v>
      </c>
      <c r="K36" s="8" t="s">
        <v>2530</v>
      </c>
      <c r="L36" s="137" t="n">
        <v>17</v>
      </c>
    </row>
    <row r="37" customFormat="false" ht="13.5" hidden="false" customHeight="false" outlineLevel="0" collapsed="false">
      <c r="J37" s="8" t="n">
        <v>34</v>
      </c>
      <c r="K37" s="8" t="s">
        <v>2531</v>
      </c>
      <c r="L37" s="137" t="n">
        <v>17</v>
      </c>
    </row>
    <row r="38" customFormat="false" ht="13.5" hidden="false" customHeight="false" outlineLevel="0" collapsed="false">
      <c r="J38" s="8" t="n">
        <v>35</v>
      </c>
      <c r="K38" s="8" t="s">
        <v>2532</v>
      </c>
      <c r="L38" s="137" t="n">
        <v>16.2</v>
      </c>
    </row>
    <row r="39" customFormat="false" ht="13.5" hidden="false" customHeight="false" outlineLevel="0" collapsed="false">
      <c r="J39" s="8" t="n">
        <v>36</v>
      </c>
      <c r="K39" s="8" t="s">
        <v>2533</v>
      </c>
      <c r="L39" s="137" t="n">
        <v>17.4</v>
      </c>
    </row>
    <row r="40" customFormat="false" ht="13.5" hidden="false" customHeight="false" outlineLevel="0" collapsed="false">
      <c r="J40" s="8" t="n">
        <v>37</v>
      </c>
      <c r="K40" s="8" t="s">
        <v>2534</v>
      </c>
      <c r="L40" s="137" t="n">
        <v>17.3</v>
      </c>
    </row>
    <row r="41" customFormat="false" ht="13.5" hidden="false" customHeight="false" outlineLevel="0" collapsed="false">
      <c r="J41" s="8" t="n">
        <v>38</v>
      </c>
      <c r="K41" s="8" t="s">
        <v>2535</v>
      </c>
      <c r="L41" s="137" t="n">
        <v>17.3</v>
      </c>
    </row>
    <row r="42" customFormat="false" ht="13.5" hidden="false" customHeight="false" outlineLevel="0" collapsed="false">
      <c r="J42" s="8" t="n">
        <v>39</v>
      </c>
      <c r="K42" s="8" t="s">
        <v>2536</v>
      </c>
      <c r="L42" s="137" t="n">
        <v>17.9</v>
      </c>
    </row>
    <row r="43" customFormat="false" ht="13.5" hidden="false" customHeight="false" outlineLevel="0" collapsed="false">
      <c r="J43" s="8" t="n">
        <v>40</v>
      </c>
      <c r="K43" s="8" t="s">
        <v>2537</v>
      </c>
      <c r="L43" s="137" t="n">
        <v>18</v>
      </c>
    </row>
    <row r="44" customFormat="false" ht="13.5" hidden="false" customHeight="false" outlineLevel="0" collapsed="false">
      <c r="J44" s="8" t="n">
        <v>41</v>
      </c>
      <c r="K44" s="8" t="s">
        <v>2538</v>
      </c>
      <c r="L44" s="137" t="n">
        <v>17.4</v>
      </c>
    </row>
    <row r="45" customFormat="false" ht="13.5" hidden="false" customHeight="false" outlineLevel="0" collapsed="false">
      <c r="J45" s="8" t="n">
        <v>42</v>
      </c>
      <c r="K45" s="8" t="s">
        <v>2539</v>
      </c>
      <c r="L45" s="137" t="n">
        <v>18</v>
      </c>
    </row>
    <row r="46" customFormat="false" ht="13.5" hidden="false" customHeight="false" outlineLevel="0" collapsed="false">
      <c r="J46" s="8" t="n">
        <v>43</v>
      </c>
      <c r="K46" s="8" t="s">
        <v>2540</v>
      </c>
      <c r="L46" s="137" t="n">
        <v>18</v>
      </c>
    </row>
    <row r="47" customFormat="false" ht="13.5" hidden="false" customHeight="false" outlineLevel="0" collapsed="false">
      <c r="J47" s="8" t="n">
        <v>44</v>
      </c>
      <c r="K47" s="8" t="s">
        <v>2541</v>
      </c>
      <c r="L47" s="137" t="n">
        <v>17.4</v>
      </c>
    </row>
    <row r="48" customFormat="false" ht="13.5" hidden="false" customHeight="false" outlineLevel="0" collapsed="false">
      <c r="J48" s="8" t="n">
        <v>45</v>
      </c>
      <c r="K48" s="8" t="s">
        <v>2542</v>
      </c>
      <c r="L48" s="137" t="n">
        <v>18.1</v>
      </c>
    </row>
    <row r="49" customFormat="false" ht="13.5" hidden="false" customHeight="false" outlineLevel="0" collapsed="false">
      <c r="J49" s="8" t="n">
        <v>46</v>
      </c>
      <c r="K49" s="8" t="s">
        <v>2501</v>
      </c>
      <c r="L49" s="137" t="n">
        <v>19.3</v>
      </c>
    </row>
    <row r="50" customFormat="false" ht="13.5" hidden="false" customHeight="false" outlineLevel="0" collapsed="false">
      <c r="J50" s="8" t="n">
        <v>47</v>
      </c>
      <c r="K50" s="8" t="s">
        <v>2543</v>
      </c>
      <c r="L50" s="137" t="n">
        <v>23.5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3.5" customHeight="false" zeroHeight="false" outlineLevelRow="0" outlineLevelCol="0"/>
  <cols>
    <col collapsed="false" customWidth="true" hidden="false" outlineLevel="0" max="1" min="1" style="1" width="12.75"/>
    <col collapsed="false" customWidth="true" hidden="false" outlineLevel="0" max="2" min="2" style="1" width="19.25"/>
  </cols>
  <sheetData>
    <row r="1" customFormat="false" ht="13.5" hidden="false" customHeight="false" outlineLevel="0" collapsed="false">
      <c r="A1" s="1" t="s">
        <v>2544</v>
      </c>
    </row>
    <row r="2" customFormat="false" ht="13.5" hidden="false" customHeight="false" outlineLevel="0" collapsed="false">
      <c r="A2" s="1" t="s">
        <v>2545</v>
      </c>
      <c r="B2" s="1" t="s">
        <v>2546</v>
      </c>
      <c r="C2" s="1" t="s">
        <v>2547</v>
      </c>
      <c r="D2" s="1" t="s">
        <v>2548</v>
      </c>
      <c r="E2" s="1" t="s">
        <v>2549</v>
      </c>
      <c r="F2" s="1" t="s">
        <v>2550</v>
      </c>
      <c r="G2" s="1" t="s">
        <v>2551</v>
      </c>
    </row>
    <row r="3" customFormat="false" ht="13.5" hidden="false" customHeight="false" outlineLevel="0" collapsed="false">
      <c r="A3" s="1" t="s">
        <v>2552</v>
      </c>
      <c r="B3" s="1" t="s">
        <v>2553</v>
      </c>
      <c r="C3" s="1" t="n">
        <v>2.2</v>
      </c>
    </row>
    <row r="4" customFormat="false" ht="13.5" hidden="false" customHeight="false" outlineLevel="0" collapsed="false">
      <c r="C4" s="1" t="n">
        <v>2.5</v>
      </c>
    </row>
    <row r="5" customFormat="false" ht="13.5" hidden="false" customHeight="false" outlineLevel="0" collapsed="false">
      <c r="C5" s="1" t="n">
        <v>2.8</v>
      </c>
    </row>
    <row r="6" customFormat="false" ht="13.5" hidden="false" customHeight="false" outlineLevel="0" collapsed="false">
      <c r="C6" s="1" t="n">
        <v>3.6</v>
      </c>
    </row>
    <row r="7" customFormat="false" ht="13.5" hidden="false" customHeight="false" outlineLevel="0" collapsed="false">
      <c r="C7" s="1" t="n">
        <v>4</v>
      </c>
    </row>
    <row r="8" customFormat="false" ht="13.5" hidden="false" customHeight="false" outlineLevel="0" collapsed="false">
      <c r="C8" s="1" t="n">
        <v>5.6</v>
      </c>
    </row>
    <row r="9" customFormat="false" ht="13.5" hidden="false" customHeight="false" outlineLevel="0" collapsed="false">
      <c r="C9" s="1" t="n">
        <v>7.2</v>
      </c>
    </row>
    <row r="10" customFormat="false" ht="13.5" hidden="false" customHeight="false" outlineLevel="0" collapsed="false">
      <c r="C10" s="1" t="n">
        <v>10</v>
      </c>
    </row>
    <row r="11" customFormat="false" ht="13.5" hidden="false" customHeight="false" outlineLevel="0" collapsed="false">
      <c r="C11" s="1" t="n">
        <v>15</v>
      </c>
    </row>
    <row r="12" customFormat="false" ht="13.5" hidden="false" customHeight="false" outlineLevel="0" collapsed="false">
      <c r="C12" s="1" t="n">
        <v>20</v>
      </c>
    </row>
    <row r="13" customFormat="false" ht="13.5" hidden="false" customHeight="false" outlineLevel="0" collapsed="false">
      <c r="A13" s="1" t="s">
        <v>2554</v>
      </c>
      <c r="B13" s="1" t="s">
        <v>2555</v>
      </c>
      <c r="C13" s="1" t="n">
        <v>100</v>
      </c>
    </row>
    <row r="14" customFormat="false" ht="13.5" hidden="false" customHeight="false" outlineLevel="0" collapsed="false">
      <c r="C14" s="1" t="n">
        <v>300</v>
      </c>
    </row>
    <row r="15" customFormat="false" ht="13.5" hidden="false" customHeight="false" outlineLevel="0" collapsed="false">
      <c r="C15" s="1" t="n">
        <v>450</v>
      </c>
    </row>
    <row r="16" customFormat="false" ht="13.5" hidden="false" customHeight="false" outlineLevel="0" collapsed="false">
      <c r="C16" s="1" t="n">
        <v>550</v>
      </c>
    </row>
    <row r="17" customFormat="false" ht="13.5" hidden="false" customHeight="false" outlineLevel="0" collapsed="false">
      <c r="C17" s="1" t="n">
        <v>800</v>
      </c>
    </row>
    <row r="18" customFormat="false" ht="13.5" hidden="false" customHeight="false" outlineLevel="0" collapsed="false">
      <c r="A18" s="1" t="s">
        <v>1728</v>
      </c>
      <c r="B18" s="1" t="s">
        <v>2556</v>
      </c>
      <c r="C18" s="1" t="n">
        <v>40</v>
      </c>
      <c r="D18" s="1" t="n">
        <v>5</v>
      </c>
      <c r="E18" s="1" t="n">
        <v>6</v>
      </c>
    </row>
    <row r="19" customFormat="false" ht="13.5" hidden="false" customHeight="false" outlineLevel="0" collapsed="false">
      <c r="C19" s="1" t="n">
        <v>60</v>
      </c>
      <c r="D19" s="1" t="n">
        <v>8</v>
      </c>
      <c r="E19" s="1" t="n">
        <v>10</v>
      </c>
    </row>
    <row r="20" customFormat="false" ht="13.5" hidden="false" customHeight="false" outlineLevel="0" collapsed="false">
      <c r="C20" s="1" t="n">
        <v>100</v>
      </c>
      <c r="D20" s="1" t="n">
        <v>12</v>
      </c>
      <c r="E20" s="1" t="n">
        <v>14</v>
      </c>
    </row>
    <row r="21" customFormat="false" ht="13.5" hidden="false" customHeight="false" outlineLevel="0" collapsed="false">
      <c r="A21" s="1" t="s">
        <v>2557</v>
      </c>
      <c r="B21" s="1" t="s">
        <v>2558</v>
      </c>
      <c r="C21" s="1" t="n">
        <v>16</v>
      </c>
      <c r="D21" s="1" t="n">
        <v>0.89</v>
      </c>
      <c r="E21" s="1" t="n">
        <v>0.75</v>
      </c>
    </row>
    <row r="22" customFormat="false" ht="13.5" hidden="false" customHeight="false" outlineLevel="0" collapsed="false">
      <c r="C22" s="1" t="n">
        <v>24</v>
      </c>
      <c r="D22" s="1" t="n">
        <v>0.89</v>
      </c>
      <c r="E22" s="1" t="n">
        <v>0.75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3.5" customHeight="false" zeroHeight="false" outlineLevelRow="0" outlineLevelCol="0"/>
  <cols>
    <col collapsed="false" customWidth="true" hidden="false" outlineLevel="0" max="2" min="1" style="1" width="9"/>
    <col collapsed="false" customWidth="true" hidden="false" outlineLevel="0" max="3" min="3" style="1" width="35.12"/>
  </cols>
  <sheetData>
    <row r="1" customFormat="false" ht="13.5" hidden="false" customHeight="false" outlineLevel="0" collapsed="false">
      <c r="A1" s="1" t="s">
        <v>2559</v>
      </c>
      <c r="C1" s="1" t="s">
        <v>2560</v>
      </c>
    </row>
    <row r="3" customFormat="false" ht="13.5" hidden="false" customHeight="false" outlineLevel="0" collapsed="false">
      <c r="B3" s="8" t="s">
        <v>59</v>
      </c>
      <c r="C3" s="8" t="s">
        <v>2561</v>
      </c>
    </row>
    <row r="4" customFormat="false" ht="13.5" hidden="false" customHeight="false" outlineLevel="0" collapsed="false">
      <c r="B4" s="8" t="n">
        <v>1</v>
      </c>
      <c r="C4" s="8" t="s">
        <v>1388</v>
      </c>
    </row>
    <row r="5" customFormat="false" ht="13.5" hidden="false" customHeight="false" outlineLevel="0" collapsed="false">
      <c r="B5" s="8" t="n">
        <v>2</v>
      </c>
      <c r="C5" s="8" t="s">
        <v>82</v>
      </c>
    </row>
    <row r="6" customFormat="false" ht="13.5" hidden="false" customHeight="false" outlineLevel="0" collapsed="false">
      <c r="B6" s="8" t="n">
        <v>3</v>
      </c>
      <c r="C6" s="8" t="s">
        <v>2562</v>
      </c>
    </row>
    <row r="7" customFormat="false" ht="13.5" hidden="false" customHeight="false" outlineLevel="0" collapsed="false">
      <c r="B7" s="8" t="n">
        <v>4</v>
      </c>
      <c r="C7" s="8" t="s">
        <v>2563</v>
      </c>
    </row>
    <row r="8" customFormat="false" ht="13.5" hidden="false" customHeight="false" outlineLevel="0" collapsed="false">
      <c r="B8" s="8" t="n">
        <v>5</v>
      </c>
      <c r="C8" s="8" t="s">
        <v>2564</v>
      </c>
    </row>
    <row r="9" customFormat="false" ht="13.5" hidden="false" customHeight="false" outlineLevel="0" collapsed="false">
      <c r="B9" s="8" t="n">
        <v>6</v>
      </c>
      <c r="C9" s="8" t="s">
        <v>2565</v>
      </c>
    </row>
    <row r="10" customFormat="false" ht="13.5" hidden="false" customHeight="false" outlineLevel="0" collapsed="false">
      <c r="B10" s="8" t="n">
        <v>7</v>
      </c>
      <c r="C10" s="8" t="s">
        <v>2566</v>
      </c>
    </row>
    <row r="11" customFormat="false" ht="13.5" hidden="false" customHeight="false" outlineLevel="0" collapsed="false">
      <c r="B11" s="8" t="n">
        <v>8</v>
      </c>
      <c r="C11" s="8" t="s">
        <v>549</v>
      </c>
    </row>
    <row r="12" customFormat="false" ht="13.5" hidden="false" customHeight="false" outlineLevel="0" collapsed="false">
      <c r="B12" s="8" t="n">
        <v>9</v>
      </c>
      <c r="C12" s="8" t="s">
        <v>580</v>
      </c>
    </row>
    <row r="13" customFormat="false" ht="13.5" hidden="false" customHeight="false" outlineLevel="0" collapsed="false">
      <c r="B13" s="8" t="n">
        <v>10</v>
      </c>
      <c r="C13" s="8" t="s">
        <v>1243</v>
      </c>
    </row>
    <row r="14" customFormat="false" ht="13.5" hidden="false" customHeight="false" outlineLevel="0" collapsed="false">
      <c r="B14" s="8" t="n">
        <v>11</v>
      </c>
      <c r="C14" s="8" t="s">
        <v>2567</v>
      </c>
    </row>
    <row r="15" customFormat="false" ht="13.5" hidden="false" customHeight="false" outlineLevel="0" collapsed="false">
      <c r="B15" s="8" t="n">
        <v>12</v>
      </c>
      <c r="C15" s="8" t="s">
        <v>231</v>
      </c>
    </row>
    <row r="16" customFormat="false" ht="13.5" hidden="false" customHeight="false" outlineLevel="0" collapsed="false">
      <c r="B16" s="8" t="n">
        <v>13</v>
      </c>
      <c r="C16" s="8" t="s">
        <v>2568</v>
      </c>
    </row>
    <row r="17" customFormat="false" ht="13.5" hidden="false" customHeight="false" outlineLevel="0" collapsed="false">
      <c r="B17" s="8" t="n">
        <v>14</v>
      </c>
      <c r="C17" s="8" t="s">
        <v>2569</v>
      </c>
    </row>
    <row r="18" customFormat="false" ht="13.5" hidden="false" customHeight="false" outlineLevel="0" collapsed="false">
      <c r="B18" s="8" t="n">
        <v>15</v>
      </c>
      <c r="C18" s="8" t="s">
        <v>2570</v>
      </c>
    </row>
    <row r="19" customFormat="false" ht="13.5" hidden="false" customHeight="false" outlineLevel="0" collapsed="false">
      <c r="B19" s="8" t="n">
        <v>16</v>
      </c>
      <c r="C19" s="8" t="s">
        <v>2571</v>
      </c>
    </row>
    <row r="20" customFormat="false" ht="13.5" hidden="false" customHeight="false" outlineLevel="0" collapsed="false">
      <c r="B20" s="8" t="n">
        <v>17</v>
      </c>
      <c r="C20" s="8" t="s">
        <v>263</v>
      </c>
    </row>
    <row r="21" customFormat="false" ht="13.5" hidden="false" customHeight="false" outlineLevel="0" collapsed="false">
      <c r="B21" s="8" t="n">
        <v>18</v>
      </c>
      <c r="C21" s="8" t="s">
        <v>2572</v>
      </c>
    </row>
    <row r="22" customFormat="false" ht="13.5" hidden="false" customHeight="false" outlineLevel="0" collapsed="false">
      <c r="B22" s="8" t="n">
        <v>19</v>
      </c>
      <c r="C22" s="8" t="s">
        <v>2573</v>
      </c>
    </row>
    <row r="23" customFormat="false" ht="13.5" hidden="false" customHeight="false" outlineLevel="0" collapsed="false">
      <c r="B23" s="8" t="n">
        <v>20</v>
      </c>
      <c r="C23" s="8" t="s">
        <v>2574</v>
      </c>
    </row>
    <row r="24" customFormat="false" ht="13.5" hidden="false" customHeight="false" outlineLevel="0" collapsed="false">
      <c r="B24" s="8" t="n">
        <v>21</v>
      </c>
      <c r="C24" s="8" t="s">
        <v>84</v>
      </c>
    </row>
    <row r="25" customFormat="false" ht="13.5" hidden="false" customHeight="false" outlineLevel="0" collapsed="false">
      <c r="B25" s="8" t="n">
        <v>22</v>
      </c>
      <c r="C25" s="8" t="s">
        <v>2575</v>
      </c>
    </row>
    <row r="26" customFormat="false" ht="13.5" hidden="false" customHeight="false" outlineLevel="0" collapsed="false">
      <c r="B26" s="8" t="n">
        <v>23</v>
      </c>
      <c r="C26" s="8" t="s">
        <v>2576</v>
      </c>
    </row>
    <row r="27" customFormat="false" ht="13.5" hidden="false" customHeight="false" outlineLevel="0" collapsed="false">
      <c r="B27" s="8" t="n">
        <v>24</v>
      </c>
      <c r="C27" s="8" t="s">
        <v>2577</v>
      </c>
    </row>
    <row r="28" customFormat="false" ht="13.5" hidden="false" customHeight="false" outlineLevel="0" collapsed="false">
      <c r="B28" s="8" t="n">
        <v>25</v>
      </c>
      <c r="C28" s="8" t="s">
        <v>2578</v>
      </c>
    </row>
    <row r="29" customFormat="false" ht="13.5" hidden="false" customHeight="false" outlineLevel="0" collapsed="false">
      <c r="B29" s="138" t="n">
        <v>26</v>
      </c>
      <c r="C29" s="29" t="s">
        <v>1596</v>
      </c>
    </row>
    <row r="30" customFormat="false" ht="13.5" hidden="false" customHeight="false" outlineLevel="0" collapsed="false">
      <c r="B30" s="138" t="n">
        <v>27</v>
      </c>
      <c r="C30" s="29" t="s">
        <v>573</v>
      </c>
    </row>
    <row r="31" customFormat="false" ht="13.5" hidden="false" customHeight="false" outlineLevel="0" collapsed="false">
      <c r="B31" s="138" t="n">
        <v>28</v>
      </c>
      <c r="C31" s="29" t="s">
        <v>2579</v>
      </c>
    </row>
    <row r="32" customFormat="false" ht="13.5" hidden="false" customHeight="false" outlineLevel="0" collapsed="false">
      <c r="B32" s="138" t="n">
        <v>29</v>
      </c>
      <c r="C32" s="29" t="s">
        <v>2580</v>
      </c>
    </row>
    <row r="33" customFormat="false" ht="13.5" hidden="false" customHeight="false" outlineLevel="0" collapsed="false">
      <c r="B33" s="138" t="n">
        <v>30</v>
      </c>
      <c r="C33" s="29" t="s">
        <v>2581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3.5" customHeight="false" zeroHeight="false" outlineLevelRow="0" outlineLevelCol="0"/>
  <cols>
    <col collapsed="false" customWidth="true" hidden="false" outlineLevel="0" max="3" min="3" style="1" width="15.37"/>
    <col collapsed="false" customWidth="true" hidden="false" outlineLevel="0" max="4" min="4" style="1" width="23.88"/>
  </cols>
  <sheetData>
    <row r="2" customFormat="false" ht="13.5" hidden="false" customHeight="false" outlineLevel="0" collapsed="false">
      <c r="B2" s="1" t="s">
        <v>2582</v>
      </c>
      <c r="C2" s="1" t="s">
        <v>2583</v>
      </c>
      <c r="D2" s="1" t="s">
        <v>2584</v>
      </c>
    </row>
    <row r="3" customFormat="false" ht="13.5" hidden="false" customHeight="false" outlineLevel="0" collapsed="false">
      <c r="A3" s="1" t="s">
        <v>2585</v>
      </c>
      <c r="B3" s="1" t="n">
        <v>1</v>
      </c>
    </row>
    <row r="4" customFormat="false" ht="13.5" hidden="false" customHeight="false" outlineLevel="0" collapsed="false">
      <c r="A4" s="1" t="s">
        <v>2585</v>
      </c>
      <c r="B4" s="1" t="n">
        <v>2</v>
      </c>
    </row>
    <row r="5" customFormat="false" ht="13.5" hidden="false" customHeight="false" outlineLevel="0" collapsed="false">
      <c r="A5" s="1" t="s">
        <v>2585</v>
      </c>
      <c r="B5" s="1" t="n">
        <v>3</v>
      </c>
    </row>
    <row r="6" customFormat="false" ht="13.5" hidden="false" customHeight="false" outlineLevel="0" collapsed="false">
      <c r="A6" s="1" t="s">
        <v>2585</v>
      </c>
      <c r="B6" s="1" t="n">
        <v>4</v>
      </c>
      <c r="E6" s="1" t="s">
        <v>2586</v>
      </c>
    </row>
    <row r="7" customFormat="false" ht="13.5" hidden="false" customHeight="false" outlineLevel="0" collapsed="false">
      <c r="A7" s="1" t="s">
        <v>2585</v>
      </c>
      <c r="B7" s="1" t="n">
        <v>5</v>
      </c>
    </row>
    <row r="8" customFormat="false" ht="13.5" hidden="false" customHeight="false" outlineLevel="0" collapsed="false">
      <c r="A8" s="1" t="s">
        <v>2587</v>
      </c>
      <c r="B8" s="1" t="n">
        <v>1</v>
      </c>
      <c r="C8" s="1" t="s">
        <v>2588</v>
      </c>
    </row>
    <row r="9" customFormat="false" ht="13.5" hidden="false" customHeight="false" outlineLevel="0" collapsed="false">
      <c r="A9" s="1" t="s">
        <v>2587</v>
      </c>
      <c r="B9" s="1" t="n">
        <v>2</v>
      </c>
    </row>
    <row r="10" customFormat="false" ht="13.5" hidden="false" customHeight="false" outlineLevel="0" collapsed="false">
      <c r="A10" s="1" t="s">
        <v>2587</v>
      </c>
      <c r="B10" s="1" t="n">
        <v>3</v>
      </c>
    </row>
    <row r="11" customFormat="false" ht="13.5" hidden="false" customHeight="false" outlineLevel="0" collapsed="false">
      <c r="A11" s="1" t="s">
        <v>2587</v>
      </c>
      <c r="B11" s="1" t="n">
        <v>4</v>
      </c>
    </row>
    <row r="12" customFormat="false" ht="13.5" hidden="false" customHeight="false" outlineLevel="0" collapsed="false">
      <c r="A12" s="1" t="s">
        <v>2587</v>
      </c>
      <c r="B12" s="1" t="n">
        <v>5</v>
      </c>
    </row>
    <row r="13" customFormat="false" ht="13.5" hidden="false" customHeight="false" outlineLevel="0" collapsed="false">
      <c r="A13" s="1" t="s">
        <v>2589</v>
      </c>
      <c r="B13" s="1" t="n">
        <v>1</v>
      </c>
      <c r="C13" s="1" t="s">
        <v>2590</v>
      </c>
    </row>
    <row r="14" customFormat="false" ht="13.5" hidden="false" customHeight="false" outlineLevel="0" collapsed="false">
      <c r="A14" s="1" t="s">
        <v>2589</v>
      </c>
      <c r="B14" s="1" t="n">
        <v>2</v>
      </c>
    </row>
    <row r="15" customFormat="false" ht="13.5" hidden="false" customHeight="false" outlineLevel="0" collapsed="false">
      <c r="A15" s="1" t="s">
        <v>2589</v>
      </c>
      <c r="B15" s="1" t="n">
        <v>3</v>
      </c>
      <c r="C15" s="1" t="s">
        <v>2591</v>
      </c>
    </row>
    <row r="16" customFormat="false" ht="13.5" hidden="false" customHeight="false" outlineLevel="0" collapsed="false">
      <c r="A16" s="1" t="s">
        <v>2589</v>
      </c>
      <c r="B16" s="1" t="n">
        <v>4</v>
      </c>
    </row>
    <row r="17" customFormat="false" ht="13.5" hidden="false" customHeight="false" outlineLevel="0" collapsed="false">
      <c r="A17" s="1" t="s">
        <v>2589</v>
      </c>
      <c r="B17" s="1" t="n">
        <v>5</v>
      </c>
    </row>
    <row r="18" customFormat="false" ht="13.5" hidden="false" customHeight="false" outlineLevel="0" collapsed="false">
      <c r="A18" s="1" t="s">
        <v>2592</v>
      </c>
      <c r="B18" s="1" t="n">
        <v>1</v>
      </c>
    </row>
    <row r="19" customFormat="false" ht="13.5" hidden="false" customHeight="false" outlineLevel="0" collapsed="false">
      <c r="A19" s="1" t="s">
        <v>2592</v>
      </c>
      <c r="B19" s="1" t="n">
        <v>2</v>
      </c>
      <c r="C19" s="1" t="s">
        <v>2593</v>
      </c>
    </row>
    <row r="20" customFormat="false" ht="13.5" hidden="false" customHeight="false" outlineLevel="0" collapsed="false">
      <c r="A20" s="1" t="s">
        <v>2592</v>
      </c>
      <c r="B20" s="1" t="n">
        <v>3</v>
      </c>
    </row>
    <row r="21" customFormat="false" ht="13.5" hidden="false" customHeight="false" outlineLevel="0" collapsed="false">
      <c r="A21" s="1" t="s">
        <v>2592</v>
      </c>
      <c r="B21" s="1" t="n">
        <v>4</v>
      </c>
    </row>
    <row r="22" customFormat="false" ht="13.5" hidden="false" customHeight="false" outlineLevel="0" collapsed="false">
      <c r="A22" s="1" t="s">
        <v>2592</v>
      </c>
      <c r="B22" s="1" t="n">
        <v>5</v>
      </c>
    </row>
    <row r="23" customFormat="false" ht="13.5" hidden="false" customHeight="false" outlineLevel="0" collapsed="false">
      <c r="A23" s="1" t="s">
        <v>2594</v>
      </c>
      <c r="B23" s="1" t="n">
        <v>1</v>
      </c>
    </row>
    <row r="24" customFormat="false" ht="13.5" hidden="false" customHeight="false" outlineLevel="0" collapsed="false">
      <c r="A24" s="1" t="s">
        <v>2594</v>
      </c>
      <c r="B24" s="1" t="n">
        <v>2</v>
      </c>
      <c r="C24" s="1" t="s">
        <v>2588</v>
      </c>
    </row>
    <row r="25" customFormat="false" ht="13.5" hidden="false" customHeight="false" outlineLevel="0" collapsed="false">
      <c r="A25" s="1" t="s">
        <v>2594</v>
      </c>
      <c r="B25" s="1" t="n">
        <v>3</v>
      </c>
    </row>
    <row r="26" customFormat="false" ht="13.5" hidden="false" customHeight="false" outlineLevel="0" collapsed="false">
      <c r="A26" s="1" t="s">
        <v>2594</v>
      </c>
      <c r="B26" s="1" t="n">
        <v>4</v>
      </c>
    </row>
    <row r="27" customFormat="false" ht="13.5" hidden="false" customHeight="false" outlineLevel="0" collapsed="false">
      <c r="A27" s="1" t="s">
        <v>2594</v>
      </c>
      <c r="B27" s="1" t="n">
        <v>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 defaultRowHeight="11.25" customHeight="false" zeroHeight="false" outlineLevelRow="0" outlineLevelCol="0"/>
  <cols>
    <col collapsed="false" customWidth="false" hidden="false" outlineLevel="0" max="1" min="1" style="43" width="9"/>
    <col collapsed="false" customWidth="true" hidden="false" outlineLevel="0" max="11" min="2" style="43" width="15.25"/>
    <col collapsed="false" customWidth="false" hidden="false" outlineLevel="0" max="16384" min="12" style="43" width="9"/>
  </cols>
  <sheetData>
    <row r="1" customFormat="false" ht="11.25" hidden="false" customHeight="false" outlineLevel="0" collapsed="false">
      <c r="A1" s="45" t="s">
        <v>2595</v>
      </c>
    </row>
    <row r="2" customFormat="false" ht="11.25" hidden="false" customHeight="false" outlineLevel="0" collapsed="false">
      <c r="A2" s="59"/>
      <c r="B2" s="59" t="n">
        <v>0</v>
      </c>
      <c r="C2" s="59" t="n">
        <v>100</v>
      </c>
      <c r="D2" s="59" t="n">
        <v>200</v>
      </c>
      <c r="E2" s="59" t="n">
        <v>300</v>
      </c>
      <c r="F2" s="59" t="n">
        <v>400</v>
      </c>
      <c r="G2" s="59" t="n">
        <v>500</v>
      </c>
      <c r="H2" s="59" t="n">
        <v>600</v>
      </c>
      <c r="I2" s="59" t="n">
        <v>700</v>
      </c>
      <c r="J2" s="59" t="n">
        <v>800</v>
      </c>
      <c r="K2" s="59" t="n">
        <v>900</v>
      </c>
    </row>
    <row r="3" customFormat="false" ht="22.5" hidden="false" customHeight="true" outlineLevel="0" collapsed="false">
      <c r="A3" s="59" t="n">
        <v>1</v>
      </c>
      <c r="B3" s="65" t="str">
        <f aca="false">IFERROR(VLOOKUP(B$2+$A3,Measures!$B$4:$D$92,3,FALSE()),"")</f>
        <v>太陽光発電を設置する</v>
      </c>
      <c r="C3" s="65" t="str">
        <f aca="false">IFERROR(VLOOKUP(C$2+$A3,Measures!$B$4:$D$92,3,FALSE()),"")</f>
        <v>給湯器をエコキュートに買い換える</v>
      </c>
      <c r="D3" s="65" t="str">
        <f aca="false">IFERROR(VLOOKUP(D$2+$A3,Measures!$B$4:$D$92,3,FALSE()),"")</f>
        <v>エアコンを省エネ型に買い替える</v>
      </c>
      <c r="E3" s="65" t="str">
        <f aca="false">IFERROR(VLOOKUP(E$2+$A3,Measures!$B$4:$D$92,3,FALSE()),"")</f>
        <v>電気ポットで保温をしない</v>
      </c>
      <c r="F3" s="65" t="str">
        <f aca="false">IFERROR(VLOOKUP(F$2+$A3,Measures!$B$4:$D$92,3,FALSE()),"")</f>
        <v>晴れた日は衣類乾燥機や乾燥機能を使わずに天日乾燥させる</v>
      </c>
      <c r="G3" s="65" t="str">
        <f aca="false">IFERROR(VLOOKUP(G$2+$A3,Measures!$B$4:$D$92,3,FALSE()),"")</f>
        <v>蛍光灯器具をLEDシーリングライトに付け替える</v>
      </c>
      <c r="H3" s="65" t="str">
        <f aca="false">IFERROR(VLOOKUP(H$2+$A3,Measures!$B$4:$D$92,3,FALSE()),"")</f>
        <v>省エネ性能の高いテレビに買い替える</v>
      </c>
      <c r="I3" s="65" t="str">
        <f aca="false">IFERROR(VLOOKUP(I$2+$A3,Measures!$B$4:$D$92,3,FALSE()),"")</f>
        <v>冷蔵庫を省エネ型に買い替える</v>
      </c>
      <c r="J3" s="65" t="str">
        <f aca="false">IFERROR(VLOOKUP(J$2+$A3,Measures!$B$4:$D$92,3,FALSE()),"")</f>
        <v>エコカーに買い替える</v>
      </c>
      <c r="K3" s="65" t="str">
        <f aca="false">IFERROR(VLOOKUP(K$2+$A3,Measures!$B$4:$D$92,3,FALSE()),"")</f>
        <v>コンセントからプラグを抜き、待機電力を減らす</v>
      </c>
    </row>
    <row r="4" customFormat="false" ht="22.5" hidden="false" customHeight="true" outlineLevel="0" collapsed="false">
      <c r="A4" s="59" t="n">
        <v>2</v>
      </c>
      <c r="B4" s="65" t="str">
        <f aca="false">IFERROR(VLOOKUP(B$2+$A4,Measures!$B$4:$D$92,3,FALSE()),"")</f>
        <v>HEMS装置を設置する</v>
      </c>
      <c r="C4" s="65" t="str">
        <f aca="false">IFERROR(VLOOKUP(C$2+$A4,Measures!$B$4:$D$92,3,FALSE()),"")</f>
        <v>給湯器をエコジョーズ（潜熱回収型ガス給湯器）に買い換える</v>
      </c>
      <c r="D4" s="65" t="str">
        <f aca="false">IFERROR(VLOOKUP(D$2+$A4,Measures!$B$4:$D$92,3,FALSE()),"")</f>
        <v>エアコンを省エネ型に買い替え、エアコンで暖房する</v>
      </c>
      <c r="E4" s="65" t="str">
        <f aca="false">IFERROR(VLOOKUP(E$2+$A4,Measures!$B$4:$D$92,3,FALSE()),"")</f>
        <v>外出時や夜間に電気ポットの保温を止める</v>
      </c>
      <c r="F4" s="65" t="str">
        <f aca="false">IFERROR(VLOOKUP(F$2+$A4,Measures!$B$4:$D$92,3,FALSE()),"")</f>
        <v>ヒートポンプ式の衣類乾燥ができる洗濯機に買い替える</v>
      </c>
      <c r="G4" s="65" t="str">
        <f aca="false">IFERROR(VLOOKUP(G$2+$A4,Measures!$B$4:$D$92,3,FALSE()),"")</f>
        <v>LEDに付け替える</v>
      </c>
      <c r="H4" s="65" t="str">
        <f aca="false">IFERROR(VLOOKUP(H$2+$A4,Measures!$B$4:$D$92,3,FALSE()),"")</f>
        <v>テレビの時間の半分をラジオにする</v>
      </c>
      <c r="I4" s="65" t="str">
        <f aca="false">IFERROR(VLOOKUP(I$2+$A4,Measures!$B$4:$D$92,3,FALSE()),"")</f>
        <v>冷蔵庫のうち１台を止める</v>
      </c>
      <c r="J4" s="65" t="str">
        <f aca="false">IFERROR(VLOOKUP(J$2+$A4,Measures!$B$4:$D$92,3,FALSE()),"")</f>
        <v>電気自動車を導入する</v>
      </c>
      <c r="K4" s="65" t="str">
        <f aca="false">IFERROR(VLOOKUP(K$2+$A4,Measures!$B$4:$D$92,3,FALSE()),"")</f>
        <v/>
      </c>
    </row>
    <row r="5" customFormat="false" ht="22.5" hidden="false" customHeight="true" outlineLevel="0" collapsed="false">
      <c r="A5" s="59" t="n">
        <v>3</v>
      </c>
      <c r="B5" s="65" t="str">
        <f aca="false">IFERROR(VLOOKUP(B$2+$A5,Measures!$B$4:$D$92,3,FALSE()),"")</f>
        <v>ベランダに太陽光パネルを置く</v>
      </c>
      <c r="C5" s="65" t="str">
        <f aca="false">IFERROR(VLOOKUP(C$2+$A5,Measures!$B$4:$D$92,3,FALSE()),"")</f>
        <v>給湯器をエコフィール（潜熱回収型灯油給湯器）に買い換える</v>
      </c>
      <c r="D5" s="65" t="str">
        <f aca="false">IFERROR(VLOOKUP(D$2+$A5,Measures!$B$4:$D$92,3,FALSE()),"")</f>
        <v>暖房をエアコンでする</v>
      </c>
      <c r="E5" s="65" t="str">
        <f aca="false">IFERROR(VLOOKUP(E$2+$A5,Measures!$B$4:$D$92,3,FALSE()),"")</f>
        <v>炊飯ジャーの保温をやめる</v>
      </c>
      <c r="F5" s="65" t="str">
        <f aca="false">IFERROR(VLOOKUP(F$2+$A5,Measures!$B$4:$D$92,3,FALSE()),"")</f>
        <v/>
      </c>
      <c r="G5" s="65" t="str">
        <f aca="false">IFERROR(VLOOKUP(G$2+$A5,Measures!$B$4:$D$92,3,FALSE()),"")</f>
        <v>人感センサー式に付け替える</v>
      </c>
      <c r="H5" s="65" t="str">
        <f aca="false">IFERROR(VLOOKUP(H$2+$A5,Measures!$B$4:$D$92,3,FALSE()),"")</f>
        <v>テレビを点ける時間を1日1時間短くする</v>
      </c>
      <c r="I5" s="65" t="str">
        <f aca="false">IFERROR(VLOOKUP(I$2+$A5,Measures!$B$4:$D$92,3,FALSE()),"")</f>
        <v>冷蔵庫を壁から離す</v>
      </c>
      <c r="J5" s="65" t="str">
        <f aca="false">IFERROR(VLOOKUP(J$2+$A5,Measures!$B$4:$D$92,3,FALSE()),"")</f>
        <v>アイドリングストップなどエコドライブに心がける</v>
      </c>
      <c r="K5" s="65" t="str">
        <f aca="false">IFERROR(VLOOKUP(K$2+$A5,Measures!$B$4:$D$92,3,FALSE()),"")</f>
        <v/>
      </c>
    </row>
    <row r="6" customFormat="false" ht="22.5" hidden="false" customHeight="true" outlineLevel="0" collapsed="false">
      <c r="A6" s="59" t="n">
        <v>4</v>
      </c>
      <c r="B6" s="65" t="str">
        <f aca="false">IFERROR(VLOOKUP(B$2+$A6,Measures!$B$4:$D$92,3,FALSE()),"")</f>
        <v/>
      </c>
      <c r="C6" s="65" t="str">
        <f aca="false">IFERROR(VLOOKUP(C$2+$A6,Measures!$B$4:$D$92,3,FALSE()),"")</f>
        <v>給湯器をSOFCタイプのエネファーム（燃料電池）に買い換える</v>
      </c>
      <c r="D6" s="65" t="str">
        <f aca="false">IFERROR(VLOOKUP(D$2+$A6,Measures!$B$4:$D$92,3,FALSE()),"")</f>
        <v>家の暖房をエアコンでする</v>
      </c>
      <c r="E6" s="65" t="str">
        <f aca="false">IFERROR(VLOOKUP(E$2+$A6,Measures!$B$4:$D$92,3,FALSE()),"")</f>
        <v>省エネタイプの電気ポットに買い替える</v>
      </c>
      <c r="F6" s="65" t="str">
        <f aca="false">IFERROR(VLOOKUP(F$2+$A6,Measures!$B$4:$D$92,3,FALSE()),"")</f>
        <v/>
      </c>
      <c r="G6" s="65" t="str">
        <f aca="false">IFERROR(VLOOKUP(G$2+$A6,Measures!$B$4:$D$92,3,FALSE()),"")</f>
        <v>照明を使う時間を1時間短くする</v>
      </c>
      <c r="H6" s="65" t="str">
        <f aca="false">IFERROR(VLOOKUP(H$2+$A6,Measures!$B$4:$D$92,3,FALSE()),"")</f>
        <v>テレビの画面を明るすぎないよう調整する</v>
      </c>
      <c r="I6" s="65" t="str">
        <f aca="false">IFERROR(VLOOKUP(I$2+$A6,Measures!$B$4:$D$92,3,FALSE()),"")</f>
        <v>冷蔵庫の温度設定を控えめにする</v>
      </c>
      <c r="J6" s="65" t="str">
        <f aca="false">IFERROR(VLOOKUP(J$2+$A6,Measures!$B$4:$D$92,3,FALSE()),"")</f>
        <v>鉄道やバスなど公共交通機関を利用する</v>
      </c>
      <c r="K6" s="65" t="str">
        <f aca="false">IFERROR(VLOOKUP(K$2+$A6,Measures!$B$4:$D$92,3,FALSE()),"")</f>
        <v/>
      </c>
    </row>
    <row r="7" customFormat="false" ht="22.5" hidden="false" customHeight="true" outlineLevel="0" collapsed="false">
      <c r="A7" s="59" t="n">
        <v>5</v>
      </c>
      <c r="B7" s="65" t="str">
        <f aca="false">IFERROR(VLOOKUP(B$2+$A7,Measures!$B$4:$D$92,3,FALSE()),"")</f>
        <v/>
      </c>
      <c r="C7" s="65" t="str">
        <f aca="false">IFERROR(VLOOKUP(C$2+$A7,Measures!$B$4:$D$92,3,FALSE()),"")</f>
        <v>給湯器をエネファーム（燃料電池）に買い換える</v>
      </c>
      <c r="D7" s="65" t="str">
        <f aca="false">IFERROR(VLOOKUP(D$2+$A7,Measures!$B$4:$D$92,3,FALSE()),"")</f>
        <v>冷房で、すだれ等を使い日射をカットする</v>
      </c>
      <c r="E7" s="65" t="str">
        <f aca="false">IFERROR(VLOOKUP(E$2+$A7,Measures!$B$4:$D$92,3,FALSE()),"")</f>
        <v>鍋から炎がはみ出さないようにする</v>
      </c>
      <c r="F7" s="65" t="str">
        <f aca="false">IFERROR(VLOOKUP(F$2+$A7,Measures!$B$4:$D$92,3,FALSE()),"")</f>
        <v/>
      </c>
      <c r="G7" s="65" t="str">
        <f aca="false">IFERROR(VLOOKUP(G$2+$A7,Measures!$B$4:$D$92,3,FALSE()),"")</f>
        <v>部屋を出るときに照明を消す</v>
      </c>
      <c r="H7" s="65" t="str">
        <f aca="false">IFERROR(VLOOKUP(H$2+$A7,Measures!$B$4:$D$92,3,FALSE()),"")</f>
        <v/>
      </c>
      <c r="I7" s="65" t="str">
        <f aca="false">IFERROR(VLOOKUP(I$2+$A7,Measures!$B$4:$D$92,3,FALSE()),"")</f>
        <v/>
      </c>
      <c r="J7" s="65" t="str">
        <f aca="false">IFERROR(VLOOKUP(J$2+$A7,Measures!$B$4:$D$92,3,FALSE()),"")</f>
        <v>車の利用を2割止める</v>
      </c>
      <c r="K7" s="65" t="str">
        <f aca="false">IFERROR(VLOOKUP(K$2+$A7,Measures!$B$4:$D$92,3,FALSE()),"")</f>
        <v/>
      </c>
    </row>
    <row r="8" customFormat="false" ht="22.5" hidden="false" customHeight="true" outlineLevel="0" collapsed="false">
      <c r="A8" s="59" t="n">
        <v>6</v>
      </c>
      <c r="B8" s="65" t="str">
        <f aca="false">IFERROR(VLOOKUP(B$2+$A8,Measures!$B$4:$D$92,3,FALSE()),"")</f>
        <v>ZEHに建て替える</v>
      </c>
      <c r="C8" s="65" t="str">
        <f aca="false">IFERROR(VLOOKUP(C$2+$A8,Measures!$B$4:$D$92,3,FALSE()),"")</f>
        <v>太陽熱温水器（自然循環式）を設置して利用する</v>
      </c>
      <c r="D8" s="65" t="str">
        <f aca="false">IFERROR(VLOOKUP(D$2+$A8,Measures!$B$4:$D$92,3,FALSE()),"")</f>
        <v>冷房の温度設定を控えめ（28℃）にする</v>
      </c>
      <c r="E8" s="65" t="str">
        <f aca="false">IFERROR(VLOOKUP(E$2+$A8,Measures!$B$4:$D$92,3,FALSE()),"")</f>
        <v/>
      </c>
      <c r="F8" s="65" t="str">
        <f aca="false">IFERROR(VLOOKUP(F$2+$A8,Measures!$B$4:$D$92,3,FALSE()),"")</f>
        <v/>
      </c>
      <c r="G8" s="65" t="str">
        <f aca="false">IFERROR(VLOOKUP(G$2+$A8,Measures!$B$4:$D$92,3,FALSE()),"")</f>
        <v/>
      </c>
      <c r="H8" s="65" t="str">
        <f aca="false">IFERROR(VLOOKUP(H$2+$A8,Measures!$B$4:$D$92,3,FALSE()),"")</f>
        <v/>
      </c>
      <c r="I8" s="65" t="str">
        <f aca="false">IFERROR(VLOOKUP(I$2+$A8,Measures!$B$4:$D$92,3,FALSE()),"")</f>
        <v/>
      </c>
      <c r="J8" s="65" t="str">
        <f aca="false">IFERROR(VLOOKUP(J$2+$A8,Measures!$B$4:$D$92,3,FALSE()),"")</f>
        <v>近くの場合には車でなく、自転車や徒歩で行く</v>
      </c>
      <c r="K8" s="65" t="str">
        <f aca="false">IFERROR(VLOOKUP(K$2+$A8,Measures!$B$4:$D$92,3,FALSE()),"")</f>
        <v/>
      </c>
    </row>
    <row r="9" customFormat="false" ht="22.5" hidden="false" customHeight="true" outlineLevel="0" collapsed="false">
      <c r="A9" s="59" t="n">
        <v>7</v>
      </c>
      <c r="B9" s="65" t="str">
        <f aca="false">IFERROR(VLOOKUP(B$2+$A9,Measures!$B$4:$D$92,3,FALSE()),"")</f>
        <v>家庭用蓄電池を設置する</v>
      </c>
      <c r="C9" s="65" t="str">
        <f aca="false">IFERROR(VLOOKUP(C$2+$A9,Measures!$B$4:$D$92,3,FALSE()),"")</f>
        <v>ソーラーシステム（強制循環式）を設置して利用する</v>
      </c>
      <c r="D9" s="65" t="str">
        <f aca="false">IFERROR(VLOOKUP(D$2+$A9,Measures!$B$4:$D$92,3,FALSE()),"")</f>
        <v>厚着をして暖房の温度設定を控えめ（20℃）にする</v>
      </c>
      <c r="E9" s="65" t="str">
        <f aca="false">IFERROR(VLOOKUP(E$2+$A9,Measures!$B$4:$D$92,3,FALSE()),"")</f>
        <v/>
      </c>
      <c r="F9" s="65" t="str">
        <f aca="false">IFERROR(VLOOKUP(F$2+$A9,Measures!$B$4:$D$92,3,FALSE()),"")</f>
        <v/>
      </c>
      <c r="G9" s="65" t="str">
        <f aca="false">IFERROR(VLOOKUP(G$2+$A9,Measures!$B$4:$D$92,3,FALSE()),"")</f>
        <v/>
      </c>
      <c r="H9" s="65" t="str">
        <f aca="false">IFERROR(VLOOKUP(H$2+$A9,Measures!$B$4:$D$92,3,FALSE()),"")</f>
        <v/>
      </c>
      <c r="I9" s="65" t="str">
        <f aca="false">IFERROR(VLOOKUP(I$2+$A9,Measures!$B$4:$D$92,3,FALSE()),"")</f>
        <v/>
      </c>
      <c r="J9" s="65" t="str">
        <f aca="false">IFERROR(VLOOKUP(J$2+$A9,Measures!$B$4:$D$92,3,FALSE()),"")</f>
        <v/>
      </c>
      <c r="K9" s="65" t="str">
        <f aca="false">IFERROR(VLOOKUP(K$2+$A9,Measures!$B$4:$D$92,3,FALSE()),"")</f>
        <v/>
      </c>
    </row>
    <row r="10" customFormat="false" ht="22.5" hidden="false" customHeight="true" outlineLevel="0" collapsed="false">
      <c r="A10" s="59" t="n">
        <v>8</v>
      </c>
      <c r="B10" s="65" t="str">
        <f aca="false">IFERROR(VLOOKUP(B$2+$A10,Measures!$B$4:$D$92,3,FALSE()),"")</f>
        <v>電気自動車を家庭用蓄電池として活用する</v>
      </c>
      <c r="C10" s="65" t="str">
        <f aca="false">IFERROR(VLOOKUP(C$2+$A10,Measures!$B$4:$D$92,3,FALSE()),"")</f>
        <v>節水シャワーヘッドを取り付けて利用する</v>
      </c>
      <c r="D10" s="65" t="str">
        <f aca="false">IFERROR(VLOOKUP(D$2+$A10,Measures!$B$4:$D$92,3,FALSE()),"")</f>
        <v>暖房時に、窓用の断熱シートを貼る</v>
      </c>
      <c r="E10" s="65" t="str">
        <f aca="false">IFERROR(VLOOKUP(E$2+$A10,Measures!$B$4:$D$92,3,FALSE()),"")</f>
        <v/>
      </c>
      <c r="F10" s="65" t="str">
        <f aca="false">IFERROR(VLOOKUP(F$2+$A10,Measures!$B$4:$D$92,3,FALSE()),"")</f>
        <v/>
      </c>
      <c r="G10" s="65" t="str">
        <f aca="false">IFERROR(VLOOKUP(G$2+$A10,Measures!$B$4:$D$92,3,FALSE()),"")</f>
        <v/>
      </c>
      <c r="H10" s="65" t="str">
        <f aca="false">IFERROR(VLOOKUP(H$2+$A10,Measures!$B$4:$D$92,3,FALSE()),"")</f>
        <v/>
      </c>
      <c r="I10" s="65" t="str">
        <f aca="false">IFERROR(VLOOKUP(I$2+$A10,Measures!$B$4:$D$92,3,FALSE()),"")</f>
        <v/>
      </c>
      <c r="J10" s="65" t="str">
        <f aca="false">IFERROR(VLOOKUP(J$2+$A10,Measures!$B$4:$D$92,3,FALSE()),"")</f>
        <v/>
      </c>
      <c r="K10" s="65" t="str">
        <f aca="false">IFERROR(VLOOKUP(K$2+$A10,Measures!$B$4:$D$92,3,FALSE()),"")</f>
        <v/>
      </c>
    </row>
    <row r="11" customFormat="false" ht="22.5" hidden="false" customHeight="true" outlineLevel="0" collapsed="false">
      <c r="A11" s="59" t="n">
        <v>9</v>
      </c>
      <c r="B11" s="65" t="str">
        <f aca="false">IFERROR(VLOOKUP(B$2+$A11,Measures!$B$4:$D$92,3,FALSE()),"")</f>
        <v/>
      </c>
      <c r="C11" s="65" t="str">
        <f aca="false">IFERROR(VLOOKUP(C$2+$A11,Measures!$B$4:$D$92,3,FALSE()),"")</f>
        <v>シャワーの利用を1人1日1分短くする</v>
      </c>
      <c r="D11" s="65" t="str">
        <f aca="false">IFERROR(VLOOKUP(D$2+$A11,Measures!$B$4:$D$92,3,FALSE()),"")</f>
        <v>窓・サッシを複合素材枠二重ガラスにする</v>
      </c>
      <c r="E11" s="65" t="str">
        <f aca="false">IFERROR(VLOOKUP(E$2+$A11,Measures!$B$4:$D$92,3,FALSE()),"")</f>
        <v/>
      </c>
      <c r="F11" s="65" t="str">
        <f aca="false">IFERROR(VLOOKUP(F$2+$A11,Measures!$B$4:$D$92,3,FALSE()),"")</f>
        <v/>
      </c>
      <c r="G11" s="65" t="str">
        <f aca="false">IFERROR(VLOOKUP(G$2+$A11,Measures!$B$4:$D$92,3,FALSE()),"")</f>
        <v/>
      </c>
      <c r="H11" s="65" t="str">
        <f aca="false">IFERROR(VLOOKUP(H$2+$A11,Measures!$B$4:$D$92,3,FALSE()),"")</f>
        <v/>
      </c>
      <c r="I11" s="65" t="str">
        <f aca="false">IFERROR(VLOOKUP(I$2+$A11,Measures!$B$4:$D$92,3,FALSE()),"")</f>
        <v/>
      </c>
      <c r="J11" s="65" t="str">
        <f aca="false">IFERROR(VLOOKUP(J$2+$A11,Measures!$B$4:$D$92,3,FALSE()),"")</f>
        <v/>
      </c>
      <c r="K11" s="65" t="str">
        <f aca="false">IFERROR(VLOOKUP(K$2+$A11,Measures!$B$4:$D$92,3,FALSE()),"")</f>
        <v/>
      </c>
    </row>
    <row r="12" customFormat="false" ht="22.5" hidden="false" customHeight="true" outlineLevel="0" collapsed="false">
      <c r="A12" s="59" t="n">
        <v>10</v>
      </c>
      <c r="B12" s="65" t="str">
        <f aca="false">IFERROR(VLOOKUP(B$2+$A12,Measures!$B$4:$D$92,3,FALSE()),"")</f>
        <v>CO2排出係数が0の電気を選ぶ</v>
      </c>
      <c r="C12" s="65" t="str">
        <f aca="false">IFERROR(VLOOKUP(C$2+$A12,Measures!$B$4:$D$92,3,FALSE()),"")</f>
        <v>シャワーの利用時間を3割短くする</v>
      </c>
      <c r="D12" s="65" t="str">
        <f aca="false">IFERROR(VLOOKUP(D$2+$A12,Measures!$B$4:$D$92,3,FALSE()),"")</f>
        <v>窓・サッシを樹脂枠low-Eガラスにする</v>
      </c>
      <c r="E12" s="65" t="str">
        <f aca="false">IFERROR(VLOOKUP(E$2+$A12,Measures!$B$4:$D$92,3,FALSE()),"")</f>
        <v/>
      </c>
      <c r="F12" s="65" t="str">
        <f aca="false">IFERROR(VLOOKUP(F$2+$A12,Measures!$B$4:$D$92,3,FALSE()),"")</f>
        <v/>
      </c>
      <c r="G12" s="65" t="str">
        <f aca="false">IFERROR(VLOOKUP(G$2+$A12,Measures!$B$4:$D$92,3,FALSE()),"")</f>
        <v/>
      </c>
      <c r="H12" s="65" t="str">
        <f aca="false">IFERROR(VLOOKUP(H$2+$A12,Measures!$B$4:$D$92,3,FALSE()),"")</f>
        <v/>
      </c>
      <c r="I12" s="65" t="str">
        <f aca="false">IFERROR(VLOOKUP(I$2+$A12,Measures!$B$4:$D$92,3,FALSE()),"")</f>
        <v/>
      </c>
      <c r="J12" s="65" t="str">
        <f aca="false">IFERROR(VLOOKUP(J$2+$A12,Measures!$B$4:$D$92,3,FALSE()),"")</f>
        <v/>
      </c>
      <c r="K12" s="65" t="str">
        <f aca="false">IFERROR(VLOOKUP(K$2+$A12,Measures!$B$4:$D$92,3,FALSE()),"")</f>
        <v/>
      </c>
    </row>
    <row r="13" customFormat="false" ht="22.5" hidden="false" customHeight="true" outlineLevel="0" collapsed="false">
      <c r="A13" s="59" t="n">
        <v>11</v>
      </c>
      <c r="B13" s="65" t="str">
        <f aca="false">IFERROR(VLOOKUP(B$2+$A13,Measures!$B$4:$D$92,3,FALSE()),"")</f>
        <v/>
      </c>
      <c r="C13" s="65" t="str">
        <f aca="false">IFERROR(VLOOKUP(C$2+$A13,Measures!$B$4:$D$92,3,FALSE()),"")</f>
        <v>風呂に家族が続けて入り追い焚きをしない</v>
      </c>
      <c r="D13" s="65" t="str">
        <f aca="false">IFERROR(VLOOKUP(D$2+$A13,Measures!$B$4:$D$92,3,FALSE()),"")</f>
        <v>内窓をとりつける</v>
      </c>
      <c r="E13" s="65" t="str">
        <f aca="false">IFERROR(VLOOKUP(E$2+$A13,Measures!$B$4:$D$92,3,FALSE()),"")</f>
        <v/>
      </c>
      <c r="F13" s="65" t="str">
        <f aca="false">IFERROR(VLOOKUP(F$2+$A13,Measures!$B$4:$D$92,3,FALSE()),"")</f>
        <v/>
      </c>
      <c r="G13" s="65" t="str">
        <f aca="false">IFERROR(VLOOKUP(G$2+$A13,Measures!$B$4:$D$92,3,FALSE()),"")</f>
        <v/>
      </c>
      <c r="H13" s="65" t="str">
        <f aca="false">IFERROR(VLOOKUP(H$2+$A13,Measures!$B$4:$D$92,3,FALSE()),"")</f>
        <v/>
      </c>
      <c r="I13" s="65" t="str">
        <f aca="false">IFERROR(VLOOKUP(I$2+$A13,Measures!$B$4:$D$92,3,FALSE()),"")</f>
        <v/>
      </c>
      <c r="J13" s="65" t="str">
        <f aca="false">IFERROR(VLOOKUP(J$2+$A13,Measures!$B$4:$D$92,3,FALSE()),"")</f>
        <v/>
      </c>
      <c r="K13" s="65" t="str">
        <f aca="false">IFERROR(VLOOKUP(K$2+$A13,Measures!$B$4:$D$92,3,FALSE()),"")</f>
        <v/>
      </c>
    </row>
    <row r="14" customFormat="false" ht="22.5" hidden="false" customHeight="true" outlineLevel="0" collapsed="false">
      <c r="A14" s="59" t="n">
        <v>12</v>
      </c>
      <c r="B14" s="65" t="str">
        <f aca="false">IFERROR(VLOOKUP(B$2+$A14,Measures!$B$4:$D$92,3,FALSE()),"")</f>
        <v/>
      </c>
      <c r="C14" s="65" t="str">
        <f aca="false">IFERROR(VLOOKUP(C$2+$A14,Measures!$B$4:$D$92,3,FALSE()),"")</f>
        <v>エコキュートを「節約モード」に設定する</v>
      </c>
      <c r="D14" s="65" t="str">
        <f aca="false">IFERROR(VLOOKUP(D$2+$A14,Measures!$B$4:$D$92,3,FALSE()),"")</f>
        <v>全ての部屋の窓ガラスを複層ガラスに置き換える</v>
      </c>
      <c r="E14" s="65" t="str">
        <f aca="false">IFERROR(VLOOKUP(E$2+$A14,Measures!$B$4:$D$92,3,FALSE()),"")</f>
        <v/>
      </c>
      <c r="F14" s="65" t="str">
        <f aca="false">IFERROR(VLOOKUP(F$2+$A14,Measures!$B$4:$D$92,3,FALSE()),"")</f>
        <v/>
      </c>
      <c r="G14" s="65" t="str">
        <f aca="false">IFERROR(VLOOKUP(G$2+$A14,Measures!$B$4:$D$92,3,FALSE()),"")</f>
        <v/>
      </c>
      <c r="H14" s="65" t="str">
        <f aca="false">IFERROR(VLOOKUP(H$2+$A14,Measures!$B$4:$D$92,3,FALSE()),"")</f>
        <v/>
      </c>
      <c r="I14" s="65" t="str">
        <f aca="false">IFERROR(VLOOKUP(I$2+$A14,Measures!$B$4:$D$92,3,FALSE()),"")</f>
        <v/>
      </c>
      <c r="J14" s="65" t="str">
        <f aca="false">IFERROR(VLOOKUP(J$2+$A14,Measures!$B$4:$D$92,3,FALSE()),"")</f>
        <v/>
      </c>
      <c r="K14" s="65" t="str">
        <f aca="false">IFERROR(VLOOKUP(K$2+$A14,Measures!$B$4:$D$92,3,FALSE()),"")</f>
        <v/>
      </c>
    </row>
    <row r="15" customFormat="false" ht="22.5" hidden="false" customHeight="true" outlineLevel="0" collapsed="false">
      <c r="A15" s="59" t="n">
        <v>13</v>
      </c>
      <c r="B15" s="65" t="str">
        <f aca="false">IFERROR(VLOOKUP(B$2+$A15,Measures!$B$4:$D$92,3,FALSE()),"")</f>
        <v/>
      </c>
      <c r="C15" s="65" t="str">
        <f aca="false">IFERROR(VLOOKUP(C$2+$A15,Measures!$B$4:$D$92,3,FALSE()),"")</f>
        <v>自動保温を続けるのでなく、次の人が入る直前に沸かし直す</v>
      </c>
      <c r="D15" s="65" t="str">
        <f aca="false">IFERROR(VLOOKUP(D$2+$A15,Measures!$B$4:$D$92,3,FALSE()),"")</f>
        <v>全ての部屋に内窓をとりつける</v>
      </c>
      <c r="E15" s="65" t="str">
        <f aca="false">IFERROR(VLOOKUP(E$2+$A15,Measures!$B$4:$D$92,3,FALSE()),"")</f>
        <v/>
      </c>
      <c r="F15" s="65" t="str">
        <f aca="false">IFERROR(VLOOKUP(F$2+$A15,Measures!$B$4:$D$92,3,FALSE()),"")</f>
        <v/>
      </c>
      <c r="G15" s="65" t="str">
        <f aca="false">IFERROR(VLOOKUP(G$2+$A15,Measures!$B$4:$D$92,3,FALSE()),"")</f>
        <v/>
      </c>
      <c r="H15" s="65" t="str">
        <f aca="false">IFERROR(VLOOKUP(H$2+$A15,Measures!$B$4:$D$92,3,FALSE()),"")</f>
        <v/>
      </c>
      <c r="I15" s="65" t="str">
        <f aca="false">IFERROR(VLOOKUP(I$2+$A15,Measures!$B$4:$D$92,3,FALSE()),"")</f>
        <v/>
      </c>
      <c r="J15" s="65" t="str">
        <f aca="false">IFERROR(VLOOKUP(J$2+$A15,Measures!$B$4:$D$92,3,FALSE()),"")</f>
        <v/>
      </c>
      <c r="K15" s="65" t="str">
        <f aca="false">IFERROR(VLOOKUP(K$2+$A15,Measures!$B$4:$D$92,3,FALSE()),"")</f>
        <v/>
      </c>
    </row>
    <row r="16" customFormat="false" ht="22.5" hidden="false" customHeight="true" outlineLevel="0" collapsed="false">
      <c r="A16" s="59" t="n">
        <v>14</v>
      </c>
      <c r="B16" s="65" t="str">
        <f aca="false">IFERROR(VLOOKUP(B$2+$A16,Measures!$B$4:$D$92,3,FALSE()),"")</f>
        <v/>
      </c>
      <c r="C16" s="65" t="str">
        <f aca="false">IFERROR(VLOOKUP(C$2+$A16,Measures!$B$4:$D$92,3,FALSE()),"")</f>
        <v>断熱型の浴槽にリフォームする</v>
      </c>
      <c r="D16" s="65" t="str">
        <f aca="false">IFERROR(VLOOKUP(D$2+$A16,Measures!$B$4:$D$92,3,FALSE()),"")</f>
        <v>全ての部屋の窓・サッシを樹脂枠low-Eガラスにする</v>
      </c>
      <c r="E16" s="65" t="str">
        <f aca="false">IFERROR(VLOOKUP(E$2+$A16,Measures!$B$4:$D$92,3,FALSE()),"")</f>
        <v/>
      </c>
      <c r="F16" s="65" t="str">
        <f aca="false">IFERROR(VLOOKUP(F$2+$A16,Measures!$B$4:$D$92,3,FALSE()),"")</f>
        <v/>
      </c>
      <c r="G16" s="65" t="str">
        <f aca="false">IFERROR(VLOOKUP(G$2+$A16,Measures!$B$4:$D$92,3,FALSE()),"")</f>
        <v/>
      </c>
      <c r="H16" s="65" t="str">
        <f aca="false">IFERROR(VLOOKUP(H$2+$A16,Measures!$B$4:$D$92,3,FALSE()),"")</f>
        <v/>
      </c>
      <c r="I16" s="65" t="str">
        <f aca="false">IFERROR(VLOOKUP(I$2+$A16,Measures!$B$4:$D$92,3,FALSE()),"")</f>
        <v/>
      </c>
      <c r="J16" s="65" t="str">
        <f aca="false">IFERROR(VLOOKUP(J$2+$A16,Measures!$B$4:$D$92,3,FALSE()),"")</f>
        <v/>
      </c>
      <c r="K16" s="65" t="str">
        <f aca="false">IFERROR(VLOOKUP(K$2+$A16,Measures!$B$4:$D$92,3,FALSE()),"")</f>
        <v/>
      </c>
    </row>
    <row r="17" customFormat="false" ht="22.5" hidden="false" customHeight="true" outlineLevel="0" collapsed="false">
      <c r="A17" s="59" t="n">
        <v>15</v>
      </c>
      <c r="B17" s="65" t="str">
        <f aca="false">IFERROR(VLOOKUP(B$2+$A17,Measures!$B$4:$D$92,3,FALSE()),"")</f>
        <v/>
      </c>
      <c r="C17" s="65" t="str">
        <f aca="false">IFERROR(VLOOKUP(C$2+$A17,Measures!$B$4:$D$92,3,FALSE()),"")</f>
        <v>夏場はシャワーだけですませて浴槽にお湯を張らない</v>
      </c>
      <c r="D17" s="65" t="str">
        <f aca="false">IFERROR(VLOOKUP(D$2+$A17,Measures!$B$4:$D$92,3,FALSE()),"")</f>
        <v>エアコンのフィルターを掃除する</v>
      </c>
      <c r="E17" s="65" t="str">
        <f aca="false">IFERROR(VLOOKUP(E$2+$A17,Measures!$B$4:$D$92,3,FALSE()),"")</f>
        <v/>
      </c>
      <c r="F17" s="65" t="str">
        <f aca="false">IFERROR(VLOOKUP(F$2+$A17,Measures!$B$4:$D$92,3,FALSE()),"")</f>
        <v/>
      </c>
      <c r="G17" s="65" t="str">
        <f aca="false">IFERROR(VLOOKUP(G$2+$A17,Measures!$B$4:$D$92,3,FALSE()),"")</f>
        <v/>
      </c>
      <c r="H17" s="65" t="str">
        <f aca="false">IFERROR(VLOOKUP(H$2+$A17,Measures!$B$4:$D$92,3,FALSE()),"")</f>
        <v/>
      </c>
      <c r="I17" s="65" t="str">
        <f aca="false">IFERROR(VLOOKUP(I$2+$A17,Measures!$B$4:$D$92,3,FALSE()),"")</f>
        <v/>
      </c>
      <c r="J17" s="65" t="str">
        <f aca="false">IFERROR(VLOOKUP(J$2+$A17,Measures!$B$4:$D$92,3,FALSE()),"")</f>
        <v/>
      </c>
      <c r="K17" s="65" t="str">
        <f aca="false">IFERROR(VLOOKUP(K$2+$A17,Measures!$B$4:$D$92,3,FALSE()),"")</f>
        <v/>
      </c>
    </row>
    <row r="18" customFormat="false" ht="22.5" hidden="false" customHeight="true" outlineLevel="0" collapsed="false">
      <c r="A18" s="59" t="n">
        <v>16</v>
      </c>
      <c r="B18" s="65" t="str">
        <f aca="false">IFERROR(VLOOKUP(B$2+$A18,Measures!$B$4:$D$92,3,FALSE()),"")</f>
        <v/>
      </c>
      <c r="C18" s="65" t="str">
        <f aca="false">IFERROR(VLOOKUP(C$2+$A18,Measures!$B$4:$D$92,3,FALSE()),"")</f>
        <v>食器洗いでお湯を流しっぱなしにしない</v>
      </c>
      <c r="D18" s="65" t="str">
        <f aca="false">IFERROR(VLOOKUP(D$2+$A18,Measures!$B$4:$D$92,3,FALSE()),"")</f>
        <v>暖房の使用時間を1時間短くする</v>
      </c>
      <c r="E18" s="65" t="str">
        <f aca="false">IFERROR(VLOOKUP(E$2+$A18,Measures!$B$4:$D$92,3,FALSE()),"")</f>
        <v/>
      </c>
      <c r="F18" s="65" t="str">
        <f aca="false">IFERROR(VLOOKUP(F$2+$A18,Measures!$B$4:$D$92,3,FALSE()),"")</f>
        <v/>
      </c>
      <c r="G18" s="65" t="str">
        <f aca="false">IFERROR(VLOOKUP(G$2+$A18,Measures!$B$4:$D$92,3,FALSE()),"")</f>
        <v/>
      </c>
      <c r="H18" s="65" t="str">
        <f aca="false">IFERROR(VLOOKUP(H$2+$A18,Measures!$B$4:$D$92,3,FALSE()),"")</f>
        <v/>
      </c>
      <c r="I18" s="65" t="str">
        <f aca="false">IFERROR(VLOOKUP(I$2+$A18,Measures!$B$4:$D$92,3,FALSE()),"")</f>
        <v/>
      </c>
      <c r="J18" s="65" t="str">
        <f aca="false">IFERROR(VLOOKUP(J$2+$A18,Measures!$B$4:$D$92,3,FALSE()),"")</f>
        <v/>
      </c>
      <c r="K18" s="65" t="str">
        <f aca="false">IFERROR(VLOOKUP(K$2+$A18,Measures!$B$4:$D$92,3,FALSE()),"")</f>
        <v/>
      </c>
    </row>
    <row r="19" customFormat="false" ht="22.5" hidden="false" customHeight="true" outlineLevel="0" collapsed="false">
      <c r="A19" s="59" t="n">
        <v>17</v>
      </c>
      <c r="B19" s="65" t="str">
        <f aca="false">IFERROR(VLOOKUP(B$2+$A19,Measures!$B$4:$D$92,3,FALSE()),"")</f>
        <v/>
      </c>
      <c r="C19" s="65" t="str">
        <f aca="false">IFERROR(VLOOKUP(C$2+$A19,Measures!$B$4:$D$92,3,FALSE()),"")</f>
        <v>水が冷たくない時期には水で食器を洗う</v>
      </c>
      <c r="D19" s="65" t="str">
        <f aca="false">IFERROR(VLOOKUP(D$2+$A19,Measures!$B$4:$D$92,3,FALSE()),"")</f>
        <v>こたつやホットカーペットを活用して、部屋暖房を控える</v>
      </c>
      <c r="E19" s="65" t="str">
        <f aca="false">IFERROR(VLOOKUP(E$2+$A19,Measures!$B$4:$D$92,3,FALSE()),"")</f>
        <v/>
      </c>
      <c r="F19" s="65" t="str">
        <f aca="false">IFERROR(VLOOKUP(F$2+$A19,Measures!$B$4:$D$92,3,FALSE()),"")</f>
        <v/>
      </c>
      <c r="G19" s="65" t="str">
        <f aca="false">IFERROR(VLOOKUP(G$2+$A19,Measures!$B$4:$D$92,3,FALSE()),"")</f>
        <v/>
      </c>
      <c r="H19" s="65" t="str">
        <f aca="false">IFERROR(VLOOKUP(H$2+$A19,Measures!$B$4:$D$92,3,FALSE()),"")</f>
        <v/>
      </c>
      <c r="I19" s="65" t="str">
        <f aca="false">IFERROR(VLOOKUP(I$2+$A19,Measures!$B$4:$D$92,3,FALSE()),"")</f>
        <v/>
      </c>
      <c r="J19" s="65" t="str">
        <f aca="false">IFERROR(VLOOKUP(J$2+$A19,Measures!$B$4:$D$92,3,FALSE()),"")</f>
        <v/>
      </c>
      <c r="K19" s="65" t="str">
        <f aca="false">IFERROR(VLOOKUP(K$2+$A19,Measures!$B$4:$D$92,3,FALSE()),"")</f>
        <v/>
      </c>
    </row>
    <row r="20" customFormat="false" ht="22.5" hidden="false" customHeight="true" outlineLevel="0" collapsed="false">
      <c r="A20" s="59" t="n">
        <v>18</v>
      </c>
      <c r="B20" s="65" t="str">
        <f aca="false">IFERROR(VLOOKUP(B$2+$A20,Measures!$B$4:$D$92,3,FALSE()),"")</f>
        <v/>
      </c>
      <c r="C20" s="65" t="str">
        <f aca="false">IFERROR(VLOOKUP(C$2+$A20,Measures!$B$4:$D$92,3,FALSE()),"")</f>
        <v>食器洗い乾燥機を使う</v>
      </c>
      <c r="D20" s="65" t="str">
        <f aca="false">IFERROR(VLOOKUP(D$2+$A20,Measures!$B$4:$D$92,3,FALSE()),"")</f>
        <v>暖房時に天井の暖気をかきまぜる</v>
      </c>
      <c r="E20" s="65" t="str">
        <f aca="false">IFERROR(VLOOKUP(E$2+$A20,Measures!$B$4:$D$92,3,FALSE()),"")</f>
        <v/>
      </c>
      <c r="F20" s="65" t="str">
        <f aca="false">IFERROR(VLOOKUP(F$2+$A20,Measures!$B$4:$D$92,3,FALSE()),"")</f>
        <v/>
      </c>
      <c r="G20" s="65" t="str">
        <f aca="false">IFERROR(VLOOKUP(G$2+$A20,Measures!$B$4:$D$92,3,FALSE()),"")</f>
        <v/>
      </c>
      <c r="H20" s="65" t="str">
        <f aca="false">IFERROR(VLOOKUP(H$2+$A20,Measures!$B$4:$D$92,3,FALSE()),"")</f>
        <v/>
      </c>
      <c r="I20" s="65" t="str">
        <f aca="false">IFERROR(VLOOKUP(I$2+$A20,Measures!$B$4:$D$92,3,FALSE()),"")</f>
        <v/>
      </c>
      <c r="J20" s="65" t="str">
        <f aca="false">IFERROR(VLOOKUP(J$2+$A20,Measures!$B$4:$D$92,3,FALSE()),"")</f>
        <v/>
      </c>
      <c r="K20" s="65" t="str">
        <f aca="false">IFERROR(VLOOKUP(K$2+$A20,Measures!$B$4:$D$92,3,FALSE()),"")</f>
        <v/>
      </c>
    </row>
    <row r="21" customFormat="false" ht="22.5" hidden="false" customHeight="true" outlineLevel="0" collapsed="false">
      <c r="A21" s="59" t="n">
        <v>19</v>
      </c>
      <c r="B21" s="65" t="str">
        <f aca="false">IFERROR(VLOOKUP(B$2+$A21,Measures!$B$4:$D$92,3,FALSE()),"")</f>
        <v/>
      </c>
      <c r="C21" s="65" t="str">
        <f aca="false">IFERROR(VLOOKUP(C$2+$A21,Measures!$B$4:$D$92,3,FALSE()),"")</f>
        <v>台所・洗面所に節湯水栓を設置する</v>
      </c>
      <c r="D21" s="65" t="str">
        <f aca="false">IFERROR(VLOOKUP(D$2+$A21,Measures!$B$4:$D$92,3,FALSE()),"")</f>
        <v>暖房時に部屋のドアやふすまを閉め、暖房範囲を小さくする</v>
      </c>
      <c r="E21" s="65" t="str">
        <f aca="false">IFERROR(VLOOKUP(E$2+$A21,Measures!$B$4:$D$92,3,FALSE()),"")</f>
        <v/>
      </c>
      <c r="F21" s="65" t="str">
        <f aca="false">IFERROR(VLOOKUP(F$2+$A21,Measures!$B$4:$D$92,3,FALSE()),"")</f>
        <v/>
      </c>
      <c r="G21" s="65" t="str">
        <f aca="false">IFERROR(VLOOKUP(G$2+$A21,Measures!$B$4:$D$92,3,FALSE()),"")</f>
        <v/>
      </c>
      <c r="H21" s="65" t="str">
        <f aca="false">IFERROR(VLOOKUP(H$2+$A21,Measures!$B$4:$D$92,3,FALSE()),"")</f>
        <v/>
      </c>
      <c r="I21" s="65" t="str">
        <f aca="false">IFERROR(VLOOKUP(I$2+$A21,Measures!$B$4:$D$92,3,FALSE()),"")</f>
        <v/>
      </c>
      <c r="J21" s="65" t="str">
        <f aca="false">IFERROR(VLOOKUP(J$2+$A21,Measures!$B$4:$D$92,3,FALSE()),"")</f>
        <v/>
      </c>
      <c r="K21" s="65" t="str">
        <f aca="false">IFERROR(VLOOKUP(K$2+$A21,Measures!$B$4:$D$92,3,FALSE()),"")</f>
        <v/>
      </c>
    </row>
    <row r="22" customFormat="false" ht="22.5" hidden="false" customHeight="true" outlineLevel="0" collapsed="false">
      <c r="A22" s="59" t="n">
        <v>20</v>
      </c>
      <c r="B22" s="65" t="str">
        <f aca="false">IFERROR(VLOOKUP(B$2+$A22,Measures!$B$4:$D$92,3,FALSE()),"")</f>
        <v/>
      </c>
      <c r="C22" s="65" t="str">
        <f aca="false">IFERROR(VLOOKUP(C$2+$A22,Measures!$B$4:$D$92,3,FALSE()),"")</f>
        <v>節水トイレを設置する</v>
      </c>
      <c r="D22" s="65" t="str">
        <f aca="false">IFERROR(VLOOKUP(D$2+$A22,Measures!$B$4:$D$92,3,FALSE()),"")</f>
        <v>家族だんらんで一部屋で過ごすようにする</v>
      </c>
      <c r="E22" s="65" t="str">
        <f aca="false">IFERROR(VLOOKUP(E$2+$A22,Measures!$B$4:$D$92,3,FALSE()),"")</f>
        <v/>
      </c>
      <c r="F22" s="65" t="str">
        <f aca="false">IFERROR(VLOOKUP(F$2+$A22,Measures!$B$4:$D$92,3,FALSE()),"")</f>
        <v/>
      </c>
      <c r="G22" s="65" t="str">
        <f aca="false">IFERROR(VLOOKUP(G$2+$A22,Measures!$B$4:$D$92,3,FALSE()),"")</f>
        <v/>
      </c>
      <c r="H22" s="65" t="str">
        <f aca="false">IFERROR(VLOOKUP(H$2+$A22,Measures!$B$4:$D$92,3,FALSE()),"")</f>
        <v/>
      </c>
      <c r="I22" s="65" t="str">
        <f aca="false">IFERROR(VLOOKUP(I$2+$A22,Measures!$B$4:$D$92,3,FALSE()),"")</f>
        <v/>
      </c>
      <c r="J22" s="65" t="str">
        <f aca="false">IFERROR(VLOOKUP(J$2+$A22,Measures!$B$4:$D$92,3,FALSE()),"")</f>
        <v/>
      </c>
      <c r="K22" s="65" t="str">
        <f aca="false">IFERROR(VLOOKUP(K$2+$A22,Measures!$B$4:$D$92,3,FALSE()),"")</f>
        <v/>
      </c>
    </row>
    <row r="23" customFormat="false" ht="22.5" hidden="false" customHeight="true" outlineLevel="0" collapsed="false">
      <c r="A23" s="59" t="n">
        <v>21</v>
      </c>
      <c r="B23" s="65" t="str">
        <f aca="false">IFERROR(VLOOKUP(B$2+$A23,Measures!$B$4:$D$92,3,FALSE()),"")</f>
        <v/>
      </c>
      <c r="C23" s="65" t="str">
        <f aca="false">IFERROR(VLOOKUP(C$2+$A23,Measures!$B$4:$D$92,3,FALSE()),"")</f>
        <v>瞬間式の温水洗浄便座に買い替える</v>
      </c>
      <c r="D23" s="65" t="str">
        <f aca="false">IFERROR(VLOOKUP(D$2+$A23,Measures!$B$4:$D$92,3,FALSE()),"")</f>
        <v>薪ストーブ（ペレットストーブ）を導入する</v>
      </c>
      <c r="E23" s="65" t="str">
        <f aca="false">IFERROR(VLOOKUP(E$2+$A23,Measures!$B$4:$D$92,3,FALSE()),"")</f>
        <v/>
      </c>
      <c r="F23" s="65" t="str">
        <f aca="false">IFERROR(VLOOKUP(F$2+$A23,Measures!$B$4:$D$92,3,FALSE()),"")</f>
        <v/>
      </c>
      <c r="G23" s="65" t="str">
        <f aca="false">IFERROR(VLOOKUP(G$2+$A23,Measures!$B$4:$D$92,3,FALSE()),"")</f>
        <v/>
      </c>
      <c r="H23" s="65" t="str">
        <f aca="false">IFERROR(VLOOKUP(H$2+$A23,Measures!$B$4:$D$92,3,FALSE()),"")</f>
        <v/>
      </c>
      <c r="I23" s="65" t="str">
        <f aca="false">IFERROR(VLOOKUP(I$2+$A23,Measures!$B$4:$D$92,3,FALSE()),"")</f>
        <v/>
      </c>
      <c r="J23" s="65" t="str">
        <f aca="false">IFERROR(VLOOKUP(J$2+$A23,Measures!$B$4:$D$92,3,FALSE()),"")</f>
        <v/>
      </c>
      <c r="K23" s="65" t="str">
        <f aca="false">IFERROR(VLOOKUP(K$2+$A23,Measures!$B$4:$D$92,3,FALSE()),"")</f>
        <v/>
      </c>
    </row>
    <row r="24" customFormat="false" ht="22.5" hidden="false" customHeight="true" outlineLevel="0" collapsed="false">
      <c r="A24" s="59" t="n">
        <v>22</v>
      </c>
      <c r="B24" s="65" t="str">
        <f aca="false">IFERROR(VLOOKUP(B$2+$A24,Measures!$B$4:$D$92,3,FALSE()),"")</f>
        <v/>
      </c>
      <c r="C24" s="65" t="str">
        <f aca="false">IFERROR(VLOOKUP(C$2+$A24,Measures!$B$4:$D$92,3,FALSE()),"")</f>
        <v>保温便座の温度設定を下げる</v>
      </c>
      <c r="D24" s="65" t="str">
        <f aca="false">IFERROR(VLOOKUP(D$2+$A24,Measures!$B$4:$D$92,3,FALSE()),"")</f>
        <v>使っていない部屋の設定温度を下げる</v>
      </c>
      <c r="E24" s="65" t="str">
        <f aca="false">IFERROR(VLOOKUP(E$2+$A24,Measures!$B$4:$D$92,3,FALSE()),"")</f>
        <v/>
      </c>
      <c r="F24" s="65" t="str">
        <f aca="false">IFERROR(VLOOKUP(F$2+$A24,Measures!$B$4:$D$92,3,FALSE()),"")</f>
        <v/>
      </c>
      <c r="G24" s="65" t="str">
        <f aca="false">IFERROR(VLOOKUP(G$2+$A24,Measures!$B$4:$D$92,3,FALSE()),"")</f>
        <v/>
      </c>
      <c r="H24" s="65" t="str">
        <f aca="false">IFERROR(VLOOKUP(H$2+$A24,Measures!$B$4:$D$92,3,FALSE()),"")</f>
        <v/>
      </c>
      <c r="I24" s="65" t="str">
        <f aca="false">IFERROR(VLOOKUP(I$2+$A24,Measures!$B$4:$D$92,3,FALSE()),"")</f>
        <v/>
      </c>
      <c r="J24" s="65" t="str">
        <f aca="false">IFERROR(VLOOKUP(J$2+$A24,Measures!$B$4:$D$92,3,FALSE()),"")</f>
        <v/>
      </c>
      <c r="K24" s="65" t="str">
        <f aca="false">IFERROR(VLOOKUP(K$2+$A24,Measures!$B$4:$D$92,3,FALSE()),"")</f>
        <v/>
      </c>
    </row>
    <row r="25" customFormat="false" ht="22.5" hidden="false" customHeight="true" outlineLevel="0" collapsed="false">
      <c r="A25" s="59" t="n">
        <v>23</v>
      </c>
      <c r="B25" s="65" t="str">
        <f aca="false">IFERROR(VLOOKUP(B$2+$A25,Measures!$B$4:$D$92,3,FALSE()),"")</f>
        <v/>
      </c>
      <c r="C25" s="65" t="str">
        <f aca="false">IFERROR(VLOOKUP(C$2+$A25,Measures!$B$4:$D$92,3,FALSE()),"")</f>
        <v>保温洗浄便座のふたをしめる</v>
      </c>
      <c r="D25" s="65" t="str">
        <f aca="false">IFERROR(VLOOKUP(D$2+$A25,Measures!$B$4:$D$92,3,FALSE()),"")</f>
        <v>全熱交換換気装置を設置する</v>
      </c>
      <c r="E25" s="65" t="str">
        <f aca="false">IFERROR(VLOOKUP(E$2+$A25,Measures!$B$4:$D$92,3,FALSE()),"")</f>
        <v/>
      </c>
      <c r="F25" s="65" t="str">
        <f aca="false">IFERROR(VLOOKUP(F$2+$A25,Measures!$B$4:$D$92,3,FALSE()),"")</f>
        <v/>
      </c>
      <c r="G25" s="65" t="str">
        <f aca="false">IFERROR(VLOOKUP(G$2+$A25,Measures!$B$4:$D$92,3,FALSE()),"")</f>
        <v/>
      </c>
      <c r="H25" s="65" t="str">
        <f aca="false">IFERROR(VLOOKUP(H$2+$A25,Measures!$B$4:$D$92,3,FALSE()),"")</f>
        <v/>
      </c>
      <c r="I25" s="65" t="str">
        <f aca="false">IFERROR(VLOOKUP(I$2+$A25,Measures!$B$4:$D$92,3,FALSE()),"")</f>
        <v/>
      </c>
      <c r="J25" s="65" t="str">
        <f aca="false">IFERROR(VLOOKUP(J$2+$A25,Measures!$B$4:$D$92,3,FALSE()),"")</f>
        <v/>
      </c>
      <c r="K25" s="65" t="str">
        <f aca="false">IFERROR(VLOOKUP(K$2+$A25,Measures!$B$4:$D$92,3,FALSE()),"")</f>
        <v/>
      </c>
    </row>
    <row r="26" customFormat="false" ht="28.35" hidden="false" customHeight="false" outlineLevel="0" collapsed="false">
      <c r="A26" s="59" t="n">
        <v>24</v>
      </c>
      <c r="B26" s="65" t="str">
        <f aca="false">IFERROR(VLOOKUP(B$2+$A26,Measures!$B$4:$D$92,3,FALSE()),"")</f>
        <v/>
      </c>
      <c r="C26" s="65" t="str">
        <f aca="false">IFERROR(VLOOKUP(C$2+$A26,Measures!$B$4:$D$92,3,FALSE()),"")</f>
        <v/>
      </c>
      <c r="D26" s="65" t="str">
        <f aca="false">IFERROR(VLOOKUP(D$2+$A26,Measures!$B$4:$D$92,3,FALSE()),"")</f>
        <v>省エネ等級5（ZEH相当）の省エネ住宅にリフォームする</v>
      </c>
      <c r="E26" s="65" t="str">
        <f aca="false">IFERROR(VLOOKUP(E$2+$A26,Measures!$B$4:$D$92,3,FALSE()),"")</f>
        <v/>
      </c>
      <c r="F26" s="65" t="str">
        <f aca="false">IFERROR(VLOOKUP(F$2+$A26,Measures!$B$4:$D$92,3,FALSE()),"")</f>
        <v/>
      </c>
      <c r="G26" s="65" t="str">
        <f aca="false">IFERROR(VLOOKUP(G$2+$A26,Measures!$B$4:$D$92,3,FALSE()),"")</f>
        <v/>
      </c>
      <c r="H26" s="65" t="str">
        <f aca="false">IFERROR(VLOOKUP(H$2+$A26,Measures!$B$4:$D$92,3,FALSE()),"")</f>
        <v/>
      </c>
      <c r="I26" s="65" t="str">
        <f aca="false">IFERROR(VLOOKUP(I$2+$A26,Measures!$B$4:$D$92,3,FALSE()),"")</f>
        <v/>
      </c>
      <c r="J26" s="65" t="str">
        <f aca="false">IFERROR(VLOOKUP(J$2+$A26,Measures!$B$4:$D$92,3,FALSE()),"")</f>
        <v/>
      </c>
      <c r="K26" s="65" t="str">
        <f aca="false">IFERROR(VLOOKUP(K$2+$A26,Measures!$B$4:$D$92,3,FALSE()),"")</f>
        <v/>
      </c>
    </row>
    <row r="27" customFormat="false" ht="19.4" hidden="false" customHeight="false" outlineLevel="0" collapsed="false">
      <c r="A27" s="59" t="n">
        <v>25</v>
      </c>
      <c r="B27" s="65" t="str">
        <f aca="false">IFERROR(VLOOKUP(B$2+$A27,Measures!$B$4:$D$92,3,FALSE()),"")</f>
        <v/>
      </c>
      <c r="C27" s="65" t="str">
        <f aca="false">IFERROR(VLOOKUP(C$2+$A27,Measures!$B$4:$D$92,3,FALSE()),"")</f>
        <v/>
      </c>
      <c r="D27" s="65" t="str">
        <f aca="false">IFERROR(VLOOKUP(D$2+$A27,Measures!$B$4:$D$92,3,FALSE()),"")</f>
        <v>省エネ等級6相当の省エネ住宅にリフォームする</v>
      </c>
      <c r="E27" s="65" t="str">
        <f aca="false">IFERROR(VLOOKUP(E$2+$A27,Measures!$B$4:$D$92,3,FALSE()),"")</f>
        <v/>
      </c>
      <c r="F27" s="65" t="str">
        <f aca="false">IFERROR(VLOOKUP(F$2+$A27,Measures!$B$4:$D$92,3,FALSE()),"")</f>
        <v/>
      </c>
      <c r="G27" s="65" t="str">
        <f aca="false">IFERROR(VLOOKUP(G$2+$A27,Measures!$B$4:$D$92,3,FALSE()),"")</f>
        <v/>
      </c>
      <c r="H27" s="65" t="str">
        <f aca="false">IFERROR(VLOOKUP(H$2+$A27,Measures!$B$4:$D$92,3,FALSE()),"")</f>
        <v/>
      </c>
      <c r="I27" s="65" t="str">
        <f aca="false">IFERROR(VLOOKUP(I$2+$A27,Measures!$B$4:$D$92,3,FALSE()),"")</f>
        <v/>
      </c>
      <c r="J27" s="65" t="str">
        <f aca="false">IFERROR(VLOOKUP(J$2+$A27,Measures!$B$4:$D$92,3,FALSE()),"")</f>
        <v/>
      </c>
      <c r="K27" s="65" t="str">
        <f aca="false">IFERROR(VLOOKUP(K$2+$A27,Measures!$B$4:$D$92,3,FALSE()),"")</f>
        <v/>
      </c>
    </row>
    <row r="28" customFormat="false" ht="11.25" hidden="false" customHeight="false" outlineLevel="0" collapsed="false">
      <c r="A28" s="59" t="n">
        <v>26</v>
      </c>
      <c r="B28" s="65" t="str">
        <f aca="false">IFERROR(VLOOKUP(B$2+$A28,Measures!$B$4:$D$92,3,FALSE()),"")</f>
        <v/>
      </c>
      <c r="C28" s="65" t="str">
        <f aca="false">IFERROR(VLOOKUP(C$2+$A28,Measures!$B$4:$D$92,3,FALSE()),"")</f>
        <v/>
      </c>
      <c r="D28" s="65" t="str">
        <f aca="false">IFERROR(VLOOKUP(D$2+$A28,Measures!$B$4:$D$92,3,FALSE()),"")</f>
        <v/>
      </c>
      <c r="E28" s="65" t="str">
        <f aca="false">IFERROR(VLOOKUP(E$2+$A28,Measures!$B$4:$D$92,3,FALSE()),"")</f>
        <v/>
      </c>
      <c r="F28" s="65" t="str">
        <f aca="false">IFERROR(VLOOKUP(F$2+$A28,Measures!$B$4:$D$92,3,FALSE()),"")</f>
        <v/>
      </c>
      <c r="G28" s="65" t="str">
        <f aca="false">IFERROR(VLOOKUP(G$2+$A28,Measures!$B$4:$D$92,3,FALSE()),"")</f>
        <v/>
      </c>
      <c r="H28" s="65" t="str">
        <f aca="false">IFERROR(VLOOKUP(H$2+$A28,Measures!$B$4:$D$92,3,FALSE()),"")</f>
        <v/>
      </c>
      <c r="I28" s="65" t="str">
        <f aca="false">IFERROR(VLOOKUP(I$2+$A28,Measures!$B$4:$D$92,3,FALSE()),"")</f>
        <v/>
      </c>
      <c r="J28" s="65" t="str">
        <f aca="false">IFERROR(VLOOKUP(J$2+$A28,Measures!$B$4:$D$92,3,FALSE()),"")</f>
        <v/>
      </c>
      <c r="K28" s="65" t="str">
        <f aca="false">IFERROR(VLOOKUP(K$2+$A28,Measures!$B$4:$D$92,3,FALSE()),"")</f>
        <v/>
      </c>
    </row>
    <row r="29" customFormat="false" ht="11.25" hidden="false" customHeight="false" outlineLevel="0" collapsed="false">
      <c r="A29" s="59" t="n">
        <v>27</v>
      </c>
      <c r="B29" s="65" t="str">
        <f aca="false">IFERROR(VLOOKUP(B$2+$A29,Measures!$B$4:$D$92,3,FALSE()),"")</f>
        <v/>
      </c>
      <c r="C29" s="65" t="str">
        <f aca="false">IFERROR(VLOOKUP(C$2+$A29,Measures!$B$4:$D$92,3,FALSE()),"")</f>
        <v/>
      </c>
      <c r="D29" s="65" t="str">
        <f aca="false">IFERROR(VLOOKUP(D$2+$A29,Measures!$B$4:$D$92,3,FALSE()),"")</f>
        <v/>
      </c>
      <c r="E29" s="65" t="str">
        <f aca="false">IFERROR(VLOOKUP(E$2+$A29,Measures!$B$4:$D$92,3,FALSE()),"")</f>
        <v/>
      </c>
      <c r="F29" s="65" t="str">
        <f aca="false">IFERROR(VLOOKUP(F$2+$A29,Measures!$B$4:$D$92,3,FALSE()),"")</f>
        <v/>
      </c>
      <c r="G29" s="65" t="str">
        <f aca="false">IFERROR(VLOOKUP(G$2+$A29,Measures!$B$4:$D$92,3,FALSE()),"")</f>
        <v/>
      </c>
      <c r="H29" s="65" t="str">
        <f aca="false">IFERROR(VLOOKUP(H$2+$A29,Measures!$B$4:$D$92,3,FALSE()),"")</f>
        <v/>
      </c>
      <c r="I29" s="65" t="str">
        <f aca="false">IFERROR(VLOOKUP(I$2+$A29,Measures!$B$4:$D$92,3,FALSE()),"")</f>
        <v/>
      </c>
      <c r="J29" s="65" t="str">
        <f aca="false">IFERROR(VLOOKUP(J$2+$A29,Measures!$B$4:$D$92,3,FALSE()),"")</f>
        <v/>
      </c>
      <c r="K29" s="65" t="str">
        <f aca="false">IFERROR(VLOOKUP(K$2+$A29,Measures!$B$4:$D$92,3,FALSE()),"")</f>
        <v/>
      </c>
    </row>
    <row r="30" customFormat="false" ht="11.25" hidden="false" customHeight="false" outlineLevel="0" collapsed="false">
      <c r="A30" s="59" t="n">
        <v>28</v>
      </c>
      <c r="B30" s="65" t="str">
        <f aca="false">IFERROR(VLOOKUP(B$2+$A30,Measures!$B$4:$D$92,3,FALSE()),"")</f>
        <v/>
      </c>
      <c r="C30" s="65" t="str">
        <f aca="false">IFERROR(VLOOKUP(C$2+$A30,Measures!$B$4:$D$92,3,FALSE()),"")</f>
        <v/>
      </c>
      <c r="D30" s="65" t="str">
        <f aca="false">IFERROR(VLOOKUP(D$2+$A30,Measures!$B$4:$D$92,3,FALSE()),"")</f>
        <v/>
      </c>
      <c r="E30" s="65" t="str">
        <f aca="false">IFERROR(VLOOKUP(E$2+$A30,Measures!$B$4:$D$92,3,FALSE()),"")</f>
        <v/>
      </c>
      <c r="F30" s="65" t="str">
        <f aca="false">IFERROR(VLOOKUP(F$2+$A30,Measures!$B$4:$D$92,3,FALSE()),"")</f>
        <v/>
      </c>
      <c r="G30" s="65" t="str">
        <f aca="false">IFERROR(VLOOKUP(G$2+$A30,Measures!$B$4:$D$92,3,FALSE()),"")</f>
        <v/>
      </c>
      <c r="H30" s="65" t="str">
        <f aca="false">IFERROR(VLOOKUP(H$2+$A30,Measures!$B$4:$D$92,3,FALSE()),"")</f>
        <v/>
      </c>
      <c r="I30" s="65" t="str">
        <f aca="false">IFERROR(VLOOKUP(I$2+$A30,Measures!$B$4:$D$92,3,FALSE()),"")</f>
        <v/>
      </c>
      <c r="J30" s="65" t="str">
        <f aca="false">IFERROR(VLOOKUP(J$2+$A30,Measures!$B$4:$D$92,3,FALSE()),"")</f>
        <v/>
      </c>
      <c r="K30" s="65" t="str">
        <f aca="false">IFERROR(VLOOKUP(K$2+$A30,Measures!$B$4:$D$92,3,FALSE()),"")</f>
        <v/>
      </c>
    </row>
    <row r="31" customFormat="false" ht="11.25" hidden="false" customHeight="false" outlineLevel="0" collapsed="false">
      <c r="A31" s="59" t="n">
        <v>29</v>
      </c>
      <c r="B31" s="65" t="str">
        <f aca="false">IFERROR(VLOOKUP(B$2+$A31,Measures!$B$4:$D$92,3,FALSE()),"")</f>
        <v/>
      </c>
      <c r="C31" s="65" t="str">
        <f aca="false">IFERROR(VLOOKUP(C$2+$A31,Measures!$B$4:$D$92,3,FALSE()),"")</f>
        <v/>
      </c>
      <c r="D31" s="65" t="str">
        <f aca="false">IFERROR(VLOOKUP(D$2+$A31,Measures!$B$4:$D$92,3,FALSE()),"")</f>
        <v/>
      </c>
      <c r="E31" s="65" t="str">
        <f aca="false">IFERROR(VLOOKUP(E$2+$A31,Measures!$B$4:$D$92,3,FALSE()),"")</f>
        <v/>
      </c>
      <c r="F31" s="65" t="str">
        <f aca="false">IFERROR(VLOOKUP(F$2+$A31,Measures!$B$4:$D$92,3,FALSE()),"")</f>
        <v/>
      </c>
      <c r="G31" s="65" t="str">
        <f aca="false">IFERROR(VLOOKUP(G$2+$A31,Measures!$B$4:$D$92,3,FALSE()),"")</f>
        <v/>
      </c>
      <c r="H31" s="65" t="str">
        <f aca="false">IFERROR(VLOOKUP(H$2+$A31,Measures!$B$4:$D$92,3,FALSE()),"")</f>
        <v/>
      </c>
      <c r="I31" s="65" t="str">
        <f aca="false">IFERROR(VLOOKUP(I$2+$A31,Measures!$B$4:$D$92,3,FALSE()),"")</f>
        <v/>
      </c>
      <c r="J31" s="65" t="str">
        <f aca="false">IFERROR(VLOOKUP(J$2+$A31,Measures!$B$4:$D$92,3,FALSE()),"")</f>
        <v/>
      </c>
      <c r="K31" s="65" t="str">
        <f aca="false">IFERROR(VLOOKUP(K$2+$A31,Measures!$B$4:$D$92,3,FALSE()),"")</f>
        <v/>
      </c>
    </row>
    <row r="32" customFormat="false" ht="11.25" hidden="false" customHeight="false" outlineLevel="0" collapsed="false">
      <c r="A32" s="59" t="n">
        <v>30</v>
      </c>
      <c r="B32" s="65" t="str">
        <f aca="false">IFERROR(VLOOKUP(B$2+$A32,Measures!$B$4:$D$92,3,FALSE()),"")</f>
        <v/>
      </c>
      <c r="C32" s="65" t="str">
        <f aca="false">IFERROR(VLOOKUP(C$2+$A32,Measures!$B$4:$D$92,3,FALSE()),"")</f>
        <v/>
      </c>
      <c r="D32" s="65" t="str">
        <f aca="false">IFERROR(VLOOKUP(D$2+$A32,Measures!$B$4:$D$92,3,FALSE()),"")</f>
        <v/>
      </c>
      <c r="E32" s="65" t="str">
        <f aca="false">IFERROR(VLOOKUP(E$2+$A32,Measures!$B$4:$D$92,3,FALSE()),"")</f>
        <v/>
      </c>
      <c r="F32" s="65" t="str">
        <f aca="false">IFERROR(VLOOKUP(F$2+$A32,Measures!$B$4:$D$92,3,FALSE()),"")</f>
        <v/>
      </c>
      <c r="G32" s="65" t="str">
        <f aca="false">IFERROR(VLOOKUP(G$2+$A32,Measures!$B$4:$D$92,3,FALSE()),"")</f>
        <v/>
      </c>
      <c r="H32" s="65" t="str">
        <f aca="false">IFERROR(VLOOKUP(H$2+$A32,Measures!$B$4:$D$92,3,FALSE()),"")</f>
        <v/>
      </c>
      <c r="I32" s="65" t="str">
        <f aca="false">IFERROR(VLOOKUP(I$2+$A32,Measures!$B$4:$D$92,3,FALSE()),"")</f>
        <v/>
      </c>
      <c r="J32" s="65" t="str">
        <f aca="false">IFERROR(VLOOKUP(J$2+$A32,Measures!$B$4:$D$92,3,FALSE()),"")</f>
        <v/>
      </c>
      <c r="K32" s="65" t="str">
        <f aca="false">IFERROR(VLOOKUP(K$2+$A32,Measures!$B$4:$D$92,3,FALSE()),"")</f>
        <v/>
      </c>
    </row>
    <row r="33" customFormat="false" ht="11.25" hidden="false" customHeight="false" outlineLevel="0" collapsed="false">
      <c r="A33" s="59" t="n">
        <v>31</v>
      </c>
      <c r="B33" s="65" t="str">
        <f aca="false">IFERROR(VLOOKUP(B$2+$A33,Measures!$B$4:$D$92,3,FALSE()),"")</f>
        <v/>
      </c>
      <c r="C33" s="65" t="str">
        <f aca="false">IFERROR(VLOOKUP(C$2+$A33,Measures!$B$4:$D$92,3,FALSE()),"")</f>
        <v/>
      </c>
      <c r="D33" s="65" t="str">
        <f aca="false">IFERROR(VLOOKUP(D$2+$A33,Measures!$B$4:$D$92,3,FALSE()),"")</f>
        <v/>
      </c>
      <c r="E33" s="65" t="str">
        <f aca="false">IFERROR(VLOOKUP(E$2+$A33,Measures!$B$4:$D$92,3,FALSE()),"")</f>
        <v/>
      </c>
      <c r="F33" s="65" t="str">
        <f aca="false">IFERROR(VLOOKUP(F$2+$A33,Measures!$B$4:$D$92,3,FALSE()),"")</f>
        <v/>
      </c>
      <c r="G33" s="65" t="str">
        <f aca="false">IFERROR(VLOOKUP(G$2+$A33,Measures!$B$4:$D$92,3,FALSE()),"")</f>
        <v/>
      </c>
      <c r="H33" s="65" t="str">
        <f aca="false">IFERROR(VLOOKUP(H$2+$A33,Measures!$B$4:$D$92,3,FALSE()),"")</f>
        <v/>
      </c>
      <c r="I33" s="65" t="str">
        <f aca="false">IFERROR(VLOOKUP(I$2+$A33,Measures!$B$4:$D$92,3,FALSE()),"")</f>
        <v/>
      </c>
      <c r="J33" s="65" t="str">
        <f aca="false">IFERROR(VLOOKUP(J$2+$A33,Measures!$B$4:$D$92,3,FALSE()),"")</f>
        <v/>
      </c>
      <c r="K33" s="65" t="str">
        <f aca="false">IFERROR(VLOOKUP(K$2+$A33,Measures!$B$4:$D$92,3,FALSE()),"")</f>
        <v/>
      </c>
    </row>
    <row r="34" customFormat="false" ht="11.25" hidden="false" customHeight="false" outlineLevel="0" collapsed="false">
      <c r="A34" s="59" t="n">
        <v>32</v>
      </c>
      <c r="B34" s="65" t="str">
        <f aca="false">IFERROR(VLOOKUP(B$2+$A34,Measures!$B$4:$D$92,3,FALSE()),"")</f>
        <v/>
      </c>
      <c r="C34" s="65" t="str">
        <f aca="false">IFERROR(VLOOKUP(C$2+$A34,Measures!$B$4:$D$92,3,FALSE()),"")</f>
        <v/>
      </c>
      <c r="D34" s="65" t="str">
        <f aca="false">IFERROR(VLOOKUP(D$2+$A34,Measures!$B$4:$D$92,3,FALSE()),"")</f>
        <v/>
      </c>
      <c r="E34" s="65" t="str">
        <f aca="false">IFERROR(VLOOKUP(E$2+$A34,Measures!$B$4:$D$92,3,FALSE()),"")</f>
        <v/>
      </c>
      <c r="F34" s="65" t="str">
        <f aca="false">IFERROR(VLOOKUP(F$2+$A34,Measures!$B$4:$D$92,3,FALSE()),"")</f>
        <v/>
      </c>
      <c r="G34" s="65" t="str">
        <f aca="false">IFERROR(VLOOKUP(G$2+$A34,Measures!$B$4:$D$92,3,FALSE()),"")</f>
        <v/>
      </c>
      <c r="H34" s="65" t="str">
        <f aca="false">IFERROR(VLOOKUP(H$2+$A34,Measures!$B$4:$D$92,3,FALSE()),"")</f>
        <v/>
      </c>
      <c r="I34" s="65" t="str">
        <f aca="false">IFERROR(VLOOKUP(I$2+$A34,Measures!$B$4:$D$92,3,FALSE()),"")</f>
        <v/>
      </c>
      <c r="J34" s="65" t="str">
        <f aca="false">IFERROR(VLOOKUP(J$2+$A34,Measures!$B$4:$D$92,3,FALSE()),"")</f>
        <v/>
      </c>
      <c r="K34" s="65" t="str">
        <f aca="false">IFERROR(VLOOKUP(K$2+$A34,Measures!$B$4:$D$92,3,FALSE()),"")</f>
        <v/>
      </c>
    </row>
    <row r="35" customFormat="false" ht="11.25" hidden="false" customHeight="false" outlineLevel="0" collapsed="false">
      <c r="A35" s="59" t="n">
        <v>33</v>
      </c>
      <c r="B35" s="65" t="str">
        <f aca="false">IFERROR(VLOOKUP(B$2+$A35,Measures!$B$4:$D$92,3,FALSE()),"")</f>
        <v/>
      </c>
      <c r="C35" s="65" t="str">
        <f aca="false">IFERROR(VLOOKUP(C$2+$A35,Measures!$B$4:$D$92,3,FALSE()),"")</f>
        <v/>
      </c>
      <c r="D35" s="65" t="str">
        <f aca="false">IFERROR(VLOOKUP(D$2+$A35,Measures!$B$4:$D$92,3,FALSE()),"")</f>
        <v/>
      </c>
      <c r="E35" s="65" t="str">
        <f aca="false">IFERROR(VLOOKUP(E$2+$A35,Measures!$B$4:$D$92,3,FALSE()),"")</f>
        <v/>
      </c>
      <c r="F35" s="65" t="str">
        <f aca="false">IFERROR(VLOOKUP(F$2+$A35,Measures!$B$4:$D$92,3,FALSE()),"")</f>
        <v/>
      </c>
      <c r="G35" s="65" t="str">
        <f aca="false">IFERROR(VLOOKUP(G$2+$A35,Measures!$B$4:$D$92,3,FALSE()),"")</f>
        <v/>
      </c>
      <c r="H35" s="65" t="str">
        <f aca="false">IFERROR(VLOOKUP(H$2+$A35,Measures!$B$4:$D$92,3,FALSE()),"")</f>
        <v/>
      </c>
      <c r="I35" s="65" t="str">
        <f aca="false">IFERROR(VLOOKUP(I$2+$A35,Measures!$B$4:$D$92,3,FALSE()),"")</f>
        <v/>
      </c>
      <c r="J35" s="65" t="str">
        <f aca="false">IFERROR(VLOOKUP(J$2+$A35,Measures!$B$4:$D$92,3,FALSE()),"")</f>
        <v/>
      </c>
      <c r="K35" s="65" t="str">
        <f aca="false">IFERROR(VLOOKUP(K$2+$A35,Measures!$B$4:$D$92,3,FALSE()),"")</f>
        <v/>
      </c>
    </row>
    <row r="36" customFormat="false" ht="11.25" hidden="false" customHeight="false" outlineLevel="0" collapsed="false">
      <c r="A36" s="59" t="n">
        <v>34</v>
      </c>
      <c r="B36" s="65" t="str">
        <f aca="false">IFERROR(VLOOKUP(B$2+$A36,Measures!$B$4:$D$92,3,FALSE()),"")</f>
        <v/>
      </c>
      <c r="C36" s="65" t="str">
        <f aca="false">IFERROR(VLOOKUP(C$2+$A36,Measures!$B$4:$D$92,3,FALSE()),"")</f>
        <v/>
      </c>
      <c r="D36" s="65" t="str">
        <f aca="false">IFERROR(VLOOKUP(D$2+$A36,Measures!$B$4:$D$92,3,FALSE()),"")</f>
        <v/>
      </c>
      <c r="E36" s="65" t="str">
        <f aca="false">IFERROR(VLOOKUP(E$2+$A36,Measures!$B$4:$D$92,3,FALSE()),"")</f>
        <v/>
      </c>
      <c r="F36" s="65" t="str">
        <f aca="false">IFERROR(VLOOKUP(F$2+$A36,Measures!$B$4:$D$92,3,FALSE()),"")</f>
        <v/>
      </c>
      <c r="G36" s="65" t="str">
        <f aca="false">IFERROR(VLOOKUP(G$2+$A36,Measures!$B$4:$D$92,3,FALSE()),"")</f>
        <v/>
      </c>
      <c r="H36" s="65" t="str">
        <f aca="false">IFERROR(VLOOKUP(H$2+$A36,Measures!$B$4:$D$92,3,FALSE()),"")</f>
        <v/>
      </c>
      <c r="I36" s="65" t="str">
        <f aca="false">IFERROR(VLOOKUP(I$2+$A36,Measures!$B$4:$D$92,3,FALSE()),"")</f>
        <v/>
      </c>
      <c r="J36" s="65" t="str">
        <f aca="false">IFERROR(VLOOKUP(J$2+$A36,Measures!$B$4:$D$92,3,FALSE()),"")</f>
        <v/>
      </c>
      <c r="K36" s="65" t="str">
        <f aca="false">IFERROR(VLOOKUP(K$2+$A36,Measures!$B$4:$D$92,3,FALSE()),"")</f>
        <v/>
      </c>
    </row>
    <row r="37" customFormat="false" ht="11.25" hidden="false" customHeight="false" outlineLevel="0" collapsed="false">
      <c r="A37" s="59" t="n">
        <v>35</v>
      </c>
      <c r="B37" s="65" t="str">
        <f aca="false">IFERROR(VLOOKUP(B$2+$A37,Measures!$B$4:$D$92,3,FALSE()),"")</f>
        <v/>
      </c>
      <c r="C37" s="65" t="str">
        <f aca="false">IFERROR(VLOOKUP(C$2+$A37,Measures!$B$4:$D$92,3,FALSE()),"")</f>
        <v/>
      </c>
      <c r="D37" s="65" t="str">
        <f aca="false">IFERROR(VLOOKUP(D$2+$A37,Measures!$B$4:$D$92,3,FALSE()),"")</f>
        <v/>
      </c>
      <c r="E37" s="65" t="str">
        <f aca="false">IFERROR(VLOOKUP(E$2+$A37,Measures!$B$4:$D$92,3,FALSE()),"")</f>
        <v/>
      </c>
      <c r="F37" s="65" t="str">
        <f aca="false">IFERROR(VLOOKUP(F$2+$A37,Measures!$B$4:$D$92,3,FALSE()),"")</f>
        <v/>
      </c>
      <c r="G37" s="65" t="str">
        <f aca="false">IFERROR(VLOOKUP(G$2+$A37,Measures!$B$4:$D$92,3,FALSE()),"")</f>
        <v/>
      </c>
      <c r="H37" s="65" t="str">
        <f aca="false">IFERROR(VLOOKUP(H$2+$A37,Measures!$B$4:$D$92,3,FALSE()),"")</f>
        <v/>
      </c>
      <c r="I37" s="65" t="str">
        <f aca="false">IFERROR(VLOOKUP(I$2+$A37,Measures!$B$4:$D$92,3,FALSE()),"")</f>
        <v/>
      </c>
      <c r="J37" s="65" t="str">
        <f aca="false">IFERROR(VLOOKUP(J$2+$A37,Measures!$B$4:$D$92,3,FALSE()),"")</f>
        <v/>
      </c>
      <c r="K37" s="65" t="str">
        <f aca="false">IFERROR(VLOOKUP(K$2+$A37,Measures!$B$4:$D$92,3,FALSE()),"")</f>
        <v/>
      </c>
    </row>
    <row r="38" customFormat="false" ht="11.25" hidden="false" customHeight="false" outlineLevel="0" collapsed="false">
      <c r="A38" s="59" t="n">
        <v>36</v>
      </c>
      <c r="B38" s="65" t="str">
        <f aca="false">IFERROR(VLOOKUP(B$2+$A38,Measures!$B$4:$D$92,3,FALSE()),"")</f>
        <v/>
      </c>
      <c r="C38" s="65" t="str">
        <f aca="false">IFERROR(VLOOKUP(C$2+$A38,Measures!$B$4:$D$92,3,FALSE()),"")</f>
        <v/>
      </c>
      <c r="D38" s="65" t="str">
        <f aca="false">IFERROR(VLOOKUP(D$2+$A38,Measures!$B$4:$D$92,3,FALSE()),"")</f>
        <v/>
      </c>
      <c r="E38" s="65" t="str">
        <f aca="false">IFERROR(VLOOKUP(E$2+$A38,Measures!$B$4:$D$92,3,FALSE()),"")</f>
        <v/>
      </c>
      <c r="F38" s="65" t="str">
        <f aca="false">IFERROR(VLOOKUP(F$2+$A38,Measures!$B$4:$D$92,3,FALSE()),"")</f>
        <v/>
      </c>
      <c r="G38" s="65" t="str">
        <f aca="false">IFERROR(VLOOKUP(G$2+$A38,Measures!$B$4:$D$92,3,FALSE()),"")</f>
        <v/>
      </c>
      <c r="H38" s="65" t="str">
        <f aca="false">IFERROR(VLOOKUP(H$2+$A38,Measures!$B$4:$D$92,3,FALSE()),"")</f>
        <v/>
      </c>
      <c r="I38" s="65" t="str">
        <f aca="false">IFERROR(VLOOKUP(I$2+$A38,Measures!$B$4:$D$92,3,FALSE()),"")</f>
        <v/>
      </c>
      <c r="J38" s="65" t="str">
        <f aca="false">IFERROR(VLOOKUP(J$2+$A38,Measures!$B$4:$D$92,3,FALSE()),"")</f>
        <v/>
      </c>
      <c r="K38" s="65" t="str">
        <f aca="false">IFERROR(VLOOKUP(K$2+$A38,Measures!$B$4:$D$92,3,FALSE()),"")</f>
        <v/>
      </c>
    </row>
    <row r="39" customFormat="false" ht="11.25" hidden="false" customHeight="false" outlineLevel="0" collapsed="false">
      <c r="A39" s="59" t="n">
        <v>37</v>
      </c>
      <c r="B39" s="65" t="str">
        <f aca="false">IFERROR(VLOOKUP(B$2+$A39,Measures!$B$4:$D$92,3,FALSE()),"")</f>
        <v/>
      </c>
      <c r="C39" s="65" t="str">
        <f aca="false">IFERROR(VLOOKUP(C$2+$A39,Measures!$B$4:$D$92,3,FALSE()),"")</f>
        <v/>
      </c>
      <c r="D39" s="65" t="str">
        <f aca="false">IFERROR(VLOOKUP(D$2+$A39,Measures!$B$4:$D$92,3,FALSE()),"")</f>
        <v/>
      </c>
      <c r="E39" s="65" t="str">
        <f aca="false">IFERROR(VLOOKUP(E$2+$A39,Measures!$B$4:$D$92,3,FALSE()),"")</f>
        <v/>
      </c>
      <c r="F39" s="65" t="str">
        <f aca="false">IFERROR(VLOOKUP(F$2+$A39,Measures!$B$4:$D$92,3,FALSE()),"")</f>
        <v/>
      </c>
      <c r="G39" s="65" t="str">
        <f aca="false">IFERROR(VLOOKUP(G$2+$A39,Measures!$B$4:$D$92,3,FALSE()),"")</f>
        <v/>
      </c>
      <c r="H39" s="65" t="str">
        <f aca="false">IFERROR(VLOOKUP(H$2+$A39,Measures!$B$4:$D$92,3,FALSE()),"")</f>
        <v/>
      </c>
      <c r="I39" s="65" t="str">
        <f aca="false">IFERROR(VLOOKUP(I$2+$A39,Measures!$B$4:$D$92,3,FALSE()),"")</f>
        <v/>
      </c>
      <c r="J39" s="65" t="str">
        <f aca="false">IFERROR(VLOOKUP(J$2+$A39,Measures!$B$4:$D$92,3,FALSE()),"")</f>
        <v/>
      </c>
      <c r="K39" s="65" t="str">
        <f aca="false">IFERROR(VLOOKUP(K$2+$A39,Measures!$B$4:$D$92,3,FALSE()),"")</f>
        <v/>
      </c>
    </row>
    <row r="40" customFormat="false" ht="11.25" hidden="false" customHeight="false" outlineLevel="0" collapsed="false">
      <c r="A40" s="59" t="n">
        <v>38</v>
      </c>
      <c r="B40" s="65" t="str">
        <f aca="false">IFERROR(VLOOKUP(B$2+$A40,Measures!$B$4:$D$92,3,FALSE()),"")</f>
        <v/>
      </c>
      <c r="C40" s="65" t="str">
        <f aca="false">IFERROR(VLOOKUP(C$2+$A40,Measures!$B$4:$D$92,3,FALSE()),"")</f>
        <v/>
      </c>
      <c r="D40" s="65" t="str">
        <f aca="false">IFERROR(VLOOKUP(D$2+$A40,Measures!$B$4:$D$92,3,FALSE()),"")</f>
        <v/>
      </c>
      <c r="E40" s="65" t="str">
        <f aca="false">IFERROR(VLOOKUP(E$2+$A40,Measures!$B$4:$D$92,3,FALSE()),"")</f>
        <v/>
      </c>
      <c r="F40" s="65" t="str">
        <f aca="false">IFERROR(VLOOKUP(F$2+$A40,Measures!$B$4:$D$92,3,FALSE()),"")</f>
        <v/>
      </c>
      <c r="G40" s="65" t="str">
        <f aca="false">IFERROR(VLOOKUP(G$2+$A40,Measures!$B$4:$D$92,3,FALSE()),"")</f>
        <v/>
      </c>
      <c r="H40" s="65" t="str">
        <f aca="false">IFERROR(VLOOKUP(H$2+$A40,Measures!$B$4:$D$92,3,FALSE()),"")</f>
        <v/>
      </c>
      <c r="I40" s="65" t="str">
        <f aca="false">IFERROR(VLOOKUP(I$2+$A40,Measures!$B$4:$D$92,3,FALSE()),"")</f>
        <v/>
      </c>
      <c r="J40" s="65" t="str">
        <f aca="false">IFERROR(VLOOKUP(J$2+$A40,Measures!$B$4:$D$92,3,FALSE()),"")</f>
        <v/>
      </c>
      <c r="K40" s="65" t="str">
        <f aca="false">IFERROR(VLOOKUP(K$2+$A40,Measures!$B$4:$D$92,3,FALSE()),"")</f>
        <v/>
      </c>
    </row>
    <row r="41" customFormat="false" ht="11.25" hidden="false" customHeight="false" outlineLevel="0" collapsed="false">
      <c r="A41" s="59" t="n">
        <v>39</v>
      </c>
      <c r="B41" s="65" t="str">
        <f aca="false">IFERROR(VLOOKUP(B$2+$A41,Measures!$B$4:$D$92,3,FALSE()),"")</f>
        <v/>
      </c>
      <c r="C41" s="65" t="str">
        <f aca="false">IFERROR(VLOOKUP(C$2+$A41,Measures!$B$4:$D$92,3,FALSE()),"")</f>
        <v/>
      </c>
      <c r="D41" s="65" t="str">
        <f aca="false">IFERROR(VLOOKUP(D$2+$A41,Measures!$B$4:$D$92,3,FALSE()),"")</f>
        <v/>
      </c>
      <c r="E41" s="65" t="str">
        <f aca="false">IFERROR(VLOOKUP(E$2+$A41,Measures!$B$4:$D$92,3,FALSE()),"")</f>
        <v/>
      </c>
      <c r="F41" s="65" t="str">
        <f aca="false">IFERROR(VLOOKUP(F$2+$A41,Measures!$B$4:$D$92,3,FALSE()),"")</f>
        <v/>
      </c>
      <c r="G41" s="65" t="str">
        <f aca="false">IFERROR(VLOOKUP(G$2+$A41,Measures!$B$4:$D$92,3,FALSE()),"")</f>
        <v/>
      </c>
      <c r="H41" s="65" t="str">
        <f aca="false">IFERROR(VLOOKUP(H$2+$A41,Measures!$B$4:$D$92,3,FALSE()),"")</f>
        <v/>
      </c>
      <c r="I41" s="65" t="str">
        <f aca="false">IFERROR(VLOOKUP(I$2+$A41,Measures!$B$4:$D$92,3,FALSE()),"")</f>
        <v/>
      </c>
      <c r="J41" s="65" t="str">
        <f aca="false">IFERROR(VLOOKUP(J$2+$A41,Measures!$B$4:$D$92,3,FALSE()),"")</f>
        <v/>
      </c>
      <c r="K41" s="65" t="str">
        <f aca="false">IFERROR(VLOOKUP(K$2+$A41,Measures!$B$4:$D$92,3,FALSE()),"")</f>
        <v/>
      </c>
    </row>
    <row r="42" customFormat="false" ht="11.25" hidden="false" customHeight="false" outlineLevel="0" collapsed="false">
      <c r="A42" s="59" t="n">
        <v>40</v>
      </c>
      <c r="B42" s="65" t="str">
        <f aca="false">IFERROR(VLOOKUP(B$2+$A42,Measures!$B$4:$D$92,3,FALSE()),"")</f>
        <v/>
      </c>
      <c r="C42" s="65" t="str">
        <f aca="false">IFERROR(VLOOKUP(C$2+$A42,Measures!$B$4:$D$92,3,FALSE()),"")</f>
        <v/>
      </c>
      <c r="D42" s="65" t="str">
        <f aca="false">IFERROR(VLOOKUP(D$2+$A42,Measures!$B$4:$D$92,3,FALSE()),"")</f>
        <v/>
      </c>
      <c r="E42" s="65" t="str">
        <f aca="false">IFERROR(VLOOKUP(E$2+$A42,Measures!$B$4:$D$92,3,FALSE()),"")</f>
        <v/>
      </c>
      <c r="F42" s="65" t="str">
        <f aca="false">IFERROR(VLOOKUP(F$2+$A42,Measures!$B$4:$D$92,3,FALSE()),"")</f>
        <v/>
      </c>
      <c r="G42" s="65" t="str">
        <f aca="false">IFERROR(VLOOKUP(G$2+$A42,Measures!$B$4:$D$92,3,FALSE()),"")</f>
        <v/>
      </c>
      <c r="H42" s="65" t="str">
        <f aca="false">IFERROR(VLOOKUP(H$2+$A42,Measures!$B$4:$D$92,3,FALSE()),"")</f>
        <v/>
      </c>
      <c r="I42" s="65" t="str">
        <f aca="false">IFERROR(VLOOKUP(I$2+$A42,Measures!$B$4:$D$92,3,FALSE()),"")</f>
        <v/>
      </c>
      <c r="J42" s="65" t="str">
        <f aca="false">IFERROR(VLOOKUP(J$2+$A42,Measures!$B$4:$D$92,3,FALSE()),"")</f>
        <v/>
      </c>
      <c r="K42" s="65" t="str">
        <f aca="false">IFERROR(VLOOKUP(K$2+$A42,Measures!$B$4:$D$92,3,FALSE()),"")</f>
        <v/>
      </c>
    </row>
    <row r="43" customFormat="false" ht="11.25" hidden="false" customHeight="false" outlineLevel="0" collapsed="false">
      <c r="A43" s="59" t="n">
        <v>41</v>
      </c>
      <c r="B43" s="65" t="str">
        <f aca="false">IFERROR(VLOOKUP(B$2+$A43,Measures!$B$4:$D$92,3,FALSE()),"")</f>
        <v/>
      </c>
      <c r="C43" s="65" t="str">
        <f aca="false">IFERROR(VLOOKUP(C$2+$A43,Measures!$B$4:$D$92,3,FALSE()),"")</f>
        <v/>
      </c>
      <c r="D43" s="65" t="str">
        <f aca="false">IFERROR(VLOOKUP(D$2+$A43,Measures!$B$4:$D$92,3,FALSE()),"")</f>
        <v/>
      </c>
      <c r="E43" s="65" t="str">
        <f aca="false">IFERROR(VLOOKUP(E$2+$A43,Measures!$B$4:$D$92,3,FALSE()),"")</f>
        <v/>
      </c>
      <c r="F43" s="65" t="str">
        <f aca="false">IFERROR(VLOOKUP(F$2+$A43,Measures!$B$4:$D$92,3,FALSE()),"")</f>
        <v/>
      </c>
      <c r="G43" s="65" t="str">
        <f aca="false">IFERROR(VLOOKUP(G$2+$A43,Measures!$B$4:$D$92,3,FALSE()),"")</f>
        <v/>
      </c>
      <c r="H43" s="65" t="str">
        <f aca="false">IFERROR(VLOOKUP(H$2+$A43,Measures!$B$4:$D$92,3,FALSE()),"")</f>
        <v/>
      </c>
      <c r="I43" s="65" t="str">
        <f aca="false">IFERROR(VLOOKUP(I$2+$A43,Measures!$B$4:$D$92,3,FALSE()),"")</f>
        <v/>
      </c>
      <c r="J43" s="65" t="str">
        <f aca="false">IFERROR(VLOOKUP(J$2+$A43,Measures!$B$4:$D$92,3,FALSE()),"")</f>
        <v/>
      </c>
      <c r="K43" s="65" t="str">
        <f aca="false">IFERROR(VLOOKUP(K$2+$A43,Measures!$B$4:$D$92,3,FALSE()),"")</f>
        <v/>
      </c>
    </row>
    <row r="44" customFormat="false" ht="11.25" hidden="false" customHeight="false" outlineLevel="0" collapsed="false">
      <c r="A44" s="59" t="n">
        <v>42</v>
      </c>
      <c r="B44" s="65" t="str">
        <f aca="false">IFERROR(VLOOKUP(B$2+$A44,Measures!$B$4:$D$92,3,FALSE()),"")</f>
        <v/>
      </c>
      <c r="C44" s="65" t="str">
        <f aca="false">IFERROR(VLOOKUP(C$2+$A44,Measures!$B$4:$D$92,3,FALSE()),"")</f>
        <v/>
      </c>
      <c r="D44" s="65" t="str">
        <f aca="false">IFERROR(VLOOKUP(D$2+$A44,Measures!$B$4:$D$92,3,FALSE()),"")</f>
        <v/>
      </c>
      <c r="E44" s="65" t="str">
        <f aca="false">IFERROR(VLOOKUP(E$2+$A44,Measures!$B$4:$D$92,3,FALSE()),"")</f>
        <v/>
      </c>
      <c r="F44" s="65" t="str">
        <f aca="false">IFERROR(VLOOKUP(F$2+$A44,Measures!$B$4:$D$92,3,FALSE()),"")</f>
        <v/>
      </c>
      <c r="G44" s="65" t="str">
        <f aca="false">IFERROR(VLOOKUP(G$2+$A44,Measures!$B$4:$D$92,3,FALSE()),"")</f>
        <v/>
      </c>
      <c r="H44" s="65" t="str">
        <f aca="false">IFERROR(VLOOKUP(H$2+$A44,Measures!$B$4:$D$92,3,FALSE()),"")</f>
        <v/>
      </c>
      <c r="I44" s="65" t="str">
        <f aca="false">IFERROR(VLOOKUP(I$2+$A44,Measures!$B$4:$D$92,3,FALSE()),"")</f>
        <v/>
      </c>
      <c r="J44" s="65" t="str">
        <f aca="false">IFERROR(VLOOKUP(J$2+$A44,Measures!$B$4:$D$92,3,FALSE()),"")</f>
        <v/>
      </c>
      <c r="K44" s="65" t="str">
        <f aca="false">IFERROR(VLOOKUP(K$2+$A44,Measures!$B$4:$D$92,3,FALSE()),"")</f>
        <v/>
      </c>
    </row>
    <row r="45" customFormat="false" ht="11.25" hidden="false" customHeight="false" outlineLevel="0" collapsed="false">
      <c r="A45" s="59" t="n">
        <v>43</v>
      </c>
      <c r="B45" s="65" t="str">
        <f aca="false">IFERROR(VLOOKUP(B$2+$A45,Measures!$B$4:$D$92,3,FALSE()),"")</f>
        <v/>
      </c>
      <c r="C45" s="65" t="str">
        <f aca="false">IFERROR(VLOOKUP(C$2+$A45,Measures!$B$4:$D$92,3,FALSE()),"")</f>
        <v/>
      </c>
      <c r="D45" s="65" t="str">
        <f aca="false">IFERROR(VLOOKUP(D$2+$A45,Measures!$B$4:$D$92,3,FALSE()),"")</f>
        <v/>
      </c>
      <c r="E45" s="65" t="str">
        <f aca="false">IFERROR(VLOOKUP(E$2+$A45,Measures!$B$4:$D$92,3,FALSE()),"")</f>
        <v/>
      </c>
      <c r="F45" s="65" t="str">
        <f aca="false">IFERROR(VLOOKUP(F$2+$A45,Measures!$B$4:$D$92,3,FALSE()),"")</f>
        <v/>
      </c>
      <c r="G45" s="65" t="str">
        <f aca="false">IFERROR(VLOOKUP(G$2+$A45,Measures!$B$4:$D$92,3,FALSE()),"")</f>
        <v/>
      </c>
      <c r="H45" s="65" t="str">
        <f aca="false">IFERROR(VLOOKUP(H$2+$A45,Measures!$B$4:$D$92,3,FALSE()),"")</f>
        <v/>
      </c>
      <c r="I45" s="65" t="str">
        <f aca="false">IFERROR(VLOOKUP(I$2+$A45,Measures!$B$4:$D$92,3,FALSE()),"")</f>
        <v/>
      </c>
      <c r="J45" s="65" t="str">
        <f aca="false">IFERROR(VLOOKUP(J$2+$A45,Measures!$B$4:$D$92,3,FALSE()),"")</f>
        <v/>
      </c>
      <c r="K45" s="65" t="str">
        <f aca="false">IFERROR(VLOOKUP(K$2+$A45,Measures!$B$4:$D$92,3,FALSE()),"")</f>
        <v/>
      </c>
    </row>
    <row r="46" customFormat="false" ht="11.25" hidden="false" customHeight="false" outlineLevel="0" collapsed="false">
      <c r="A46" s="59" t="n">
        <v>44</v>
      </c>
      <c r="B46" s="65" t="str">
        <f aca="false">IFERROR(VLOOKUP(B$2+$A46,Measures!$B$4:$D$92,3,FALSE()),"")</f>
        <v/>
      </c>
      <c r="C46" s="65" t="str">
        <f aca="false">IFERROR(VLOOKUP(C$2+$A46,Measures!$B$4:$D$92,3,FALSE()),"")</f>
        <v/>
      </c>
      <c r="D46" s="65" t="str">
        <f aca="false">IFERROR(VLOOKUP(D$2+$A46,Measures!$B$4:$D$92,3,FALSE()),"")</f>
        <v/>
      </c>
      <c r="E46" s="65" t="str">
        <f aca="false">IFERROR(VLOOKUP(E$2+$A46,Measures!$B$4:$D$92,3,FALSE()),"")</f>
        <v/>
      </c>
      <c r="F46" s="65" t="str">
        <f aca="false">IFERROR(VLOOKUP(F$2+$A46,Measures!$B$4:$D$92,3,FALSE()),"")</f>
        <v/>
      </c>
      <c r="G46" s="65" t="str">
        <f aca="false">IFERROR(VLOOKUP(G$2+$A46,Measures!$B$4:$D$92,3,FALSE()),"")</f>
        <v/>
      </c>
      <c r="H46" s="65" t="str">
        <f aca="false">IFERROR(VLOOKUP(H$2+$A46,Measures!$B$4:$D$92,3,FALSE()),"")</f>
        <v/>
      </c>
      <c r="I46" s="65" t="str">
        <f aca="false">IFERROR(VLOOKUP(I$2+$A46,Measures!$B$4:$D$92,3,FALSE()),"")</f>
        <v/>
      </c>
      <c r="J46" s="65" t="str">
        <f aca="false">IFERROR(VLOOKUP(J$2+$A46,Measures!$B$4:$D$92,3,FALSE()),"")</f>
        <v/>
      </c>
      <c r="K46" s="65" t="str">
        <f aca="false">IFERROR(VLOOKUP(K$2+$A46,Measures!$B$4:$D$92,3,FALSE()),"")</f>
        <v/>
      </c>
    </row>
    <row r="47" customFormat="false" ht="11.25" hidden="false" customHeight="false" outlineLevel="0" collapsed="false">
      <c r="A47" s="59" t="n">
        <v>45</v>
      </c>
      <c r="B47" s="65" t="str">
        <f aca="false">IFERROR(VLOOKUP(B$2+$A47,Measures!$B$4:$D$92,3,FALSE()),"")</f>
        <v/>
      </c>
      <c r="C47" s="65" t="str">
        <f aca="false">IFERROR(VLOOKUP(C$2+$A47,Measures!$B$4:$D$92,3,FALSE()),"")</f>
        <v/>
      </c>
      <c r="D47" s="65" t="str">
        <f aca="false">IFERROR(VLOOKUP(D$2+$A47,Measures!$B$4:$D$92,3,FALSE()),"")</f>
        <v/>
      </c>
      <c r="E47" s="65" t="str">
        <f aca="false">IFERROR(VLOOKUP(E$2+$A47,Measures!$B$4:$D$92,3,FALSE()),"")</f>
        <v/>
      </c>
      <c r="F47" s="65" t="str">
        <f aca="false">IFERROR(VLOOKUP(F$2+$A47,Measures!$B$4:$D$92,3,FALSE()),"")</f>
        <v/>
      </c>
      <c r="G47" s="65" t="str">
        <f aca="false">IFERROR(VLOOKUP(G$2+$A47,Measures!$B$4:$D$92,3,FALSE()),"")</f>
        <v/>
      </c>
      <c r="H47" s="65" t="str">
        <f aca="false">IFERROR(VLOOKUP(H$2+$A47,Measures!$B$4:$D$92,3,FALSE()),"")</f>
        <v/>
      </c>
      <c r="I47" s="65" t="str">
        <f aca="false">IFERROR(VLOOKUP(I$2+$A47,Measures!$B$4:$D$92,3,FALSE()),"")</f>
        <v/>
      </c>
      <c r="J47" s="65" t="str">
        <f aca="false">IFERROR(VLOOKUP(J$2+$A47,Measures!$B$4:$D$92,3,FALSE()),"")</f>
        <v/>
      </c>
      <c r="K47" s="65" t="str">
        <f aca="false">IFERROR(VLOOKUP(K$2+$A47,Measures!$B$4:$D$92,3,FALSE()),"")</f>
        <v/>
      </c>
    </row>
    <row r="48" customFormat="false" ht="11.25" hidden="false" customHeight="false" outlineLevel="0" collapsed="false">
      <c r="A48" s="59" t="n">
        <v>46</v>
      </c>
      <c r="B48" s="65" t="str">
        <f aca="false">IFERROR(VLOOKUP(B$2+$A48,Measures!$B$4:$D$92,3,FALSE()),"")</f>
        <v/>
      </c>
      <c r="C48" s="65" t="str">
        <f aca="false">IFERROR(VLOOKUP(C$2+$A48,Measures!$B$4:$D$92,3,FALSE()),"")</f>
        <v/>
      </c>
      <c r="D48" s="65" t="str">
        <f aca="false">IFERROR(VLOOKUP(D$2+$A48,Measures!$B$4:$D$92,3,FALSE()),"")</f>
        <v/>
      </c>
      <c r="E48" s="65" t="str">
        <f aca="false">IFERROR(VLOOKUP(E$2+$A48,Measures!$B$4:$D$92,3,FALSE()),"")</f>
        <v/>
      </c>
      <c r="F48" s="65" t="str">
        <f aca="false">IFERROR(VLOOKUP(F$2+$A48,Measures!$B$4:$D$92,3,FALSE()),"")</f>
        <v/>
      </c>
      <c r="G48" s="65" t="str">
        <f aca="false">IFERROR(VLOOKUP(G$2+$A48,Measures!$B$4:$D$92,3,FALSE()),"")</f>
        <v/>
      </c>
      <c r="H48" s="65" t="str">
        <f aca="false">IFERROR(VLOOKUP(H$2+$A48,Measures!$B$4:$D$92,3,FALSE()),"")</f>
        <v/>
      </c>
      <c r="I48" s="65" t="str">
        <f aca="false">IFERROR(VLOOKUP(I$2+$A48,Measures!$B$4:$D$92,3,FALSE()),"")</f>
        <v/>
      </c>
      <c r="J48" s="65" t="str">
        <f aca="false">IFERROR(VLOOKUP(J$2+$A48,Measures!$B$4:$D$92,3,FALSE()),"")</f>
        <v/>
      </c>
      <c r="K48" s="65" t="str">
        <f aca="false">IFERROR(VLOOKUP(K$2+$A48,Measures!$B$4:$D$92,3,FALSE()),"")</f>
        <v/>
      </c>
    </row>
    <row r="49" customFormat="false" ht="11.25" hidden="false" customHeight="false" outlineLevel="0" collapsed="false">
      <c r="A49" s="59" t="n">
        <v>47</v>
      </c>
      <c r="B49" s="65" t="str">
        <f aca="false">IFERROR(VLOOKUP(B$2+$A49,Measures!$B$4:$D$92,3,FALSE()),"")</f>
        <v/>
      </c>
      <c r="C49" s="65" t="str">
        <f aca="false">IFERROR(VLOOKUP(C$2+$A49,Measures!$B$4:$D$92,3,FALSE()),"")</f>
        <v/>
      </c>
      <c r="D49" s="65" t="str">
        <f aca="false">IFERROR(VLOOKUP(D$2+$A49,Measures!$B$4:$D$92,3,FALSE()),"")</f>
        <v/>
      </c>
      <c r="E49" s="65" t="str">
        <f aca="false">IFERROR(VLOOKUP(E$2+$A49,Measures!$B$4:$D$92,3,FALSE()),"")</f>
        <v/>
      </c>
      <c r="F49" s="65" t="str">
        <f aca="false">IFERROR(VLOOKUP(F$2+$A49,Measures!$B$4:$D$92,3,FALSE()),"")</f>
        <v/>
      </c>
      <c r="G49" s="65" t="str">
        <f aca="false">IFERROR(VLOOKUP(G$2+$A49,Measures!$B$4:$D$92,3,FALSE()),"")</f>
        <v/>
      </c>
      <c r="H49" s="65" t="str">
        <f aca="false">IFERROR(VLOOKUP(H$2+$A49,Measures!$B$4:$D$92,3,FALSE()),"")</f>
        <v/>
      </c>
      <c r="I49" s="65" t="str">
        <f aca="false">IFERROR(VLOOKUP(I$2+$A49,Measures!$B$4:$D$92,3,FALSE()),"")</f>
        <v/>
      </c>
      <c r="J49" s="65" t="str">
        <f aca="false">IFERROR(VLOOKUP(J$2+$A49,Measures!$B$4:$D$92,3,FALSE()),"")</f>
        <v/>
      </c>
      <c r="K49" s="65" t="str">
        <f aca="false">IFERROR(VLOOKUP(K$2+$A49,Measures!$B$4:$D$92,3,FALSE()),"")</f>
        <v/>
      </c>
    </row>
    <row r="50" customFormat="false" ht="11.25" hidden="false" customHeight="false" outlineLevel="0" collapsed="false">
      <c r="A50" s="59" t="n">
        <v>48</v>
      </c>
      <c r="B50" s="65" t="str">
        <f aca="false">IFERROR(VLOOKUP(B$2+$A50,Measures!$B$4:$D$92,3,FALSE()),"")</f>
        <v/>
      </c>
      <c r="C50" s="65" t="str">
        <f aca="false">IFERROR(VLOOKUP(C$2+$A50,Measures!$B$4:$D$92,3,FALSE()),"")</f>
        <v/>
      </c>
      <c r="D50" s="65" t="str">
        <f aca="false">IFERROR(VLOOKUP(D$2+$A50,Measures!$B$4:$D$92,3,FALSE()),"")</f>
        <v/>
      </c>
      <c r="E50" s="65" t="str">
        <f aca="false">IFERROR(VLOOKUP(E$2+$A50,Measures!$B$4:$D$92,3,FALSE()),"")</f>
        <v/>
      </c>
      <c r="F50" s="65" t="str">
        <f aca="false">IFERROR(VLOOKUP(F$2+$A50,Measures!$B$4:$D$92,3,FALSE()),"")</f>
        <v/>
      </c>
      <c r="G50" s="65" t="str">
        <f aca="false">IFERROR(VLOOKUP(G$2+$A50,Measures!$B$4:$D$92,3,FALSE()),"")</f>
        <v/>
      </c>
      <c r="H50" s="65" t="str">
        <f aca="false">IFERROR(VLOOKUP(H$2+$A50,Measures!$B$4:$D$92,3,FALSE()),"")</f>
        <v/>
      </c>
      <c r="I50" s="65" t="str">
        <f aca="false">IFERROR(VLOOKUP(I$2+$A50,Measures!$B$4:$D$92,3,FALSE()),"")</f>
        <v/>
      </c>
      <c r="J50" s="65" t="str">
        <f aca="false">IFERROR(VLOOKUP(J$2+$A50,Measures!$B$4:$D$92,3,FALSE()),"")</f>
        <v/>
      </c>
      <c r="K50" s="65" t="str">
        <f aca="false">IFERROR(VLOOKUP(K$2+$A50,Measures!$B$4:$D$92,3,FALSE()),"")</f>
        <v/>
      </c>
    </row>
    <row r="51" customFormat="false" ht="11.25" hidden="false" customHeight="false" outlineLevel="0" collapsed="false">
      <c r="A51" s="59" t="n">
        <v>49</v>
      </c>
      <c r="B51" s="65" t="str">
        <f aca="false">IFERROR(VLOOKUP(B$2+$A51,Measures!$B$4:$D$92,3,FALSE()),"")</f>
        <v/>
      </c>
      <c r="C51" s="65" t="str">
        <f aca="false">IFERROR(VLOOKUP(C$2+$A51,Measures!$B$4:$D$92,3,FALSE()),"")</f>
        <v/>
      </c>
      <c r="D51" s="65" t="str">
        <f aca="false">IFERROR(VLOOKUP(D$2+$A51,Measures!$B$4:$D$92,3,FALSE()),"")</f>
        <v/>
      </c>
      <c r="E51" s="65" t="str">
        <f aca="false">IFERROR(VLOOKUP(E$2+$A51,Measures!$B$4:$D$92,3,FALSE()),"")</f>
        <v/>
      </c>
      <c r="F51" s="65" t="str">
        <f aca="false">IFERROR(VLOOKUP(F$2+$A51,Measures!$B$4:$D$92,3,FALSE()),"")</f>
        <v/>
      </c>
      <c r="G51" s="65" t="str">
        <f aca="false">IFERROR(VLOOKUP(G$2+$A51,Measures!$B$4:$D$92,3,FALSE()),"")</f>
        <v/>
      </c>
      <c r="H51" s="65" t="str">
        <f aca="false">IFERROR(VLOOKUP(H$2+$A51,Measures!$B$4:$D$92,3,FALSE()),"")</f>
        <v/>
      </c>
      <c r="I51" s="65" t="str">
        <f aca="false">IFERROR(VLOOKUP(I$2+$A51,Measures!$B$4:$D$92,3,FALSE()),"")</f>
        <v/>
      </c>
      <c r="J51" s="65" t="str">
        <f aca="false">IFERROR(VLOOKUP(J$2+$A51,Measures!$B$4:$D$92,3,FALSE()),"")</f>
        <v/>
      </c>
      <c r="K51" s="65" t="str">
        <f aca="false">IFERROR(VLOOKUP(K$2+$A51,Measures!$B$4:$D$92,3,FALSE()),"")</f>
        <v/>
      </c>
    </row>
    <row r="52" customFormat="false" ht="11.25" hidden="false" customHeight="false" outlineLevel="0" collapsed="false">
      <c r="A52" s="59" t="n">
        <v>50</v>
      </c>
      <c r="B52" s="65" t="str">
        <f aca="false">IFERROR(VLOOKUP(B$2+$A52,Measures!$B$4:$D$92,3,FALSE()),"")</f>
        <v/>
      </c>
      <c r="C52" s="65" t="str">
        <f aca="false">IFERROR(VLOOKUP(C$2+$A52,Measures!$B$4:$D$92,3,FALSE()),"")</f>
        <v/>
      </c>
      <c r="D52" s="65" t="str">
        <f aca="false">IFERROR(VLOOKUP(D$2+$A52,Measures!$B$4:$D$92,3,FALSE()),"")</f>
        <v/>
      </c>
      <c r="E52" s="65" t="str">
        <f aca="false">IFERROR(VLOOKUP(E$2+$A52,Measures!$B$4:$D$92,3,FALSE()),"")</f>
        <v/>
      </c>
      <c r="F52" s="65" t="str">
        <f aca="false">IFERROR(VLOOKUP(F$2+$A52,Measures!$B$4:$D$92,3,FALSE()),"")</f>
        <v/>
      </c>
      <c r="G52" s="65" t="str">
        <f aca="false">IFERROR(VLOOKUP(G$2+$A52,Measures!$B$4:$D$92,3,FALSE()),"")</f>
        <v/>
      </c>
      <c r="H52" s="65" t="str">
        <f aca="false">IFERROR(VLOOKUP(H$2+$A52,Measures!$B$4:$D$92,3,FALSE()),"")</f>
        <v/>
      </c>
      <c r="I52" s="65" t="str">
        <f aca="false">IFERROR(VLOOKUP(I$2+$A52,Measures!$B$4:$D$92,3,FALSE()),"")</f>
        <v/>
      </c>
      <c r="J52" s="65" t="str">
        <f aca="false">IFERROR(VLOOKUP(J$2+$A52,Measures!$B$4:$D$92,3,FALSE()),"")</f>
        <v/>
      </c>
      <c r="K52" s="65" t="str">
        <f aca="false">IFERROR(VLOOKUP(K$2+$A52,Measures!$B$4:$D$92,3,FALSE()),"")</f>
        <v/>
      </c>
    </row>
    <row r="53" customFormat="false" ht="11.25" hidden="false" customHeight="false" outlineLevel="0" collapsed="false">
      <c r="A53" s="59" t="n">
        <v>51</v>
      </c>
      <c r="B53" s="65" t="str">
        <f aca="false">IFERROR(VLOOKUP(B$2+$A53,Measures!$B$4:$D$92,3,FALSE()),"")</f>
        <v/>
      </c>
      <c r="C53" s="65" t="str">
        <f aca="false">IFERROR(VLOOKUP(C$2+$A53,Measures!$B$4:$D$92,3,FALSE()),"")</f>
        <v/>
      </c>
      <c r="D53" s="65" t="str">
        <f aca="false">IFERROR(VLOOKUP(D$2+$A53,Measures!$B$4:$D$92,3,FALSE()),"")</f>
        <v/>
      </c>
      <c r="E53" s="65" t="str">
        <f aca="false">IFERROR(VLOOKUP(E$2+$A53,Measures!$B$4:$D$92,3,FALSE()),"")</f>
        <v/>
      </c>
      <c r="F53" s="65" t="str">
        <f aca="false">IFERROR(VLOOKUP(F$2+$A53,Measures!$B$4:$D$92,3,FALSE()),"")</f>
        <v/>
      </c>
      <c r="G53" s="65" t="str">
        <f aca="false">IFERROR(VLOOKUP(G$2+$A53,Measures!$B$4:$D$92,3,FALSE()),"")</f>
        <v/>
      </c>
      <c r="H53" s="65" t="str">
        <f aca="false">IFERROR(VLOOKUP(H$2+$A53,Measures!$B$4:$D$92,3,FALSE()),"")</f>
        <v/>
      </c>
      <c r="I53" s="65" t="str">
        <f aca="false">IFERROR(VLOOKUP(I$2+$A53,Measures!$B$4:$D$92,3,FALSE()),"")</f>
        <v/>
      </c>
      <c r="J53" s="65" t="str">
        <f aca="false">IFERROR(VLOOKUP(J$2+$A53,Measures!$B$4:$D$92,3,FALSE()),"")</f>
        <v/>
      </c>
      <c r="K53" s="65" t="str">
        <f aca="false">IFERROR(VLOOKUP(K$2+$A53,Measures!$B$4:$D$92,3,FALSE()),"")</f>
        <v/>
      </c>
    </row>
    <row r="54" customFormat="false" ht="11.25" hidden="false" customHeight="false" outlineLevel="0" collapsed="false">
      <c r="A54" s="59" t="n">
        <v>52</v>
      </c>
      <c r="B54" s="65" t="str">
        <f aca="false">IFERROR(VLOOKUP(B$2+$A54,Measures!$B$4:$D$92,3,FALSE()),"")</f>
        <v/>
      </c>
      <c r="C54" s="65" t="str">
        <f aca="false">IFERROR(VLOOKUP(C$2+$A54,Measures!$B$4:$D$92,3,FALSE()),"")</f>
        <v/>
      </c>
      <c r="D54" s="65" t="str">
        <f aca="false">IFERROR(VLOOKUP(D$2+$A54,Measures!$B$4:$D$92,3,FALSE()),"")</f>
        <v/>
      </c>
      <c r="E54" s="65" t="str">
        <f aca="false">IFERROR(VLOOKUP(E$2+$A54,Measures!$B$4:$D$92,3,FALSE()),"")</f>
        <v/>
      </c>
      <c r="F54" s="65" t="str">
        <f aca="false">IFERROR(VLOOKUP(F$2+$A54,Measures!$B$4:$D$92,3,FALSE()),"")</f>
        <v/>
      </c>
      <c r="G54" s="65" t="str">
        <f aca="false">IFERROR(VLOOKUP(G$2+$A54,Measures!$B$4:$D$92,3,FALSE()),"")</f>
        <v/>
      </c>
      <c r="H54" s="65" t="str">
        <f aca="false">IFERROR(VLOOKUP(H$2+$A54,Measures!$B$4:$D$92,3,FALSE()),"")</f>
        <v/>
      </c>
      <c r="I54" s="65" t="str">
        <f aca="false">IFERROR(VLOOKUP(I$2+$A54,Measures!$B$4:$D$92,3,FALSE()),"")</f>
        <v/>
      </c>
      <c r="J54" s="65" t="str">
        <f aca="false">IFERROR(VLOOKUP(J$2+$A54,Measures!$B$4:$D$92,3,FALSE()),"")</f>
        <v/>
      </c>
      <c r="K54" s="65" t="str">
        <f aca="false">IFERROR(VLOOKUP(K$2+$A54,Measures!$B$4:$D$92,3,FALSE()),"")</f>
        <v/>
      </c>
    </row>
    <row r="55" customFormat="false" ht="11.25" hidden="false" customHeight="false" outlineLevel="0" collapsed="false">
      <c r="A55" s="59" t="n">
        <v>53</v>
      </c>
      <c r="B55" s="65" t="str">
        <f aca="false">IFERROR(VLOOKUP(B$2+$A55,Measures!$B$4:$D$92,3,FALSE()),"")</f>
        <v/>
      </c>
      <c r="C55" s="65" t="str">
        <f aca="false">IFERROR(VLOOKUP(C$2+$A55,Measures!$B$4:$D$92,3,FALSE()),"")</f>
        <v/>
      </c>
      <c r="D55" s="65" t="str">
        <f aca="false">IFERROR(VLOOKUP(D$2+$A55,Measures!$B$4:$D$92,3,FALSE()),"")</f>
        <v/>
      </c>
      <c r="E55" s="65" t="str">
        <f aca="false">IFERROR(VLOOKUP(E$2+$A55,Measures!$B$4:$D$92,3,FALSE()),"")</f>
        <v/>
      </c>
      <c r="F55" s="65" t="str">
        <f aca="false">IFERROR(VLOOKUP(F$2+$A55,Measures!$B$4:$D$92,3,FALSE()),"")</f>
        <v/>
      </c>
      <c r="G55" s="65" t="str">
        <f aca="false">IFERROR(VLOOKUP(G$2+$A55,Measures!$B$4:$D$92,3,FALSE()),"")</f>
        <v/>
      </c>
      <c r="H55" s="65" t="str">
        <f aca="false">IFERROR(VLOOKUP(H$2+$A55,Measures!$B$4:$D$92,3,FALSE()),"")</f>
        <v/>
      </c>
      <c r="I55" s="65" t="str">
        <f aca="false">IFERROR(VLOOKUP(I$2+$A55,Measures!$B$4:$D$92,3,FALSE()),"")</f>
        <v/>
      </c>
      <c r="J55" s="65" t="str">
        <f aca="false">IFERROR(VLOOKUP(J$2+$A55,Measures!$B$4:$D$92,3,FALSE()),"")</f>
        <v/>
      </c>
      <c r="K55" s="65" t="str">
        <f aca="false">IFERROR(VLOOKUP(K$2+$A55,Measures!$B$4:$D$92,3,FALSE()),"")</f>
        <v/>
      </c>
    </row>
    <row r="56" customFormat="false" ht="11.25" hidden="false" customHeight="false" outlineLevel="0" collapsed="false">
      <c r="A56" s="59" t="n">
        <v>54</v>
      </c>
      <c r="B56" s="65" t="str">
        <f aca="false">IFERROR(VLOOKUP(B$2+$A56,Measures!$B$4:$D$92,3,FALSE()),"")</f>
        <v/>
      </c>
      <c r="C56" s="65" t="str">
        <f aca="false">IFERROR(VLOOKUP(C$2+$A56,Measures!$B$4:$D$92,3,FALSE()),"")</f>
        <v/>
      </c>
      <c r="D56" s="65" t="str">
        <f aca="false">IFERROR(VLOOKUP(D$2+$A56,Measures!$B$4:$D$92,3,FALSE()),"")</f>
        <v/>
      </c>
      <c r="E56" s="65" t="str">
        <f aca="false">IFERROR(VLOOKUP(E$2+$A56,Measures!$B$4:$D$92,3,FALSE()),"")</f>
        <v/>
      </c>
      <c r="F56" s="65" t="str">
        <f aca="false">IFERROR(VLOOKUP(F$2+$A56,Measures!$B$4:$D$92,3,FALSE()),"")</f>
        <v/>
      </c>
      <c r="G56" s="65" t="str">
        <f aca="false">IFERROR(VLOOKUP(G$2+$A56,Measures!$B$4:$D$92,3,FALSE()),"")</f>
        <v/>
      </c>
      <c r="H56" s="65" t="str">
        <f aca="false">IFERROR(VLOOKUP(H$2+$A56,Measures!$B$4:$D$92,3,FALSE()),"")</f>
        <v/>
      </c>
      <c r="I56" s="65" t="str">
        <f aca="false">IFERROR(VLOOKUP(I$2+$A56,Measures!$B$4:$D$92,3,FALSE()),"")</f>
        <v/>
      </c>
      <c r="J56" s="65" t="str">
        <f aca="false">IFERROR(VLOOKUP(J$2+$A56,Measures!$B$4:$D$92,3,FALSE()),"")</f>
        <v/>
      </c>
      <c r="K56" s="65" t="str">
        <f aca="false">IFERROR(VLOOKUP(K$2+$A56,Measures!$B$4:$D$92,3,FALSE()),"")</f>
        <v/>
      </c>
    </row>
    <row r="57" customFormat="false" ht="11.25" hidden="false" customHeight="false" outlineLevel="0" collapsed="false">
      <c r="A57" s="59" t="n">
        <v>55</v>
      </c>
      <c r="B57" s="65" t="str">
        <f aca="false">IFERROR(VLOOKUP(B$2+$A57,Measures!$B$4:$D$92,3,FALSE()),"")</f>
        <v/>
      </c>
      <c r="C57" s="65" t="str">
        <f aca="false">IFERROR(VLOOKUP(C$2+$A57,Measures!$B$4:$D$92,3,FALSE()),"")</f>
        <v/>
      </c>
      <c r="D57" s="65" t="str">
        <f aca="false">IFERROR(VLOOKUP(D$2+$A57,Measures!$B$4:$D$92,3,FALSE()),"")</f>
        <v/>
      </c>
      <c r="E57" s="65" t="str">
        <f aca="false">IFERROR(VLOOKUP(E$2+$A57,Measures!$B$4:$D$92,3,FALSE()),"")</f>
        <v/>
      </c>
      <c r="F57" s="65" t="str">
        <f aca="false">IFERROR(VLOOKUP(F$2+$A57,Measures!$B$4:$D$92,3,FALSE()),"")</f>
        <v/>
      </c>
      <c r="G57" s="65" t="str">
        <f aca="false">IFERROR(VLOOKUP(G$2+$A57,Measures!$B$4:$D$92,3,FALSE()),"")</f>
        <v/>
      </c>
      <c r="H57" s="65" t="str">
        <f aca="false">IFERROR(VLOOKUP(H$2+$A57,Measures!$B$4:$D$92,3,FALSE()),"")</f>
        <v/>
      </c>
      <c r="I57" s="65" t="str">
        <f aca="false">IFERROR(VLOOKUP(I$2+$A57,Measures!$B$4:$D$92,3,FALSE()),"")</f>
        <v/>
      </c>
      <c r="J57" s="65" t="str">
        <f aca="false">IFERROR(VLOOKUP(J$2+$A57,Measures!$B$4:$D$92,3,FALSE()),"")</f>
        <v/>
      </c>
      <c r="K57" s="65" t="str">
        <f aca="false">IFERROR(VLOOKUP(K$2+$A57,Measures!$B$4:$D$92,3,FALSE()),"")</f>
        <v/>
      </c>
    </row>
    <row r="58" customFormat="false" ht="11.25" hidden="false" customHeight="false" outlineLevel="0" collapsed="false">
      <c r="A58" s="59" t="n">
        <v>56</v>
      </c>
      <c r="B58" s="65" t="str">
        <f aca="false">IFERROR(VLOOKUP(B$2+$A58,Measures!$B$4:$D$92,3,FALSE()),"")</f>
        <v/>
      </c>
      <c r="C58" s="65" t="str">
        <f aca="false">IFERROR(VLOOKUP(C$2+$A58,Measures!$B$4:$D$92,3,FALSE()),"")</f>
        <v/>
      </c>
      <c r="D58" s="65" t="str">
        <f aca="false">IFERROR(VLOOKUP(D$2+$A58,Measures!$B$4:$D$92,3,FALSE()),"")</f>
        <v/>
      </c>
      <c r="E58" s="65" t="str">
        <f aca="false">IFERROR(VLOOKUP(E$2+$A58,Measures!$B$4:$D$92,3,FALSE()),"")</f>
        <v/>
      </c>
      <c r="F58" s="65" t="str">
        <f aca="false">IFERROR(VLOOKUP(F$2+$A58,Measures!$B$4:$D$92,3,FALSE()),"")</f>
        <v/>
      </c>
      <c r="G58" s="65" t="str">
        <f aca="false">IFERROR(VLOOKUP(G$2+$A58,Measures!$B$4:$D$92,3,FALSE()),"")</f>
        <v/>
      </c>
      <c r="H58" s="65" t="str">
        <f aca="false">IFERROR(VLOOKUP(H$2+$A58,Measures!$B$4:$D$92,3,FALSE()),"")</f>
        <v/>
      </c>
      <c r="I58" s="65" t="str">
        <f aca="false">IFERROR(VLOOKUP(I$2+$A58,Measures!$B$4:$D$92,3,FALSE()),"")</f>
        <v/>
      </c>
      <c r="J58" s="65" t="str">
        <f aca="false">IFERROR(VLOOKUP(J$2+$A58,Measures!$B$4:$D$92,3,FALSE()),"")</f>
        <v/>
      </c>
      <c r="K58" s="65" t="str">
        <f aca="false">IFERROR(VLOOKUP(K$2+$A58,Measures!$B$4:$D$92,3,FALSE()),"")</f>
        <v/>
      </c>
    </row>
    <row r="59" customFormat="false" ht="11.25" hidden="false" customHeight="false" outlineLevel="0" collapsed="false">
      <c r="A59" s="59" t="n">
        <v>57</v>
      </c>
      <c r="B59" s="65" t="str">
        <f aca="false">IFERROR(VLOOKUP(B$2+$A59,Measures!$B$4:$D$92,3,FALSE()),"")</f>
        <v/>
      </c>
      <c r="C59" s="65" t="str">
        <f aca="false">IFERROR(VLOOKUP(C$2+$A59,Measures!$B$4:$D$92,3,FALSE()),"")</f>
        <v/>
      </c>
      <c r="D59" s="65" t="str">
        <f aca="false">IFERROR(VLOOKUP(D$2+$A59,Measures!$B$4:$D$92,3,FALSE()),"")</f>
        <v/>
      </c>
      <c r="E59" s="65" t="str">
        <f aca="false">IFERROR(VLOOKUP(E$2+$A59,Measures!$B$4:$D$92,3,FALSE()),"")</f>
        <v/>
      </c>
      <c r="F59" s="65" t="str">
        <f aca="false">IFERROR(VLOOKUP(F$2+$A59,Measures!$B$4:$D$92,3,FALSE()),"")</f>
        <v/>
      </c>
      <c r="G59" s="65" t="str">
        <f aca="false">IFERROR(VLOOKUP(G$2+$A59,Measures!$B$4:$D$92,3,FALSE()),"")</f>
        <v/>
      </c>
      <c r="H59" s="65" t="str">
        <f aca="false">IFERROR(VLOOKUP(H$2+$A59,Measures!$B$4:$D$92,3,FALSE()),"")</f>
        <v/>
      </c>
      <c r="I59" s="65" t="str">
        <f aca="false">IFERROR(VLOOKUP(I$2+$A59,Measures!$B$4:$D$92,3,FALSE()),"")</f>
        <v/>
      </c>
      <c r="J59" s="65" t="str">
        <f aca="false">IFERROR(VLOOKUP(J$2+$A59,Measures!$B$4:$D$92,3,FALSE()),"")</f>
        <v/>
      </c>
      <c r="K59" s="65" t="str">
        <f aca="false">IFERROR(VLOOKUP(K$2+$A59,Measures!$B$4:$D$92,3,FALSE()),"")</f>
        <v/>
      </c>
    </row>
    <row r="60" customFormat="false" ht="11.25" hidden="false" customHeight="false" outlineLevel="0" collapsed="false">
      <c r="A60" s="59" t="n">
        <v>58</v>
      </c>
      <c r="B60" s="65" t="str">
        <f aca="false">IFERROR(VLOOKUP(B$2+$A60,Measures!$B$4:$D$92,3,FALSE()),"")</f>
        <v/>
      </c>
      <c r="C60" s="65" t="str">
        <f aca="false">IFERROR(VLOOKUP(C$2+$A60,Measures!$B$4:$D$92,3,FALSE()),"")</f>
        <v/>
      </c>
      <c r="D60" s="65" t="str">
        <f aca="false">IFERROR(VLOOKUP(D$2+$A60,Measures!$B$4:$D$92,3,FALSE()),"")</f>
        <v/>
      </c>
      <c r="E60" s="65" t="str">
        <f aca="false">IFERROR(VLOOKUP(E$2+$A60,Measures!$B$4:$D$92,3,FALSE()),"")</f>
        <v/>
      </c>
      <c r="F60" s="65" t="str">
        <f aca="false">IFERROR(VLOOKUP(F$2+$A60,Measures!$B$4:$D$92,3,FALSE()),"")</f>
        <v/>
      </c>
      <c r="G60" s="65" t="str">
        <f aca="false">IFERROR(VLOOKUP(G$2+$A60,Measures!$B$4:$D$92,3,FALSE()),"")</f>
        <v/>
      </c>
      <c r="H60" s="65" t="str">
        <f aca="false">IFERROR(VLOOKUP(H$2+$A60,Measures!$B$4:$D$92,3,FALSE()),"")</f>
        <v/>
      </c>
      <c r="I60" s="65" t="str">
        <f aca="false">IFERROR(VLOOKUP(I$2+$A60,Measures!$B$4:$D$92,3,FALSE()),"")</f>
        <v/>
      </c>
      <c r="J60" s="65" t="str">
        <f aca="false">IFERROR(VLOOKUP(J$2+$A60,Measures!$B$4:$D$92,3,FALSE()),"")</f>
        <v/>
      </c>
      <c r="K60" s="65" t="str">
        <f aca="false">IFERROR(VLOOKUP(K$2+$A60,Measures!$B$4:$D$92,3,FALSE()),"")</f>
        <v/>
      </c>
    </row>
    <row r="61" customFormat="false" ht="11.25" hidden="false" customHeight="false" outlineLevel="0" collapsed="false">
      <c r="A61" s="59" t="n">
        <v>59</v>
      </c>
      <c r="B61" s="65" t="str">
        <f aca="false">IFERROR(VLOOKUP(B$2+$A61,Measures!$B$4:$D$92,3,FALSE()),"")</f>
        <v/>
      </c>
      <c r="C61" s="65" t="str">
        <f aca="false">IFERROR(VLOOKUP(C$2+$A61,Measures!$B$4:$D$92,3,FALSE()),"")</f>
        <v/>
      </c>
      <c r="D61" s="65" t="str">
        <f aca="false">IFERROR(VLOOKUP(D$2+$A61,Measures!$B$4:$D$92,3,FALSE()),"")</f>
        <v/>
      </c>
      <c r="E61" s="65" t="str">
        <f aca="false">IFERROR(VLOOKUP(E$2+$A61,Measures!$B$4:$D$92,3,FALSE()),"")</f>
        <v/>
      </c>
      <c r="F61" s="65" t="str">
        <f aca="false">IFERROR(VLOOKUP(F$2+$A61,Measures!$B$4:$D$92,3,FALSE()),"")</f>
        <v/>
      </c>
      <c r="G61" s="65" t="str">
        <f aca="false">IFERROR(VLOOKUP(G$2+$A61,Measures!$B$4:$D$92,3,FALSE()),"")</f>
        <v/>
      </c>
      <c r="H61" s="65" t="str">
        <f aca="false">IFERROR(VLOOKUP(H$2+$A61,Measures!$B$4:$D$92,3,FALSE()),"")</f>
        <v/>
      </c>
      <c r="I61" s="65" t="str">
        <f aca="false">IFERROR(VLOOKUP(I$2+$A61,Measures!$B$4:$D$92,3,FALSE()),"")</f>
        <v/>
      </c>
      <c r="J61" s="65" t="str">
        <f aca="false">IFERROR(VLOOKUP(J$2+$A61,Measures!$B$4:$D$92,3,FALSE()),"")</f>
        <v/>
      </c>
      <c r="K61" s="65" t="str">
        <f aca="false">IFERROR(VLOOKUP(K$2+$A61,Measures!$B$4:$D$92,3,FALSE()),"")</f>
        <v/>
      </c>
    </row>
    <row r="62" customFormat="false" ht="11.25" hidden="false" customHeight="false" outlineLevel="0" collapsed="false">
      <c r="A62" s="59" t="n">
        <v>60</v>
      </c>
      <c r="B62" s="65" t="str">
        <f aca="false">IFERROR(VLOOKUP(B$2+$A62,Measures!$B$4:$D$92,3,FALSE()),"")</f>
        <v/>
      </c>
      <c r="C62" s="65" t="str">
        <f aca="false">IFERROR(VLOOKUP(C$2+$A62,Measures!$B$4:$D$92,3,FALSE()),"")</f>
        <v/>
      </c>
      <c r="D62" s="65" t="str">
        <f aca="false">IFERROR(VLOOKUP(D$2+$A62,Measures!$B$4:$D$92,3,FALSE()),"")</f>
        <v/>
      </c>
      <c r="E62" s="65" t="str">
        <f aca="false">IFERROR(VLOOKUP(E$2+$A62,Measures!$B$4:$D$92,3,FALSE()),"")</f>
        <v/>
      </c>
      <c r="F62" s="65" t="str">
        <f aca="false">IFERROR(VLOOKUP(F$2+$A62,Measures!$B$4:$D$92,3,FALSE()),"")</f>
        <v/>
      </c>
      <c r="G62" s="65" t="str">
        <f aca="false">IFERROR(VLOOKUP(G$2+$A62,Measures!$B$4:$D$92,3,FALSE()),"")</f>
        <v/>
      </c>
      <c r="H62" s="65" t="str">
        <f aca="false">IFERROR(VLOOKUP(H$2+$A62,Measures!$B$4:$D$92,3,FALSE()),"")</f>
        <v/>
      </c>
      <c r="I62" s="65" t="str">
        <f aca="false">IFERROR(VLOOKUP(I$2+$A62,Measures!$B$4:$D$92,3,FALSE()),"")</f>
        <v/>
      </c>
      <c r="J62" s="65" t="str">
        <f aca="false">IFERROR(VLOOKUP(J$2+$A62,Measures!$B$4:$D$92,3,FALSE()),"")</f>
        <v/>
      </c>
      <c r="K62" s="65" t="str">
        <f aca="false">IFERROR(VLOOKUP(K$2+$A62,Measures!$B$4:$D$92,3,FALSE()),"")</f>
        <v/>
      </c>
    </row>
    <row r="63" customFormat="false" ht="11.25" hidden="false" customHeight="false" outlineLevel="0" collapsed="false">
      <c r="A63" s="59" t="n">
        <v>61</v>
      </c>
      <c r="B63" s="65" t="str">
        <f aca="false">IFERROR(VLOOKUP(B$2+$A63,Measures!$B$4:$D$92,3,FALSE()),"")</f>
        <v/>
      </c>
      <c r="C63" s="65" t="str">
        <f aca="false">IFERROR(VLOOKUP(C$2+$A63,Measures!$B$4:$D$92,3,FALSE()),"")</f>
        <v/>
      </c>
      <c r="D63" s="65" t="str">
        <f aca="false">IFERROR(VLOOKUP(D$2+$A63,Measures!$B$4:$D$92,3,FALSE()),"")</f>
        <v/>
      </c>
      <c r="E63" s="65" t="str">
        <f aca="false">IFERROR(VLOOKUP(E$2+$A63,Measures!$B$4:$D$92,3,FALSE()),"")</f>
        <v/>
      </c>
      <c r="F63" s="65" t="str">
        <f aca="false">IFERROR(VLOOKUP(F$2+$A63,Measures!$B$4:$D$92,3,FALSE()),"")</f>
        <v/>
      </c>
      <c r="G63" s="65" t="str">
        <f aca="false">IFERROR(VLOOKUP(G$2+$A63,Measures!$B$4:$D$92,3,FALSE()),"")</f>
        <v/>
      </c>
      <c r="H63" s="65" t="str">
        <f aca="false">IFERROR(VLOOKUP(H$2+$A63,Measures!$B$4:$D$92,3,FALSE()),"")</f>
        <v/>
      </c>
      <c r="I63" s="65" t="str">
        <f aca="false">IFERROR(VLOOKUP(I$2+$A63,Measures!$B$4:$D$92,3,FALSE()),"")</f>
        <v/>
      </c>
      <c r="J63" s="65" t="str">
        <f aca="false">IFERROR(VLOOKUP(J$2+$A63,Measures!$B$4:$D$92,3,FALSE()),"")</f>
        <v/>
      </c>
      <c r="K63" s="65" t="str">
        <f aca="false">IFERROR(VLOOKUP(K$2+$A63,Measures!$B$4:$D$92,3,FALSE()),"")</f>
        <v/>
      </c>
    </row>
    <row r="64" customFormat="false" ht="11.25" hidden="false" customHeight="false" outlineLevel="0" collapsed="false">
      <c r="A64" s="59" t="n">
        <v>62</v>
      </c>
      <c r="B64" s="65" t="str">
        <f aca="false">IFERROR(VLOOKUP(B$2+$A64,Measures!$B$4:$D$92,3,FALSE()),"")</f>
        <v/>
      </c>
      <c r="C64" s="65" t="str">
        <f aca="false">IFERROR(VLOOKUP(C$2+$A64,Measures!$B$4:$D$92,3,FALSE()),"")</f>
        <v/>
      </c>
      <c r="D64" s="65" t="str">
        <f aca="false">IFERROR(VLOOKUP(D$2+$A64,Measures!$B$4:$D$92,3,FALSE()),"")</f>
        <v/>
      </c>
      <c r="E64" s="65" t="str">
        <f aca="false">IFERROR(VLOOKUP(E$2+$A64,Measures!$B$4:$D$92,3,FALSE()),"")</f>
        <v/>
      </c>
      <c r="F64" s="65" t="str">
        <f aca="false">IFERROR(VLOOKUP(F$2+$A64,Measures!$B$4:$D$92,3,FALSE()),"")</f>
        <v/>
      </c>
      <c r="G64" s="65" t="str">
        <f aca="false">IFERROR(VLOOKUP(G$2+$A64,Measures!$B$4:$D$92,3,FALSE()),"")</f>
        <v/>
      </c>
      <c r="H64" s="65" t="str">
        <f aca="false">IFERROR(VLOOKUP(H$2+$A64,Measures!$B$4:$D$92,3,FALSE()),"")</f>
        <v/>
      </c>
      <c r="I64" s="65" t="str">
        <f aca="false">IFERROR(VLOOKUP(I$2+$A64,Measures!$B$4:$D$92,3,FALSE()),"")</f>
        <v/>
      </c>
      <c r="J64" s="65" t="str">
        <f aca="false">IFERROR(VLOOKUP(J$2+$A64,Measures!$B$4:$D$92,3,FALSE()),"")</f>
        <v/>
      </c>
      <c r="K64" s="65" t="str">
        <f aca="false">IFERROR(VLOOKUP(K$2+$A64,Measures!$B$4:$D$92,3,FALSE()),"")</f>
        <v/>
      </c>
    </row>
    <row r="65" customFormat="false" ht="11.25" hidden="false" customHeight="false" outlineLevel="0" collapsed="false">
      <c r="A65" s="59" t="n">
        <v>63</v>
      </c>
      <c r="B65" s="65" t="str">
        <f aca="false">IFERROR(VLOOKUP(B$2+$A65,Measures!$B$4:$D$92,3,FALSE()),"")</f>
        <v/>
      </c>
      <c r="C65" s="65" t="str">
        <f aca="false">IFERROR(VLOOKUP(C$2+$A65,Measures!$B$4:$D$92,3,FALSE()),"")</f>
        <v/>
      </c>
      <c r="D65" s="65" t="str">
        <f aca="false">IFERROR(VLOOKUP(D$2+$A65,Measures!$B$4:$D$92,3,FALSE()),"")</f>
        <v/>
      </c>
      <c r="E65" s="65" t="str">
        <f aca="false">IFERROR(VLOOKUP(E$2+$A65,Measures!$B$4:$D$92,3,FALSE()),"")</f>
        <v/>
      </c>
      <c r="F65" s="65" t="str">
        <f aca="false">IFERROR(VLOOKUP(F$2+$A65,Measures!$B$4:$D$92,3,FALSE()),"")</f>
        <v/>
      </c>
      <c r="G65" s="65" t="str">
        <f aca="false">IFERROR(VLOOKUP(G$2+$A65,Measures!$B$4:$D$92,3,FALSE()),"")</f>
        <v/>
      </c>
      <c r="H65" s="65" t="str">
        <f aca="false">IFERROR(VLOOKUP(H$2+$A65,Measures!$B$4:$D$92,3,FALSE()),"")</f>
        <v/>
      </c>
      <c r="I65" s="65" t="str">
        <f aca="false">IFERROR(VLOOKUP(I$2+$A65,Measures!$B$4:$D$92,3,FALSE()),"")</f>
        <v/>
      </c>
      <c r="J65" s="65" t="str">
        <f aca="false">IFERROR(VLOOKUP(J$2+$A65,Measures!$B$4:$D$92,3,FALSE()),"")</f>
        <v/>
      </c>
      <c r="K65" s="65" t="str">
        <f aca="false">IFERROR(VLOOKUP(K$2+$A65,Measures!$B$4:$D$92,3,FALSE()),"")</f>
        <v/>
      </c>
    </row>
    <row r="66" customFormat="false" ht="11.25" hidden="false" customHeight="false" outlineLevel="0" collapsed="false">
      <c r="A66" s="59" t="n">
        <v>64</v>
      </c>
      <c r="B66" s="65" t="str">
        <f aca="false">IFERROR(VLOOKUP(B$2+$A66,Measures!$B$4:$D$92,3,FALSE()),"")</f>
        <v/>
      </c>
      <c r="C66" s="65" t="str">
        <f aca="false">IFERROR(VLOOKUP(C$2+$A66,Measures!$B$4:$D$92,3,FALSE()),"")</f>
        <v/>
      </c>
      <c r="D66" s="65" t="str">
        <f aca="false">IFERROR(VLOOKUP(D$2+$A66,Measures!$B$4:$D$92,3,FALSE()),"")</f>
        <v/>
      </c>
      <c r="E66" s="65" t="str">
        <f aca="false">IFERROR(VLOOKUP(E$2+$A66,Measures!$B$4:$D$92,3,FALSE()),"")</f>
        <v/>
      </c>
      <c r="F66" s="65" t="str">
        <f aca="false">IFERROR(VLOOKUP(F$2+$A66,Measures!$B$4:$D$92,3,FALSE()),"")</f>
        <v/>
      </c>
      <c r="G66" s="65" t="str">
        <f aca="false">IFERROR(VLOOKUP(G$2+$A66,Measures!$B$4:$D$92,3,FALSE()),"")</f>
        <v/>
      </c>
      <c r="H66" s="65" t="str">
        <f aca="false">IFERROR(VLOOKUP(H$2+$A66,Measures!$B$4:$D$92,3,FALSE()),"")</f>
        <v/>
      </c>
      <c r="I66" s="65" t="str">
        <f aca="false">IFERROR(VLOOKUP(I$2+$A66,Measures!$B$4:$D$92,3,FALSE()),"")</f>
        <v/>
      </c>
      <c r="J66" s="65" t="str">
        <f aca="false">IFERROR(VLOOKUP(J$2+$A66,Measures!$B$4:$D$92,3,FALSE()),"")</f>
        <v/>
      </c>
      <c r="K66" s="65" t="str">
        <f aca="false">IFERROR(VLOOKUP(K$2+$A66,Measures!$B$4:$D$92,3,FALSE()),"")</f>
        <v/>
      </c>
    </row>
    <row r="67" customFormat="false" ht="11.25" hidden="false" customHeight="false" outlineLevel="0" collapsed="false">
      <c r="A67" s="59" t="n">
        <v>65</v>
      </c>
      <c r="B67" s="65" t="str">
        <f aca="false">IFERROR(VLOOKUP(B$2+$A67,Measures!$B$4:$D$92,3,FALSE()),"")</f>
        <v/>
      </c>
      <c r="C67" s="65" t="str">
        <f aca="false">IFERROR(VLOOKUP(C$2+$A67,Measures!$B$4:$D$92,3,FALSE()),"")</f>
        <v/>
      </c>
      <c r="D67" s="65" t="str">
        <f aca="false">IFERROR(VLOOKUP(D$2+$A67,Measures!$B$4:$D$92,3,FALSE()),"")</f>
        <v/>
      </c>
      <c r="E67" s="65" t="str">
        <f aca="false">IFERROR(VLOOKUP(E$2+$A67,Measures!$B$4:$D$92,3,FALSE()),"")</f>
        <v/>
      </c>
      <c r="F67" s="65" t="str">
        <f aca="false">IFERROR(VLOOKUP(F$2+$A67,Measures!$B$4:$D$92,3,FALSE()),"")</f>
        <v/>
      </c>
      <c r="G67" s="65" t="str">
        <f aca="false">IFERROR(VLOOKUP(G$2+$A67,Measures!$B$4:$D$92,3,FALSE()),"")</f>
        <v/>
      </c>
      <c r="H67" s="65" t="str">
        <f aca="false">IFERROR(VLOOKUP(H$2+$A67,Measures!$B$4:$D$92,3,FALSE()),"")</f>
        <v/>
      </c>
      <c r="I67" s="65" t="str">
        <f aca="false">IFERROR(VLOOKUP(I$2+$A67,Measures!$B$4:$D$92,3,FALSE()),"")</f>
        <v/>
      </c>
      <c r="J67" s="65" t="str">
        <f aca="false">IFERROR(VLOOKUP(J$2+$A67,Measures!$B$4:$D$92,3,FALSE()),"")</f>
        <v/>
      </c>
      <c r="K67" s="65" t="str">
        <f aca="false">IFERROR(VLOOKUP(K$2+$A67,Measures!$B$4:$D$92,3,FALSE()),"")</f>
        <v/>
      </c>
    </row>
    <row r="68" customFormat="false" ht="11.25" hidden="false" customHeight="false" outlineLevel="0" collapsed="false">
      <c r="A68" s="59" t="n">
        <v>66</v>
      </c>
      <c r="B68" s="65" t="str">
        <f aca="false">IFERROR(VLOOKUP(B$2+$A68,Measures!$B$4:$D$92,3,FALSE()),"")</f>
        <v/>
      </c>
      <c r="C68" s="65" t="str">
        <f aca="false">IFERROR(VLOOKUP(C$2+$A68,Measures!$B$4:$D$92,3,FALSE()),"")</f>
        <v/>
      </c>
      <c r="D68" s="65" t="str">
        <f aca="false">IFERROR(VLOOKUP(D$2+$A68,Measures!$B$4:$D$92,3,FALSE()),"")</f>
        <v/>
      </c>
      <c r="E68" s="65" t="str">
        <f aca="false">IFERROR(VLOOKUP(E$2+$A68,Measures!$B$4:$D$92,3,FALSE()),"")</f>
        <v/>
      </c>
      <c r="F68" s="65" t="str">
        <f aca="false">IFERROR(VLOOKUP(F$2+$A68,Measures!$B$4:$D$92,3,FALSE()),"")</f>
        <v/>
      </c>
      <c r="G68" s="65" t="str">
        <f aca="false">IFERROR(VLOOKUP(G$2+$A68,Measures!$B$4:$D$92,3,FALSE()),"")</f>
        <v/>
      </c>
      <c r="H68" s="65" t="str">
        <f aca="false">IFERROR(VLOOKUP(H$2+$A68,Measures!$B$4:$D$92,3,FALSE()),"")</f>
        <v/>
      </c>
      <c r="I68" s="65" t="str">
        <f aca="false">IFERROR(VLOOKUP(I$2+$A68,Measures!$B$4:$D$92,3,FALSE()),"")</f>
        <v/>
      </c>
      <c r="J68" s="65" t="str">
        <f aca="false">IFERROR(VLOOKUP(J$2+$A68,Measures!$B$4:$D$92,3,FALSE()),"")</f>
        <v/>
      </c>
      <c r="K68" s="65" t="str">
        <f aca="false">IFERROR(VLOOKUP(K$2+$A68,Measures!$B$4:$D$92,3,FALSE()),"")</f>
        <v/>
      </c>
    </row>
    <row r="69" customFormat="false" ht="11.25" hidden="false" customHeight="false" outlineLevel="0" collapsed="false">
      <c r="A69" s="59" t="n">
        <v>67</v>
      </c>
      <c r="B69" s="65" t="str">
        <f aca="false">IFERROR(VLOOKUP(B$2+$A69,Measures!$B$4:$D$92,3,FALSE()),"")</f>
        <v/>
      </c>
      <c r="C69" s="65" t="str">
        <f aca="false">IFERROR(VLOOKUP(C$2+$A69,Measures!$B$4:$D$92,3,FALSE()),"")</f>
        <v/>
      </c>
      <c r="D69" s="65" t="str">
        <f aca="false">IFERROR(VLOOKUP(D$2+$A69,Measures!$B$4:$D$92,3,FALSE()),"")</f>
        <v/>
      </c>
      <c r="E69" s="65" t="str">
        <f aca="false">IFERROR(VLOOKUP(E$2+$A69,Measures!$B$4:$D$92,3,FALSE()),"")</f>
        <v/>
      </c>
      <c r="F69" s="65" t="str">
        <f aca="false">IFERROR(VLOOKUP(F$2+$A69,Measures!$B$4:$D$92,3,FALSE()),"")</f>
        <v/>
      </c>
      <c r="G69" s="65" t="str">
        <f aca="false">IFERROR(VLOOKUP(G$2+$A69,Measures!$B$4:$D$92,3,FALSE()),"")</f>
        <v/>
      </c>
      <c r="H69" s="65" t="str">
        <f aca="false">IFERROR(VLOOKUP(H$2+$A69,Measures!$B$4:$D$92,3,FALSE()),"")</f>
        <v/>
      </c>
      <c r="I69" s="65" t="str">
        <f aca="false">IFERROR(VLOOKUP(I$2+$A69,Measures!$B$4:$D$92,3,FALSE()),"")</f>
        <v/>
      </c>
      <c r="J69" s="65" t="str">
        <f aca="false">IFERROR(VLOOKUP(J$2+$A69,Measures!$B$4:$D$92,3,FALSE()),"")</f>
        <v/>
      </c>
      <c r="K69" s="65" t="str">
        <f aca="false">IFERROR(VLOOKUP(K$2+$A69,Measures!$B$4:$D$92,3,FALSE()),"")</f>
        <v/>
      </c>
    </row>
    <row r="70" customFormat="false" ht="11.25" hidden="false" customHeight="false" outlineLevel="0" collapsed="false">
      <c r="A70" s="59" t="n">
        <v>68</v>
      </c>
      <c r="B70" s="65" t="str">
        <f aca="false">IFERROR(VLOOKUP(B$2+$A70,Measures!$B$4:$D$92,3,FALSE()),"")</f>
        <v/>
      </c>
      <c r="C70" s="65" t="str">
        <f aca="false">IFERROR(VLOOKUP(C$2+$A70,Measures!$B$4:$D$92,3,FALSE()),"")</f>
        <v/>
      </c>
      <c r="D70" s="65" t="str">
        <f aca="false">IFERROR(VLOOKUP(D$2+$A70,Measures!$B$4:$D$92,3,FALSE()),"")</f>
        <v/>
      </c>
      <c r="E70" s="65" t="str">
        <f aca="false">IFERROR(VLOOKUP(E$2+$A70,Measures!$B$4:$D$92,3,FALSE()),"")</f>
        <v/>
      </c>
      <c r="F70" s="65" t="str">
        <f aca="false">IFERROR(VLOOKUP(F$2+$A70,Measures!$B$4:$D$92,3,FALSE()),"")</f>
        <v/>
      </c>
      <c r="G70" s="65" t="str">
        <f aca="false">IFERROR(VLOOKUP(G$2+$A70,Measures!$B$4:$D$92,3,FALSE()),"")</f>
        <v/>
      </c>
      <c r="H70" s="65" t="str">
        <f aca="false">IFERROR(VLOOKUP(H$2+$A70,Measures!$B$4:$D$92,3,FALSE()),"")</f>
        <v/>
      </c>
      <c r="I70" s="65" t="str">
        <f aca="false">IFERROR(VLOOKUP(I$2+$A70,Measures!$B$4:$D$92,3,FALSE()),"")</f>
        <v/>
      </c>
      <c r="J70" s="65" t="str">
        <f aca="false">IFERROR(VLOOKUP(J$2+$A70,Measures!$B$4:$D$92,3,FALSE()),"")</f>
        <v/>
      </c>
      <c r="K70" s="65" t="str">
        <f aca="false">IFERROR(VLOOKUP(K$2+$A70,Measures!$B$4:$D$92,3,FALSE()),"")</f>
        <v/>
      </c>
    </row>
    <row r="71" customFormat="false" ht="11.25" hidden="false" customHeight="false" outlineLevel="0" collapsed="false">
      <c r="A71" s="59" t="n">
        <v>69</v>
      </c>
      <c r="B71" s="65" t="str">
        <f aca="false">IFERROR(VLOOKUP(B$2+$A71,Measures!$B$4:$D$92,3,FALSE()),"")</f>
        <v/>
      </c>
      <c r="C71" s="65" t="str">
        <f aca="false">IFERROR(VLOOKUP(C$2+$A71,Measures!$B$4:$D$92,3,FALSE()),"")</f>
        <v/>
      </c>
      <c r="D71" s="65" t="str">
        <f aca="false">IFERROR(VLOOKUP(D$2+$A71,Measures!$B$4:$D$92,3,FALSE()),"")</f>
        <v/>
      </c>
      <c r="E71" s="65" t="str">
        <f aca="false">IFERROR(VLOOKUP(E$2+$A71,Measures!$B$4:$D$92,3,FALSE()),"")</f>
        <v/>
      </c>
      <c r="F71" s="65" t="str">
        <f aca="false">IFERROR(VLOOKUP(F$2+$A71,Measures!$B$4:$D$92,3,FALSE()),"")</f>
        <v/>
      </c>
      <c r="G71" s="65" t="str">
        <f aca="false">IFERROR(VLOOKUP(G$2+$A71,Measures!$B$4:$D$92,3,FALSE()),"")</f>
        <v/>
      </c>
      <c r="H71" s="65" t="str">
        <f aca="false">IFERROR(VLOOKUP(H$2+$A71,Measures!$B$4:$D$92,3,FALSE()),"")</f>
        <v/>
      </c>
      <c r="I71" s="65" t="str">
        <f aca="false">IFERROR(VLOOKUP(I$2+$A71,Measures!$B$4:$D$92,3,FALSE()),"")</f>
        <v/>
      </c>
      <c r="J71" s="65" t="str">
        <f aca="false">IFERROR(VLOOKUP(J$2+$A71,Measures!$B$4:$D$92,3,FALSE()),"")</f>
        <v/>
      </c>
      <c r="K71" s="65" t="str">
        <f aca="false">IFERROR(VLOOKUP(K$2+$A71,Measures!$B$4:$D$92,3,FALSE()),"")</f>
        <v/>
      </c>
    </row>
    <row r="72" customFormat="false" ht="11.25" hidden="false" customHeight="false" outlineLevel="0" collapsed="false">
      <c r="A72" s="59" t="n">
        <v>70</v>
      </c>
      <c r="B72" s="65" t="str">
        <f aca="false">IFERROR(VLOOKUP(B$2+$A72,Measures!$B$4:$D$92,3,FALSE()),"")</f>
        <v/>
      </c>
      <c r="C72" s="65" t="str">
        <f aca="false">IFERROR(VLOOKUP(C$2+$A72,Measures!$B$4:$D$92,3,FALSE()),"")</f>
        <v/>
      </c>
      <c r="D72" s="65" t="str">
        <f aca="false">IFERROR(VLOOKUP(D$2+$A72,Measures!$B$4:$D$92,3,FALSE()),"")</f>
        <v/>
      </c>
      <c r="E72" s="65" t="str">
        <f aca="false">IFERROR(VLOOKUP(E$2+$A72,Measures!$B$4:$D$92,3,FALSE()),"")</f>
        <v/>
      </c>
      <c r="F72" s="65" t="str">
        <f aca="false">IFERROR(VLOOKUP(F$2+$A72,Measures!$B$4:$D$92,3,FALSE()),"")</f>
        <v/>
      </c>
      <c r="G72" s="65" t="str">
        <f aca="false">IFERROR(VLOOKUP(G$2+$A72,Measures!$B$4:$D$92,3,FALSE()),"")</f>
        <v/>
      </c>
      <c r="H72" s="65" t="str">
        <f aca="false">IFERROR(VLOOKUP(H$2+$A72,Measures!$B$4:$D$92,3,FALSE()),"")</f>
        <v/>
      </c>
      <c r="I72" s="65" t="str">
        <f aca="false">IFERROR(VLOOKUP(I$2+$A72,Measures!$B$4:$D$92,3,FALSE()),"")</f>
        <v/>
      </c>
      <c r="J72" s="65" t="str">
        <f aca="false">IFERROR(VLOOKUP(J$2+$A72,Measures!$B$4:$D$92,3,FALSE()),"")</f>
        <v/>
      </c>
      <c r="K72" s="65" t="str">
        <f aca="false">IFERROR(VLOOKUP(K$2+$A72,Measures!$B$4:$D$92,3,FALSE()),"")</f>
        <v/>
      </c>
    </row>
    <row r="73" customFormat="false" ht="11.25" hidden="false" customHeight="false" outlineLevel="0" collapsed="false">
      <c r="A73" s="59" t="n">
        <v>71</v>
      </c>
      <c r="B73" s="65" t="str">
        <f aca="false">IFERROR(VLOOKUP(B$2+$A73,Measures!$B$4:$D$92,3,FALSE()),"")</f>
        <v/>
      </c>
      <c r="C73" s="65" t="str">
        <f aca="false">IFERROR(VLOOKUP(C$2+$A73,Measures!$B$4:$D$92,3,FALSE()),"")</f>
        <v/>
      </c>
      <c r="D73" s="65" t="str">
        <f aca="false">IFERROR(VLOOKUP(D$2+$A73,Measures!$B$4:$D$92,3,FALSE()),"")</f>
        <v/>
      </c>
      <c r="E73" s="65" t="str">
        <f aca="false">IFERROR(VLOOKUP(E$2+$A73,Measures!$B$4:$D$92,3,FALSE()),"")</f>
        <v/>
      </c>
      <c r="F73" s="65" t="str">
        <f aca="false">IFERROR(VLOOKUP(F$2+$A73,Measures!$B$4:$D$92,3,FALSE()),"")</f>
        <v/>
      </c>
      <c r="G73" s="65" t="str">
        <f aca="false">IFERROR(VLOOKUP(G$2+$A73,Measures!$B$4:$D$92,3,FALSE()),"")</f>
        <v/>
      </c>
      <c r="H73" s="65" t="str">
        <f aca="false">IFERROR(VLOOKUP(H$2+$A73,Measures!$B$4:$D$92,3,FALSE()),"")</f>
        <v/>
      </c>
      <c r="I73" s="65" t="str">
        <f aca="false">IFERROR(VLOOKUP(I$2+$A73,Measures!$B$4:$D$92,3,FALSE()),"")</f>
        <v/>
      </c>
      <c r="J73" s="65" t="str">
        <f aca="false">IFERROR(VLOOKUP(J$2+$A73,Measures!$B$4:$D$92,3,FALSE()),"")</f>
        <v/>
      </c>
      <c r="K73" s="65" t="str">
        <f aca="false">IFERROR(VLOOKUP(K$2+$A73,Measures!$B$4:$D$92,3,FALSE()),"")</f>
        <v/>
      </c>
    </row>
    <row r="74" customFormat="false" ht="11.25" hidden="false" customHeight="false" outlineLevel="0" collapsed="false">
      <c r="A74" s="59" t="n">
        <v>72</v>
      </c>
      <c r="B74" s="65" t="str">
        <f aca="false">IFERROR(VLOOKUP(B$2+$A74,Measures!$B$4:$D$92,3,FALSE()),"")</f>
        <v/>
      </c>
      <c r="C74" s="65" t="str">
        <f aca="false">IFERROR(VLOOKUP(C$2+$A74,Measures!$B$4:$D$92,3,FALSE()),"")</f>
        <v/>
      </c>
      <c r="D74" s="65" t="str">
        <f aca="false">IFERROR(VLOOKUP(D$2+$A74,Measures!$B$4:$D$92,3,FALSE()),"")</f>
        <v/>
      </c>
      <c r="E74" s="65" t="str">
        <f aca="false">IFERROR(VLOOKUP(E$2+$A74,Measures!$B$4:$D$92,3,FALSE()),"")</f>
        <v/>
      </c>
      <c r="F74" s="65" t="str">
        <f aca="false">IFERROR(VLOOKUP(F$2+$A74,Measures!$B$4:$D$92,3,FALSE()),"")</f>
        <v/>
      </c>
      <c r="G74" s="65" t="str">
        <f aca="false">IFERROR(VLOOKUP(G$2+$A74,Measures!$B$4:$D$92,3,FALSE()),"")</f>
        <v/>
      </c>
      <c r="H74" s="65" t="str">
        <f aca="false">IFERROR(VLOOKUP(H$2+$A74,Measures!$B$4:$D$92,3,FALSE()),"")</f>
        <v/>
      </c>
      <c r="I74" s="65" t="str">
        <f aca="false">IFERROR(VLOOKUP(I$2+$A74,Measures!$B$4:$D$92,3,FALSE()),"")</f>
        <v/>
      </c>
      <c r="J74" s="65" t="str">
        <f aca="false">IFERROR(VLOOKUP(J$2+$A74,Measures!$B$4:$D$92,3,FALSE()),"")</f>
        <v/>
      </c>
      <c r="K74" s="65" t="str">
        <f aca="false">IFERROR(VLOOKUP(K$2+$A74,Measures!$B$4:$D$92,3,FALSE()),"")</f>
        <v/>
      </c>
    </row>
    <row r="75" customFormat="false" ht="11.25" hidden="false" customHeight="false" outlineLevel="0" collapsed="false">
      <c r="A75" s="59" t="n">
        <v>73</v>
      </c>
      <c r="B75" s="65" t="str">
        <f aca="false">IFERROR(VLOOKUP(B$2+$A75,Measures!$B$4:$D$92,3,FALSE()),"")</f>
        <v/>
      </c>
      <c r="C75" s="65" t="str">
        <f aca="false">IFERROR(VLOOKUP(C$2+$A75,Measures!$B$4:$D$92,3,FALSE()),"")</f>
        <v/>
      </c>
      <c r="D75" s="65" t="str">
        <f aca="false">IFERROR(VLOOKUP(D$2+$A75,Measures!$B$4:$D$92,3,FALSE()),"")</f>
        <v/>
      </c>
      <c r="E75" s="65" t="str">
        <f aca="false">IFERROR(VLOOKUP(E$2+$A75,Measures!$B$4:$D$92,3,FALSE()),"")</f>
        <v/>
      </c>
      <c r="F75" s="65" t="str">
        <f aca="false">IFERROR(VLOOKUP(F$2+$A75,Measures!$B$4:$D$92,3,FALSE()),"")</f>
        <v/>
      </c>
      <c r="G75" s="65" t="str">
        <f aca="false">IFERROR(VLOOKUP(G$2+$A75,Measures!$B$4:$D$92,3,FALSE()),"")</f>
        <v/>
      </c>
      <c r="H75" s="65" t="str">
        <f aca="false">IFERROR(VLOOKUP(H$2+$A75,Measures!$B$4:$D$92,3,FALSE()),"")</f>
        <v/>
      </c>
      <c r="I75" s="65" t="str">
        <f aca="false">IFERROR(VLOOKUP(I$2+$A75,Measures!$B$4:$D$92,3,FALSE()),"")</f>
        <v/>
      </c>
      <c r="J75" s="65" t="str">
        <f aca="false">IFERROR(VLOOKUP(J$2+$A75,Measures!$B$4:$D$92,3,FALSE()),"")</f>
        <v/>
      </c>
      <c r="K75" s="65" t="str">
        <f aca="false">IFERROR(VLOOKUP(K$2+$A75,Measures!$B$4:$D$92,3,FALSE()),"")</f>
        <v/>
      </c>
    </row>
    <row r="76" customFormat="false" ht="11.25" hidden="false" customHeight="false" outlineLevel="0" collapsed="false">
      <c r="A76" s="59" t="n">
        <v>74</v>
      </c>
      <c r="B76" s="65" t="str">
        <f aca="false">IFERROR(VLOOKUP(B$2+$A76,Measures!$B$4:$D$92,3,FALSE()),"")</f>
        <v/>
      </c>
      <c r="C76" s="65" t="str">
        <f aca="false">IFERROR(VLOOKUP(C$2+$A76,Measures!$B$4:$D$92,3,FALSE()),"")</f>
        <v/>
      </c>
      <c r="D76" s="65" t="str">
        <f aca="false">IFERROR(VLOOKUP(D$2+$A76,Measures!$B$4:$D$92,3,FALSE()),"")</f>
        <v/>
      </c>
      <c r="E76" s="65" t="str">
        <f aca="false">IFERROR(VLOOKUP(E$2+$A76,Measures!$B$4:$D$92,3,FALSE()),"")</f>
        <v/>
      </c>
      <c r="F76" s="65" t="str">
        <f aca="false">IFERROR(VLOOKUP(F$2+$A76,Measures!$B$4:$D$92,3,FALSE()),"")</f>
        <v/>
      </c>
      <c r="G76" s="65" t="str">
        <f aca="false">IFERROR(VLOOKUP(G$2+$A76,Measures!$B$4:$D$92,3,FALSE()),"")</f>
        <v/>
      </c>
      <c r="H76" s="65" t="str">
        <f aca="false">IFERROR(VLOOKUP(H$2+$A76,Measures!$B$4:$D$92,3,FALSE()),"")</f>
        <v/>
      </c>
      <c r="I76" s="65" t="str">
        <f aca="false">IFERROR(VLOOKUP(I$2+$A76,Measures!$B$4:$D$92,3,FALSE()),"")</f>
        <v/>
      </c>
      <c r="J76" s="65" t="str">
        <f aca="false">IFERROR(VLOOKUP(J$2+$A76,Measures!$B$4:$D$92,3,FALSE()),"")</f>
        <v/>
      </c>
      <c r="K76" s="65" t="str">
        <f aca="false">IFERROR(VLOOKUP(K$2+$A76,Measures!$B$4:$D$92,3,FALSE()),"")</f>
        <v/>
      </c>
    </row>
    <row r="77" customFormat="false" ht="11.25" hidden="false" customHeight="false" outlineLevel="0" collapsed="false">
      <c r="A77" s="59" t="n">
        <v>75</v>
      </c>
      <c r="B77" s="65" t="str">
        <f aca="false">IFERROR(VLOOKUP(B$2+$A77,Measures!$B$4:$D$92,3,FALSE()),"")</f>
        <v/>
      </c>
      <c r="C77" s="65" t="str">
        <f aca="false">IFERROR(VLOOKUP(C$2+$A77,Measures!$B$4:$D$92,3,FALSE()),"")</f>
        <v/>
      </c>
      <c r="D77" s="65" t="str">
        <f aca="false">IFERROR(VLOOKUP(D$2+$A77,Measures!$B$4:$D$92,3,FALSE()),"")</f>
        <v/>
      </c>
      <c r="E77" s="65" t="str">
        <f aca="false">IFERROR(VLOOKUP(E$2+$A77,Measures!$B$4:$D$92,3,FALSE()),"")</f>
        <v/>
      </c>
      <c r="F77" s="65" t="str">
        <f aca="false">IFERROR(VLOOKUP(F$2+$A77,Measures!$B$4:$D$92,3,FALSE()),"")</f>
        <v/>
      </c>
      <c r="G77" s="65" t="str">
        <f aca="false">IFERROR(VLOOKUP(G$2+$A77,Measures!$B$4:$D$92,3,FALSE()),"")</f>
        <v/>
      </c>
      <c r="H77" s="65" t="str">
        <f aca="false">IFERROR(VLOOKUP(H$2+$A77,Measures!$B$4:$D$92,3,FALSE()),"")</f>
        <v/>
      </c>
      <c r="I77" s="65" t="str">
        <f aca="false">IFERROR(VLOOKUP(I$2+$A77,Measures!$B$4:$D$92,3,FALSE()),"")</f>
        <v/>
      </c>
      <c r="J77" s="65" t="str">
        <f aca="false">IFERROR(VLOOKUP(J$2+$A77,Measures!$B$4:$D$92,3,FALSE()),"")</f>
        <v/>
      </c>
      <c r="K77" s="65" t="str">
        <f aca="false">IFERROR(VLOOKUP(K$2+$A77,Measures!$B$4:$D$92,3,FALSE()),"")</f>
        <v/>
      </c>
    </row>
    <row r="78" customFormat="false" ht="11.25" hidden="false" customHeight="false" outlineLevel="0" collapsed="false">
      <c r="A78" s="59" t="n">
        <v>76</v>
      </c>
      <c r="B78" s="65" t="str">
        <f aca="false">IFERROR(VLOOKUP(B$2+$A78,Measures!$B$4:$D$92,3,FALSE()),"")</f>
        <v/>
      </c>
      <c r="C78" s="65" t="str">
        <f aca="false">IFERROR(VLOOKUP(C$2+$A78,Measures!$B$4:$D$92,3,FALSE()),"")</f>
        <v/>
      </c>
      <c r="D78" s="65" t="str">
        <f aca="false">IFERROR(VLOOKUP(D$2+$A78,Measures!$B$4:$D$92,3,FALSE()),"")</f>
        <v/>
      </c>
      <c r="E78" s="65" t="str">
        <f aca="false">IFERROR(VLOOKUP(E$2+$A78,Measures!$B$4:$D$92,3,FALSE()),"")</f>
        <v/>
      </c>
      <c r="F78" s="65" t="str">
        <f aca="false">IFERROR(VLOOKUP(F$2+$A78,Measures!$B$4:$D$92,3,FALSE()),"")</f>
        <v/>
      </c>
      <c r="G78" s="65" t="str">
        <f aca="false">IFERROR(VLOOKUP(G$2+$A78,Measures!$B$4:$D$92,3,FALSE()),"")</f>
        <v/>
      </c>
      <c r="H78" s="65" t="str">
        <f aca="false">IFERROR(VLOOKUP(H$2+$A78,Measures!$B$4:$D$92,3,FALSE()),"")</f>
        <v/>
      </c>
      <c r="I78" s="65" t="str">
        <f aca="false">IFERROR(VLOOKUP(I$2+$A78,Measures!$B$4:$D$92,3,FALSE()),"")</f>
        <v/>
      </c>
      <c r="J78" s="65" t="str">
        <f aca="false">IFERROR(VLOOKUP(J$2+$A78,Measures!$B$4:$D$92,3,FALSE()),"")</f>
        <v/>
      </c>
      <c r="K78" s="65" t="str">
        <f aca="false">IFERROR(VLOOKUP(K$2+$A78,Measures!$B$4:$D$92,3,FALSE()),"")</f>
        <v/>
      </c>
    </row>
    <row r="79" customFormat="false" ht="11.25" hidden="false" customHeight="false" outlineLevel="0" collapsed="false">
      <c r="A79" s="59" t="n">
        <v>77</v>
      </c>
      <c r="B79" s="65" t="str">
        <f aca="false">IFERROR(VLOOKUP(B$2+$A79,Measures!$B$4:$D$92,3,FALSE()),"")</f>
        <v/>
      </c>
      <c r="C79" s="65" t="str">
        <f aca="false">IFERROR(VLOOKUP(C$2+$A79,Measures!$B$4:$D$92,3,FALSE()),"")</f>
        <v/>
      </c>
      <c r="D79" s="65" t="str">
        <f aca="false">IFERROR(VLOOKUP(D$2+$A79,Measures!$B$4:$D$92,3,FALSE()),"")</f>
        <v/>
      </c>
      <c r="E79" s="65" t="str">
        <f aca="false">IFERROR(VLOOKUP(E$2+$A79,Measures!$B$4:$D$92,3,FALSE()),"")</f>
        <v/>
      </c>
      <c r="F79" s="65" t="str">
        <f aca="false">IFERROR(VLOOKUP(F$2+$A79,Measures!$B$4:$D$92,3,FALSE()),"")</f>
        <v/>
      </c>
      <c r="G79" s="65" t="str">
        <f aca="false">IFERROR(VLOOKUP(G$2+$A79,Measures!$B$4:$D$92,3,FALSE()),"")</f>
        <v/>
      </c>
      <c r="H79" s="65" t="str">
        <f aca="false">IFERROR(VLOOKUP(H$2+$A79,Measures!$B$4:$D$92,3,FALSE()),"")</f>
        <v/>
      </c>
      <c r="I79" s="65" t="str">
        <f aca="false">IFERROR(VLOOKUP(I$2+$A79,Measures!$B$4:$D$92,3,FALSE()),"")</f>
        <v/>
      </c>
      <c r="J79" s="65" t="str">
        <f aca="false">IFERROR(VLOOKUP(J$2+$A79,Measures!$B$4:$D$92,3,FALSE()),"")</f>
        <v/>
      </c>
      <c r="K79" s="65" t="str">
        <f aca="false">IFERROR(VLOOKUP(K$2+$A79,Measures!$B$4:$D$92,3,FALSE()),"")</f>
        <v/>
      </c>
    </row>
    <row r="80" customFormat="false" ht="11.25" hidden="false" customHeight="false" outlineLevel="0" collapsed="false">
      <c r="A80" s="59" t="n">
        <v>78</v>
      </c>
      <c r="B80" s="65" t="str">
        <f aca="false">IFERROR(VLOOKUP(B$2+$A80,Measures!$B$4:$D$92,3,FALSE()),"")</f>
        <v/>
      </c>
      <c r="C80" s="65" t="str">
        <f aca="false">IFERROR(VLOOKUP(C$2+$A80,Measures!$B$4:$D$92,3,FALSE()),"")</f>
        <v/>
      </c>
      <c r="D80" s="65" t="str">
        <f aca="false">IFERROR(VLOOKUP(D$2+$A80,Measures!$B$4:$D$92,3,FALSE()),"")</f>
        <v/>
      </c>
      <c r="E80" s="65" t="str">
        <f aca="false">IFERROR(VLOOKUP(E$2+$A80,Measures!$B$4:$D$92,3,FALSE()),"")</f>
        <v/>
      </c>
      <c r="F80" s="65" t="str">
        <f aca="false">IFERROR(VLOOKUP(F$2+$A80,Measures!$B$4:$D$92,3,FALSE()),"")</f>
        <v/>
      </c>
      <c r="G80" s="65" t="str">
        <f aca="false">IFERROR(VLOOKUP(G$2+$A80,Measures!$B$4:$D$92,3,FALSE()),"")</f>
        <v/>
      </c>
      <c r="H80" s="65" t="str">
        <f aca="false">IFERROR(VLOOKUP(H$2+$A80,Measures!$B$4:$D$92,3,FALSE()),"")</f>
        <v/>
      </c>
      <c r="I80" s="65" t="str">
        <f aca="false">IFERROR(VLOOKUP(I$2+$A80,Measures!$B$4:$D$92,3,FALSE()),"")</f>
        <v/>
      </c>
      <c r="J80" s="65" t="str">
        <f aca="false">IFERROR(VLOOKUP(J$2+$A80,Measures!$B$4:$D$92,3,FALSE()),"")</f>
        <v/>
      </c>
      <c r="K80" s="65" t="str">
        <f aca="false">IFERROR(VLOOKUP(K$2+$A80,Measures!$B$4:$D$92,3,FALSE()),"")</f>
        <v/>
      </c>
    </row>
    <row r="81" customFormat="false" ht="11.25" hidden="false" customHeight="false" outlineLevel="0" collapsed="false">
      <c r="A81" s="59" t="n">
        <v>79</v>
      </c>
      <c r="B81" s="65" t="str">
        <f aca="false">IFERROR(VLOOKUP(B$2+$A81,Measures!$B$4:$D$92,3,FALSE()),"")</f>
        <v/>
      </c>
      <c r="C81" s="65" t="str">
        <f aca="false">IFERROR(VLOOKUP(C$2+$A81,Measures!$B$4:$D$92,3,FALSE()),"")</f>
        <v/>
      </c>
      <c r="D81" s="65" t="str">
        <f aca="false">IFERROR(VLOOKUP(D$2+$A81,Measures!$B$4:$D$92,3,FALSE()),"")</f>
        <v/>
      </c>
      <c r="E81" s="65" t="str">
        <f aca="false">IFERROR(VLOOKUP(E$2+$A81,Measures!$B$4:$D$92,3,FALSE()),"")</f>
        <v/>
      </c>
      <c r="F81" s="65" t="str">
        <f aca="false">IFERROR(VLOOKUP(F$2+$A81,Measures!$B$4:$D$92,3,FALSE()),"")</f>
        <v/>
      </c>
      <c r="G81" s="65" t="str">
        <f aca="false">IFERROR(VLOOKUP(G$2+$A81,Measures!$B$4:$D$92,3,FALSE()),"")</f>
        <v/>
      </c>
      <c r="H81" s="65" t="str">
        <f aca="false">IFERROR(VLOOKUP(H$2+$A81,Measures!$B$4:$D$92,3,FALSE()),"")</f>
        <v/>
      </c>
      <c r="I81" s="65" t="str">
        <f aca="false">IFERROR(VLOOKUP(I$2+$A81,Measures!$B$4:$D$92,3,FALSE()),"")</f>
        <v/>
      </c>
      <c r="J81" s="65" t="str">
        <f aca="false">IFERROR(VLOOKUP(J$2+$A81,Measures!$B$4:$D$92,3,FALSE()),"")</f>
        <v/>
      </c>
      <c r="K81" s="65" t="str">
        <f aca="false">IFERROR(VLOOKUP(K$2+$A81,Measures!$B$4:$D$92,3,FALSE()),"")</f>
        <v/>
      </c>
    </row>
    <row r="82" customFormat="false" ht="11.25" hidden="false" customHeight="false" outlineLevel="0" collapsed="false">
      <c r="A82" s="59" t="n">
        <v>80</v>
      </c>
      <c r="B82" s="65" t="str">
        <f aca="false">IFERROR(VLOOKUP(B$2+$A82,Measures!$B$4:$D$92,3,FALSE()),"")</f>
        <v/>
      </c>
      <c r="C82" s="65" t="str">
        <f aca="false">IFERROR(VLOOKUP(C$2+$A82,Measures!$B$4:$D$92,3,FALSE()),"")</f>
        <v/>
      </c>
      <c r="D82" s="65" t="str">
        <f aca="false">IFERROR(VLOOKUP(D$2+$A82,Measures!$B$4:$D$92,3,FALSE()),"")</f>
        <v/>
      </c>
      <c r="E82" s="65" t="str">
        <f aca="false">IFERROR(VLOOKUP(E$2+$A82,Measures!$B$4:$D$92,3,FALSE()),"")</f>
        <v/>
      </c>
      <c r="F82" s="65" t="str">
        <f aca="false">IFERROR(VLOOKUP(F$2+$A82,Measures!$B$4:$D$92,3,FALSE()),"")</f>
        <v/>
      </c>
      <c r="G82" s="65" t="str">
        <f aca="false">IFERROR(VLOOKUP(G$2+$A82,Measures!$B$4:$D$92,3,FALSE()),"")</f>
        <v/>
      </c>
      <c r="H82" s="65" t="str">
        <f aca="false">IFERROR(VLOOKUP(H$2+$A82,Measures!$B$4:$D$92,3,FALSE()),"")</f>
        <v/>
      </c>
      <c r="I82" s="65" t="str">
        <f aca="false">IFERROR(VLOOKUP(I$2+$A82,Measures!$B$4:$D$92,3,FALSE()),"")</f>
        <v/>
      </c>
      <c r="J82" s="65" t="str">
        <f aca="false">IFERROR(VLOOKUP(J$2+$A82,Measures!$B$4:$D$92,3,FALSE()),"")</f>
        <v/>
      </c>
      <c r="K82" s="65" t="str">
        <f aca="false">IFERROR(VLOOKUP(K$2+$A82,Measures!$B$4:$D$92,3,FALSE()),"")</f>
        <v/>
      </c>
    </row>
    <row r="83" customFormat="false" ht="11.25" hidden="false" customHeight="false" outlineLevel="0" collapsed="false">
      <c r="A83" s="59" t="n">
        <v>81</v>
      </c>
      <c r="B83" s="65" t="str">
        <f aca="false">IFERROR(VLOOKUP(B$2+$A83,Measures!$B$4:$D$92,3,FALSE()),"")</f>
        <v/>
      </c>
      <c r="C83" s="65" t="str">
        <f aca="false">IFERROR(VLOOKUP(C$2+$A83,Measures!$B$4:$D$92,3,FALSE()),"")</f>
        <v/>
      </c>
      <c r="D83" s="65" t="str">
        <f aca="false">IFERROR(VLOOKUP(D$2+$A83,Measures!$B$4:$D$92,3,FALSE()),"")</f>
        <v/>
      </c>
      <c r="E83" s="65" t="str">
        <f aca="false">IFERROR(VLOOKUP(E$2+$A83,Measures!$B$4:$D$92,3,FALSE()),"")</f>
        <v/>
      </c>
      <c r="F83" s="65" t="str">
        <f aca="false">IFERROR(VLOOKUP(F$2+$A83,Measures!$B$4:$D$92,3,FALSE()),"")</f>
        <v/>
      </c>
      <c r="G83" s="65" t="str">
        <f aca="false">IFERROR(VLOOKUP(G$2+$A83,Measures!$B$4:$D$92,3,FALSE()),"")</f>
        <v/>
      </c>
      <c r="H83" s="65" t="str">
        <f aca="false">IFERROR(VLOOKUP(H$2+$A83,Measures!$B$4:$D$92,3,FALSE()),"")</f>
        <v/>
      </c>
      <c r="I83" s="65" t="str">
        <f aca="false">IFERROR(VLOOKUP(I$2+$A83,Measures!$B$4:$D$92,3,FALSE()),"")</f>
        <v/>
      </c>
      <c r="J83" s="65" t="str">
        <f aca="false">IFERROR(VLOOKUP(J$2+$A83,Measures!$B$4:$D$92,3,FALSE()),"")</f>
        <v/>
      </c>
      <c r="K83" s="65" t="str">
        <f aca="false">IFERROR(VLOOKUP(K$2+$A83,Measures!$B$4:$D$92,3,FALSE()),"")</f>
        <v/>
      </c>
    </row>
    <row r="84" customFormat="false" ht="11.25" hidden="false" customHeight="false" outlineLevel="0" collapsed="false">
      <c r="A84" s="59" t="n">
        <v>82</v>
      </c>
      <c r="B84" s="65" t="str">
        <f aca="false">IFERROR(VLOOKUP(B$2+$A84,Measures!$B$4:$D$92,3,FALSE()),"")</f>
        <v/>
      </c>
      <c r="C84" s="65" t="str">
        <f aca="false">IFERROR(VLOOKUP(C$2+$A84,Measures!$B$4:$D$92,3,FALSE()),"")</f>
        <v/>
      </c>
      <c r="D84" s="65" t="str">
        <f aca="false">IFERROR(VLOOKUP(D$2+$A84,Measures!$B$4:$D$92,3,FALSE()),"")</f>
        <v/>
      </c>
      <c r="E84" s="65" t="str">
        <f aca="false">IFERROR(VLOOKUP(E$2+$A84,Measures!$B$4:$D$92,3,FALSE()),"")</f>
        <v/>
      </c>
      <c r="F84" s="65" t="str">
        <f aca="false">IFERROR(VLOOKUP(F$2+$A84,Measures!$B$4:$D$92,3,FALSE()),"")</f>
        <v/>
      </c>
      <c r="G84" s="65" t="str">
        <f aca="false">IFERROR(VLOOKUP(G$2+$A84,Measures!$B$4:$D$92,3,FALSE()),"")</f>
        <v/>
      </c>
      <c r="H84" s="65" t="str">
        <f aca="false">IFERROR(VLOOKUP(H$2+$A84,Measures!$B$4:$D$92,3,FALSE()),"")</f>
        <v/>
      </c>
      <c r="I84" s="65" t="str">
        <f aca="false">IFERROR(VLOOKUP(I$2+$A84,Measures!$B$4:$D$92,3,FALSE()),"")</f>
        <v/>
      </c>
      <c r="J84" s="65" t="str">
        <f aca="false">IFERROR(VLOOKUP(J$2+$A84,Measures!$B$4:$D$92,3,FALSE()),"")</f>
        <v/>
      </c>
      <c r="K84" s="65" t="str">
        <f aca="false">IFERROR(VLOOKUP(K$2+$A84,Measures!$B$4:$D$92,3,FALSE()),"")</f>
        <v/>
      </c>
    </row>
    <row r="85" customFormat="false" ht="11.25" hidden="false" customHeight="false" outlineLevel="0" collapsed="false">
      <c r="A85" s="59" t="n">
        <v>83</v>
      </c>
      <c r="B85" s="65" t="str">
        <f aca="false">IFERROR(VLOOKUP(B$2+$A85,Measures!$B$4:$D$92,3,FALSE()),"")</f>
        <v/>
      </c>
      <c r="C85" s="65" t="str">
        <f aca="false">IFERROR(VLOOKUP(C$2+$A85,Measures!$B$4:$D$92,3,FALSE()),"")</f>
        <v/>
      </c>
      <c r="D85" s="65" t="str">
        <f aca="false">IFERROR(VLOOKUP(D$2+$A85,Measures!$B$4:$D$92,3,FALSE()),"")</f>
        <v/>
      </c>
      <c r="E85" s="65" t="str">
        <f aca="false">IFERROR(VLOOKUP(E$2+$A85,Measures!$B$4:$D$92,3,FALSE()),"")</f>
        <v/>
      </c>
      <c r="F85" s="65" t="str">
        <f aca="false">IFERROR(VLOOKUP(F$2+$A85,Measures!$B$4:$D$92,3,FALSE()),"")</f>
        <v/>
      </c>
      <c r="G85" s="65" t="str">
        <f aca="false">IFERROR(VLOOKUP(G$2+$A85,Measures!$B$4:$D$92,3,FALSE()),"")</f>
        <v/>
      </c>
      <c r="H85" s="65" t="str">
        <f aca="false">IFERROR(VLOOKUP(H$2+$A85,Measures!$B$4:$D$92,3,FALSE()),"")</f>
        <v/>
      </c>
      <c r="I85" s="65" t="str">
        <f aca="false">IFERROR(VLOOKUP(I$2+$A85,Measures!$B$4:$D$92,3,FALSE()),"")</f>
        <v/>
      </c>
      <c r="J85" s="65" t="str">
        <f aca="false">IFERROR(VLOOKUP(J$2+$A85,Measures!$B$4:$D$92,3,FALSE()),"")</f>
        <v/>
      </c>
      <c r="K85" s="65" t="str">
        <f aca="false">IFERROR(VLOOKUP(K$2+$A85,Measures!$B$4:$D$92,3,FALSE()),"")</f>
        <v/>
      </c>
    </row>
    <row r="86" customFormat="false" ht="11.25" hidden="false" customHeight="false" outlineLevel="0" collapsed="false">
      <c r="A86" s="59" t="n">
        <v>84</v>
      </c>
      <c r="B86" s="65" t="str">
        <f aca="false">IFERROR(VLOOKUP(B$2+$A86,Measures!$B$4:$D$92,3,FALSE()),"")</f>
        <v/>
      </c>
      <c r="C86" s="65" t="str">
        <f aca="false">IFERROR(VLOOKUP(C$2+$A86,Measures!$B$4:$D$92,3,FALSE()),"")</f>
        <v/>
      </c>
      <c r="D86" s="65" t="str">
        <f aca="false">IFERROR(VLOOKUP(D$2+$A86,Measures!$B$4:$D$92,3,FALSE()),"")</f>
        <v/>
      </c>
      <c r="E86" s="65" t="str">
        <f aca="false">IFERROR(VLOOKUP(E$2+$A86,Measures!$B$4:$D$92,3,FALSE()),"")</f>
        <v/>
      </c>
      <c r="F86" s="65" t="str">
        <f aca="false">IFERROR(VLOOKUP(F$2+$A86,Measures!$B$4:$D$92,3,FALSE()),"")</f>
        <v/>
      </c>
      <c r="G86" s="65" t="str">
        <f aca="false">IFERROR(VLOOKUP(G$2+$A86,Measures!$B$4:$D$92,3,FALSE()),"")</f>
        <v/>
      </c>
      <c r="H86" s="65" t="str">
        <f aca="false">IFERROR(VLOOKUP(H$2+$A86,Measures!$B$4:$D$92,3,FALSE()),"")</f>
        <v/>
      </c>
      <c r="I86" s="65" t="str">
        <f aca="false">IFERROR(VLOOKUP(I$2+$A86,Measures!$B$4:$D$92,3,FALSE()),"")</f>
        <v/>
      </c>
      <c r="J86" s="65" t="str">
        <f aca="false">IFERROR(VLOOKUP(J$2+$A86,Measures!$B$4:$D$92,3,FALSE()),"")</f>
        <v/>
      </c>
      <c r="K86" s="65" t="str">
        <f aca="false">IFERROR(VLOOKUP(K$2+$A86,Measures!$B$4:$D$92,3,FALSE()),"")</f>
        <v/>
      </c>
    </row>
    <row r="87" customFormat="false" ht="11.25" hidden="false" customHeight="false" outlineLevel="0" collapsed="false">
      <c r="A87" s="59" t="n">
        <v>85</v>
      </c>
      <c r="B87" s="65" t="str">
        <f aca="false">IFERROR(VLOOKUP(B$2+$A87,Measures!$B$4:$D$92,3,FALSE()),"")</f>
        <v/>
      </c>
      <c r="C87" s="65" t="str">
        <f aca="false">IFERROR(VLOOKUP(C$2+$A87,Measures!$B$4:$D$92,3,FALSE()),"")</f>
        <v/>
      </c>
      <c r="D87" s="65" t="str">
        <f aca="false">IFERROR(VLOOKUP(D$2+$A87,Measures!$B$4:$D$92,3,FALSE()),"")</f>
        <v/>
      </c>
      <c r="E87" s="65" t="str">
        <f aca="false">IFERROR(VLOOKUP(E$2+$A87,Measures!$B$4:$D$92,3,FALSE()),"")</f>
        <v/>
      </c>
      <c r="F87" s="65" t="str">
        <f aca="false">IFERROR(VLOOKUP(F$2+$A87,Measures!$B$4:$D$92,3,FALSE()),"")</f>
        <v/>
      </c>
      <c r="G87" s="65" t="str">
        <f aca="false">IFERROR(VLOOKUP(G$2+$A87,Measures!$B$4:$D$92,3,FALSE()),"")</f>
        <v/>
      </c>
      <c r="H87" s="65" t="str">
        <f aca="false">IFERROR(VLOOKUP(H$2+$A87,Measures!$B$4:$D$92,3,FALSE()),"")</f>
        <v/>
      </c>
      <c r="I87" s="65" t="str">
        <f aca="false">IFERROR(VLOOKUP(I$2+$A87,Measures!$B$4:$D$92,3,FALSE()),"")</f>
        <v/>
      </c>
      <c r="J87" s="65" t="str">
        <f aca="false">IFERROR(VLOOKUP(J$2+$A87,Measures!$B$4:$D$92,3,FALSE()),"")</f>
        <v/>
      </c>
      <c r="K87" s="65" t="str">
        <f aca="false">IFERROR(VLOOKUP(K$2+$A87,Measures!$B$4:$D$92,3,FALSE()),"")</f>
        <v/>
      </c>
    </row>
    <row r="88" customFormat="false" ht="11.25" hidden="false" customHeight="false" outlineLevel="0" collapsed="false">
      <c r="A88" s="59" t="n">
        <v>86</v>
      </c>
      <c r="B88" s="65" t="str">
        <f aca="false">IFERROR(VLOOKUP(B$2+$A88,Measures!$B$4:$D$92,3,FALSE()),"")</f>
        <v/>
      </c>
      <c r="C88" s="65" t="str">
        <f aca="false">IFERROR(VLOOKUP(C$2+$A88,Measures!$B$4:$D$92,3,FALSE()),"")</f>
        <v/>
      </c>
      <c r="D88" s="65" t="str">
        <f aca="false">IFERROR(VLOOKUP(D$2+$A88,Measures!$B$4:$D$92,3,FALSE()),"")</f>
        <v/>
      </c>
      <c r="E88" s="65" t="str">
        <f aca="false">IFERROR(VLOOKUP(E$2+$A88,Measures!$B$4:$D$92,3,FALSE()),"")</f>
        <v/>
      </c>
      <c r="F88" s="65" t="str">
        <f aca="false">IFERROR(VLOOKUP(F$2+$A88,Measures!$B$4:$D$92,3,FALSE()),"")</f>
        <v/>
      </c>
      <c r="G88" s="65" t="str">
        <f aca="false">IFERROR(VLOOKUP(G$2+$A88,Measures!$B$4:$D$92,3,FALSE()),"")</f>
        <v/>
      </c>
      <c r="H88" s="65" t="str">
        <f aca="false">IFERROR(VLOOKUP(H$2+$A88,Measures!$B$4:$D$92,3,FALSE()),"")</f>
        <v/>
      </c>
      <c r="I88" s="65" t="str">
        <f aca="false">IFERROR(VLOOKUP(I$2+$A88,Measures!$B$4:$D$92,3,FALSE()),"")</f>
        <v/>
      </c>
      <c r="J88" s="65" t="str">
        <f aca="false">IFERROR(VLOOKUP(J$2+$A88,Measures!$B$4:$D$92,3,FALSE()),"")</f>
        <v/>
      </c>
      <c r="K88" s="65" t="str">
        <f aca="false">IFERROR(VLOOKUP(K$2+$A88,Measures!$B$4:$D$92,3,FALSE()),"")</f>
        <v/>
      </c>
    </row>
    <row r="89" customFormat="false" ht="11.25" hidden="false" customHeight="false" outlineLevel="0" collapsed="false">
      <c r="A89" s="59" t="n">
        <v>87</v>
      </c>
      <c r="B89" s="65" t="str">
        <f aca="false">IFERROR(VLOOKUP(B$2+$A89,Measures!$B$4:$D$92,3,FALSE()),"")</f>
        <v/>
      </c>
      <c r="C89" s="65" t="str">
        <f aca="false">IFERROR(VLOOKUP(C$2+$A89,Measures!$B$4:$D$92,3,FALSE()),"")</f>
        <v/>
      </c>
      <c r="D89" s="65" t="str">
        <f aca="false">IFERROR(VLOOKUP(D$2+$A89,Measures!$B$4:$D$92,3,FALSE()),"")</f>
        <v/>
      </c>
      <c r="E89" s="65" t="str">
        <f aca="false">IFERROR(VLOOKUP(E$2+$A89,Measures!$B$4:$D$92,3,FALSE()),"")</f>
        <v/>
      </c>
      <c r="F89" s="65" t="str">
        <f aca="false">IFERROR(VLOOKUP(F$2+$A89,Measures!$B$4:$D$92,3,FALSE()),"")</f>
        <v/>
      </c>
      <c r="G89" s="65" t="str">
        <f aca="false">IFERROR(VLOOKUP(G$2+$A89,Measures!$B$4:$D$92,3,FALSE()),"")</f>
        <v/>
      </c>
      <c r="H89" s="65" t="str">
        <f aca="false">IFERROR(VLOOKUP(H$2+$A89,Measures!$B$4:$D$92,3,FALSE()),"")</f>
        <v/>
      </c>
      <c r="I89" s="65" t="str">
        <f aca="false">IFERROR(VLOOKUP(I$2+$A89,Measures!$B$4:$D$92,3,FALSE()),"")</f>
        <v/>
      </c>
      <c r="J89" s="65" t="str">
        <f aca="false">IFERROR(VLOOKUP(J$2+$A89,Measures!$B$4:$D$92,3,FALSE()),"")</f>
        <v/>
      </c>
      <c r="K89" s="65" t="str">
        <f aca="false">IFERROR(VLOOKUP(K$2+$A89,Measures!$B$4:$D$92,3,FALSE()),"")</f>
        <v/>
      </c>
    </row>
    <row r="90" customFormat="false" ht="11.25" hidden="false" customHeight="false" outlineLevel="0" collapsed="false">
      <c r="A90" s="59" t="n">
        <v>88</v>
      </c>
      <c r="B90" s="65" t="str">
        <f aca="false">IFERROR(VLOOKUP(B$2+$A90,Measures!$B$4:$D$92,3,FALSE()),"")</f>
        <v/>
      </c>
      <c r="C90" s="65" t="str">
        <f aca="false">IFERROR(VLOOKUP(C$2+$A90,Measures!$B$4:$D$92,3,FALSE()),"")</f>
        <v/>
      </c>
      <c r="D90" s="65" t="str">
        <f aca="false">IFERROR(VLOOKUP(D$2+$A90,Measures!$B$4:$D$92,3,FALSE()),"")</f>
        <v/>
      </c>
      <c r="E90" s="65" t="str">
        <f aca="false">IFERROR(VLOOKUP(E$2+$A90,Measures!$B$4:$D$92,3,FALSE()),"")</f>
        <v/>
      </c>
      <c r="F90" s="65" t="str">
        <f aca="false">IFERROR(VLOOKUP(F$2+$A90,Measures!$B$4:$D$92,3,FALSE()),"")</f>
        <v/>
      </c>
      <c r="G90" s="65" t="str">
        <f aca="false">IFERROR(VLOOKUP(G$2+$A90,Measures!$B$4:$D$92,3,FALSE()),"")</f>
        <v/>
      </c>
      <c r="H90" s="65" t="str">
        <f aca="false">IFERROR(VLOOKUP(H$2+$A90,Measures!$B$4:$D$92,3,FALSE()),"")</f>
        <v/>
      </c>
      <c r="I90" s="65" t="str">
        <f aca="false">IFERROR(VLOOKUP(I$2+$A90,Measures!$B$4:$D$92,3,FALSE()),"")</f>
        <v/>
      </c>
      <c r="J90" s="65" t="str">
        <f aca="false">IFERROR(VLOOKUP(J$2+$A90,Measures!$B$4:$D$92,3,FALSE()),"")</f>
        <v/>
      </c>
      <c r="K90" s="65" t="str">
        <f aca="false">IFERROR(VLOOKUP(K$2+$A90,Measures!$B$4:$D$92,3,FALSE()),"")</f>
        <v/>
      </c>
    </row>
    <row r="91" customFormat="false" ht="11.25" hidden="false" customHeight="false" outlineLevel="0" collapsed="false">
      <c r="A91" s="59" t="n">
        <v>89</v>
      </c>
      <c r="B91" s="65" t="str">
        <f aca="false">IFERROR(VLOOKUP(B$2+$A91,Measures!$B$4:$D$92,3,FALSE()),"")</f>
        <v/>
      </c>
      <c r="C91" s="65" t="str">
        <f aca="false">IFERROR(VLOOKUP(C$2+$A91,Measures!$B$4:$D$92,3,FALSE()),"")</f>
        <v/>
      </c>
      <c r="D91" s="65" t="str">
        <f aca="false">IFERROR(VLOOKUP(D$2+$A91,Measures!$B$4:$D$92,3,FALSE()),"")</f>
        <v/>
      </c>
      <c r="E91" s="65" t="str">
        <f aca="false">IFERROR(VLOOKUP(E$2+$A91,Measures!$B$4:$D$92,3,FALSE()),"")</f>
        <v/>
      </c>
      <c r="F91" s="65" t="str">
        <f aca="false">IFERROR(VLOOKUP(F$2+$A91,Measures!$B$4:$D$92,3,FALSE()),"")</f>
        <v/>
      </c>
      <c r="G91" s="65" t="str">
        <f aca="false">IFERROR(VLOOKUP(G$2+$A91,Measures!$B$4:$D$92,3,FALSE()),"")</f>
        <v/>
      </c>
      <c r="H91" s="65" t="str">
        <f aca="false">IFERROR(VLOOKUP(H$2+$A91,Measures!$B$4:$D$92,3,FALSE()),"")</f>
        <v/>
      </c>
      <c r="I91" s="65" t="str">
        <f aca="false">IFERROR(VLOOKUP(I$2+$A91,Measures!$B$4:$D$92,3,FALSE()),"")</f>
        <v/>
      </c>
      <c r="J91" s="65" t="str">
        <f aca="false">IFERROR(VLOOKUP(J$2+$A91,Measures!$B$4:$D$92,3,FALSE()),"")</f>
        <v/>
      </c>
      <c r="K91" s="65" t="str">
        <f aca="false">IFERROR(VLOOKUP(K$2+$A91,Measures!$B$4:$D$92,3,FALSE()),"")</f>
        <v/>
      </c>
    </row>
    <row r="92" customFormat="false" ht="11.25" hidden="false" customHeight="false" outlineLevel="0" collapsed="false">
      <c r="A92" s="59" t="n">
        <v>90</v>
      </c>
      <c r="B92" s="65" t="str">
        <f aca="false">IFERROR(VLOOKUP(B$2+$A92,Measures!$B$4:$D$92,3,FALSE()),"")</f>
        <v/>
      </c>
      <c r="C92" s="65" t="str">
        <f aca="false">IFERROR(VLOOKUP(C$2+$A92,Measures!$B$4:$D$92,3,FALSE()),"")</f>
        <v/>
      </c>
      <c r="D92" s="65" t="str">
        <f aca="false">IFERROR(VLOOKUP(D$2+$A92,Measures!$B$4:$D$92,3,FALSE()),"")</f>
        <v/>
      </c>
      <c r="E92" s="65" t="str">
        <f aca="false">IFERROR(VLOOKUP(E$2+$A92,Measures!$B$4:$D$92,3,FALSE()),"")</f>
        <v/>
      </c>
      <c r="F92" s="65" t="str">
        <f aca="false">IFERROR(VLOOKUP(F$2+$A92,Measures!$B$4:$D$92,3,FALSE()),"")</f>
        <v/>
      </c>
      <c r="G92" s="65" t="str">
        <f aca="false">IFERROR(VLOOKUP(G$2+$A92,Measures!$B$4:$D$92,3,FALSE()),"")</f>
        <v/>
      </c>
      <c r="H92" s="65" t="str">
        <f aca="false">IFERROR(VLOOKUP(H$2+$A92,Measures!$B$4:$D$92,3,FALSE()),"")</f>
        <v/>
      </c>
      <c r="I92" s="65" t="str">
        <f aca="false">IFERROR(VLOOKUP(I$2+$A92,Measures!$B$4:$D$92,3,FALSE()),"")</f>
        <v/>
      </c>
      <c r="J92" s="65" t="str">
        <f aca="false">IFERROR(VLOOKUP(J$2+$A92,Measures!$B$4:$D$92,3,FALSE()),"")</f>
        <v/>
      </c>
      <c r="K92" s="65" t="str">
        <f aca="false">IFERROR(VLOOKUP(K$2+$A92,Measures!$B$4:$D$92,3,FALSE()),"")</f>
        <v/>
      </c>
    </row>
    <row r="93" customFormat="false" ht="11.25" hidden="false" customHeight="false" outlineLevel="0" collapsed="false">
      <c r="A93" s="59" t="n">
        <v>91</v>
      </c>
      <c r="B93" s="65" t="str">
        <f aca="false">IFERROR(VLOOKUP(B$2+$A93,Measures!$B$4:$D$92,3,FALSE()),"")</f>
        <v/>
      </c>
      <c r="C93" s="65" t="str">
        <f aca="false">IFERROR(VLOOKUP(C$2+$A93,Measures!$B$4:$D$92,3,FALSE()),"")</f>
        <v/>
      </c>
      <c r="D93" s="65" t="str">
        <f aca="false">IFERROR(VLOOKUP(D$2+$A93,Measures!$B$4:$D$92,3,FALSE()),"")</f>
        <v/>
      </c>
      <c r="E93" s="65" t="str">
        <f aca="false">IFERROR(VLOOKUP(E$2+$A93,Measures!$B$4:$D$92,3,FALSE()),"")</f>
        <v/>
      </c>
      <c r="F93" s="65" t="str">
        <f aca="false">IFERROR(VLOOKUP(F$2+$A93,Measures!$B$4:$D$92,3,FALSE()),"")</f>
        <v/>
      </c>
      <c r="G93" s="65" t="str">
        <f aca="false">IFERROR(VLOOKUP(G$2+$A93,Measures!$B$4:$D$92,3,FALSE()),"")</f>
        <v/>
      </c>
      <c r="H93" s="65" t="str">
        <f aca="false">IFERROR(VLOOKUP(H$2+$A93,Measures!$B$4:$D$92,3,FALSE()),"")</f>
        <v/>
      </c>
      <c r="I93" s="65" t="str">
        <f aca="false">IFERROR(VLOOKUP(I$2+$A93,Measures!$B$4:$D$92,3,FALSE()),"")</f>
        <v/>
      </c>
      <c r="J93" s="65" t="str">
        <f aca="false">IFERROR(VLOOKUP(J$2+$A93,Measures!$B$4:$D$92,3,FALSE()),"")</f>
        <v/>
      </c>
      <c r="K93" s="65" t="str">
        <f aca="false">IFERROR(VLOOKUP(K$2+$A93,Measures!$B$4:$D$92,3,FALSE()),"")</f>
        <v/>
      </c>
    </row>
    <row r="94" customFormat="false" ht="11.25" hidden="false" customHeight="false" outlineLevel="0" collapsed="false">
      <c r="A94" s="59" t="n">
        <v>92</v>
      </c>
      <c r="B94" s="65" t="str">
        <f aca="false">IFERROR(VLOOKUP(B$2+$A94,Measures!$B$4:$D$92,3,FALSE()),"")</f>
        <v/>
      </c>
      <c r="C94" s="65" t="str">
        <f aca="false">IFERROR(VLOOKUP(C$2+$A94,Measures!$B$4:$D$92,3,FALSE()),"")</f>
        <v/>
      </c>
      <c r="D94" s="65" t="str">
        <f aca="false">IFERROR(VLOOKUP(D$2+$A94,Measures!$B$4:$D$92,3,FALSE()),"")</f>
        <v/>
      </c>
      <c r="E94" s="65" t="str">
        <f aca="false">IFERROR(VLOOKUP(E$2+$A94,Measures!$B$4:$D$92,3,FALSE()),"")</f>
        <v/>
      </c>
      <c r="F94" s="65" t="str">
        <f aca="false">IFERROR(VLOOKUP(F$2+$A94,Measures!$B$4:$D$92,3,FALSE()),"")</f>
        <v/>
      </c>
      <c r="G94" s="65" t="str">
        <f aca="false">IFERROR(VLOOKUP(G$2+$A94,Measures!$B$4:$D$92,3,FALSE()),"")</f>
        <v/>
      </c>
      <c r="H94" s="65" t="str">
        <f aca="false">IFERROR(VLOOKUP(H$2+$A94,Measures!$B$4:$D$92,3,FALSE()),"")</f>
        <v/>
      </c>
      <c r="I94" s="65" t="str">
        <f aca="false">IFERROR(VLOOKUP(I$2+$A94,Measures!$B$4:$D$92,3,FALSE()),"")</f>
        <v/>
      </c>
      <c r="J94" s="65" t="str">
        <f aca="false">IFERROR(VLOOKUP(J$2+$A94,Measures!$B$4:$D$92,3,FALSE()),"")</f>
        <v/>
      </c>
      <c r="K94" s="65" t="str">
        <f aca="false">IFERROR(VLOOKUP(K$2+$A94,Measures!$B$4:$D$92,3,FALSE()),"")</f>
        <v/>
      </c>
    </row>
    <row r="95" customFormat="false" ht="11.25" hidden="false" customHeight="false" outlineLevel="0" collapsed="false">
      <c r="A95" s="59" t="n">
        <v>93</v>
      </c>
      <c r="B95" s="65" t="str">
        <f aca="false">IFERROR(VLOOKUP(B$2+$A95,Measures!$B$4:$D$92,3,FALSE()),"")</f>
        <v/>
      </c>
      <c r="C95" s="65" t="str">
        <f aca="false">IFERROR(VLOOKUP(C$2+$A95,Measures!$B$4:$D$92,3,FALSE()),"")</f>
        <v/>
      </c>
      <c r="D95" s="65" t="str">
        <f aca="false">IFERROR(VLOOKUP(D$2+$A95,Measures!$B$4:$D$92,3,FALSE()),"")</f>
        <v/>
      </c>
      <c r="E95" s="65" t="str">
        <f aca="false">IFERROR(VLOOKUP(E$2+$A95,Measures!$B$4:$D$92,3,FALSE()),"")</f>
        <v/>
      </c>
      <c r="F95" s="65" t="str">
        <f aca="false">IFERROR(VLOOKUP(F$2+$A95,Measures!$B$4:$D$92,3,FALSE()),"")</f>
        <v/>
      </c>
      <c r="G95" s="65" t="str">
        <f aca="false">IFERROR(VLOOKUP(G$2+$A95,Measures!$B$4:$D$92,3,FALSE()),"")</f>
        <v/>
      </c>
      <c r="H95" s="65" t="str">
        <f aca="false">IFERROR(VLOOKUP(H$2+$A95,Measures!$B$4:$D$92,3,FALSE()),"")</f>
        <v/>
      </c>
      <c r="I95" s="65" t="str">
        <f aca="false">IFERROR(VLOOKUP(I$2+$A95,Measures!$B$4:$D$92,3,FALSE()),"")</f>
        <v/>
      </c>
      <c r="J95" s="65" t="str">
        <f aca="false">IFERROR(VLOOKUP(J$2+$A95,Measures!$B$4:$D$92,3,FALSE()),"")</f>
        <v/>
      </c>
      <c r="K95" s="65" t="str">
        <f aca="false">IFERROR(VLOOKUP(K$2+$A95,Measures!$B$4:$D$92,3,FALSE()),"")</f>
        <v/>
      </c>
    </row>
    <row r="96" customFormat="false" ht="11.25" hidden="false" customHeight="false" outlineLevel="0" collapsed="false">
      <c r="A96" s="59" t="n">
        <v>94</v>
      </c>
      <c r="B96" s="65" t="str">
        <f aca="false">IFERROR(VLOOKUP(B$2+$A96,Measures!$B$4:$D$92,3,FALSE()),"")</f>
        <v/>
      </c>
      <c r="C96" s="65" t="str">
        <f aca="false">IFERROR(VLOOKUP(C$2+$A96,Measures!$B$4:$D$92,3,FALSE()),"")</f>
        <v/>
      </c>
      <c r="D96" s="65" t="str">
        <f aca="false">IFERROR(VLOOKUP(D$2+$A96,Measures!$B$4:$D$92,3,FALSE()),"")</f>
        <v/>
      </c>
      <c r="E96" s="65" t="str">
        <f aca="false">IFERROR(VLOOKUP(E$2+$A96,Measures!$B$4:$D$92,3,FALSE()),"")</f>
        <v/>
      </c>
      <c r="F96" s="65" t="str">
        <f aca="false">IFERROR(VLOOKUP(F$2+$A96,Measures!$B$4:$D$92,3,FALSE()),"")</f>
        <v/>
      </c>
      <c r="G96" s="65" t="str">
        <f aca="false">IFERROR(VLOOKUP(G$2+$A96,Measures!$B$4:$D$92,3,FALSE()),"")</f>
        <v/>
      </c>
      <c r="H96" s="65" t="str">
        <f aca="false">IFERROR(VLOOKUP(H$2+$A96,Measures!$B$4:$D$92,3,FALSE()),"")</f>
        <v/>
      </c>
      <c r="I96" s="65" t="str">
        <f aca="false">IFERROR(VLOOKUP(I$2+$A96,Measures!$B$4:$D$92,3,FALSE()),"")</f>
        <v/>
      </c>
      <c r="J96" s="65" t="str">
        <f aca="false">IFERROR(VLOOKUP(J$2+$A96,Measures!$B$4:$D$92,3,FALSE()),"")</f>
        <v/>
      </c>
      <c r="K96" s="65" t="str">
        <f aca="false">IFERROR(VLOOKUP(K$2+$A96,Measures!$B$4:$D$92,3,FALSE()),"")</f>
        <v/>
      </c>
    </row>
    <row r="97" customFormat="false" ht="11.25" hidden="false" customHeight="false" outlineLevel="0" collapsed="false">
      <c r="A97" s="59" t="n">
        <v>95</v>
      </c>
      <c r="B97" s="65" t="str">
        <f aca="false">IFERROR(VLOOKUP(B$2+$A97,Measures!$B$4:$D$92,3,FALSE()),"")</f>
        <v/>
      </c>
      <c r="C97" s="65" t="str">
        <f aca="false">IFERROR(VLOOKUP(C$2+$A97,Measures!$B$4:$D$92,3,FALSE()),"")</f>
        <v/>
      </c>
      <c r="D97" s="65" t="str">
        <f aca="false">IFERROR(VLOOKUP(D$2+$A97,Measures!$B$4:$D$92,3,FALSE()),"")</f>
        <v/>
      </c>
      <c r="E97" s="65" t="str">
        <f aca="false">IFERROR(VLOOKUP(E$2+$A97,Measures!$B$4:$D$92,3,FALSE()),"")</f>
        <v/>
      </c>
      <c r="F97" s="65" t="str">
        <f aca="false">IFERROR(VLOOKUP(F$2+$A97,Measures!$B$4:$D$92,3,FALSE()),"")</f>
        <v/>
      </c>
      <c r="G97" s="65" t="str">
        <f aca="false">IFERROR(VLOOKUP(G$2+$A97,Measures!$B$4:$D$92,3,FALSE()),"")</f>
        <v/>
      </c>
      <c r="H97" s="65" t="str">
        <f aca="false">IFERROR(VLOOKUP(H$2+$A97,Measures!$B$4:$D$92,3,FALSE()),"")</f>
        <v/>
      </c>
      <c r="I97" s="65" t="str">
        <f aca="false">IFERROR(VLOOKUP(I$2+$A97,Measures!$B$4:$D$92,3,FALSE()),"")</f>
        <v/>
      </c>
      <c r="J97" s="65" t="str">
        <f aca="false">IFERROR(VLOOKUP(J$2+$A97,Measures!$B$4:$D$92,3,FALSE()),"")</f>
        <v/>
      </c>
      <c r="K97" s="65" t="str">
        <f aca="false">IFERROR(VLOOKUP(K$2+$A97,Measures!$B$4:$D$92,3,FALSE()),"")</f>
        <v/>
      </c>
    </row>
    <row r="98" customFormat="false" ht="11.25" hidden="false" customHeight="false" outlineLevel="0" collapsed="false">
      <c r="A98" s="59" t="n">
        <v>96</v>
      </c>
      <c r="B98" s="65" t="str">
        <f aca="false">IFERROR(VLOOKUP(B$2+$A98,Measures!$B$4:$D$92,3,FALSE()),"")</f>
        <v/>
      </c>
      <c r="C98" s="65" t="str">
        <f aca="false">IFERROR(VLOOKUP(C$2+$A98,Measures!$B$4:$D$92,3,FALSE()),"")</f>
        <v/>
      </c>
      <c r="D98" s="65" t="str">
        <f aca="false">IFERROR(VLOOKUP(D$2+$A98,Measures!$B$4:$D$92,3,FALSE()),"")</f>
        <v/>
      </c>
      <c r="E98" s="65" t="str">
        <f aca="false">IFERROR(VLOOKUP(E$2+$A98,Measures!$B$4:$D$92,3,FALSE()),"")</f>
        <v/>
      </c>
      <c r="F98" s="65" t="str">
        <f aca="false">IFERROR(VLOOKUP(F$2+$A98,Measures!$B$4:$D$92,3,FALSE()),"")</f>
        <v/>
      </c>
      <c r="G98" s="65" t="str">
        <f aca="false">IFERROR(VLOOKUP(G$2+$A98,Measures!$B$4:$D$92,3,FALSE()),"")</f>
        <v/>
      </c>
      <c r="H98" s="65" t="str">
        <f aca="false">IFERROR(VLOOKUP(H$2+$A98,Measures!$B$4:$D$92,3,FALSE()),"")</f>
        <v/>
      </c>
      <c r="I98" s="65" t="str">
        <f aca="false">IFERROR(VLOOKUP(I$2+$A98,Measures!$B$4:$D$92,3,FALSE()),"")</f>
        <v/>
      </c>
      <c r="J98" s="65" t="str">
        <f aca="false">IFERROR(VLOOKUP(J$2+$A98,Measures!$B$4:$D$92,3,FALSE()),"")</f>
        <v/>
      </c>
      <c r="K98" s="65" t="str">
        <f aca="false">IFERROR(VLOOKUP(K$2+$A98,Measures!$B$4:$D$92,3,FALSE()),"")</f>
        <v/>
      </c>
    </row>
    <row r="99" customFormat="false" ht="11.25" hidden="false" customHeight="false" outlineLevel="0" collapsed="false">
      <c r="A99" s="59" t="n">
        <v>97</v>
      </c>
      <c r="B99" s="65" t="str">
        <f aca="false">IFERROR(VLOOKUP(B$2+$A99,Measures!$B$4:$D$92,3,FALSE()),"")</f>
        <v/>
      </c>
      <c r="C99" s="65" t="str">
        <f aca="false">IFERROR(VLOOKUP(C$2+$A99,Measures!$B$4:$D$92,3,FALSE()),"")</f>
        <v/>
      </c>
      <c r="D99" s="65" t="str">
        <f aca="false">IFERROR(VLOOKUP(D$2+$A99,Measures!$B$4:$D$92,3,FALSE()),"")</f>
        <v/>
      </c>
      <c r="E99" s="65" t="str">
        <f aca="false">IFERROR(VLOOKUP(E$2+$A99,Measures!$B$4:$D$92,3,FALSE()),"")</f>
        <v/>
      </c>
      <c r="F99" s="65" t="str">
        <f aca="false">IFERROR(VLOOKUP(F$2+$A99,Measures!$B$4:$D$92,3,FALSE()),"")</f>
        <v/>
      </c>
      <c r="G99" s="65" t="str">
        <f aca="false">IFERROR(VLOOKUP(G$2+$A99,Measures!$B$4:$D$92,3,FALSE()),"")</f>
        <v/>
      </c>
      <c r="H99" s="65" t="str">
        <f aca="false">IFERROR(VLOOKUP(H$2+$A99,Measures!$B$4:$D$92,3,FALSE()),"")</f>
        <v/>
      </c>
      <c r="I99" s="65" t="str">
        <f aca="false">IFERROR(VLOOKUP(I$2+$A99,Measures!$B$4:$D$92,3,FALSE()),"")</f>
        <v/>
      </c>
      <c r="J99" s="65" t="str">
        <f aca="false">IFERROR(VLOOKUP(J$2+$A99,Measures!$B$4:$D$92,3,FALSE()),"")</f>
        <v/>
      </c>
      <c r="K99" s="65" t="str">
        <f aca="false">IFERROR(VLOOKUP(K$2+$A99,Measures!$B$4:$D$92,3,FALSE()),"")</f>
        <v/>
      </c>
    </row>
    <row r="100" customFormat="false" ht="11.25" hidden="false" customHeight="false" outlineLevel="0" collapsed="false">
      <c r="A100" s="59" t="n">
        <v>98</v>
      </c>
      <c r="B100" s="65" t="str">
        <f aca="false">IFERROR(VLOOKUP(B$2+$A100,Measures!$B$4:$D$92,3,FALSE()),"")</f>
        <v/>
      </c>
      <c r="C100" s="65" t="str">
        <f aca="false">IFERROR(VLOOKUP(C$2+$A100,Measures!$B$4:$D$92,3,FALSE()),"")</f>
        <v/>
      </c>
      <c r="D100" s="65" t="str">
        <f aca="false">IFERROR(VLOOKUP(D$2+$A100,Measures!$B$4:$D$92,3,FALSE()),"")</f>
        <v/>
      </c>
      <c r="E100" s="65" t="str">
        <f aca="false">IFERROR(VLOOKUP(E$2+$A100,Measures!$B$4:$D$92,3,FALSE()),"")</f>
        <v/>
      </c>
      <c r="F100" s="65" t="str">
        <f aca="false">IFERROR(VLOOKUP(F$2+$A100,Measures!$B$4:$D$92,3,FALSE()),"")</f>
        <v/>
      </c>
      <c r="G100" s="65" t="str">
        <f aca="false">IFERROR(VLOOKUP(G$2+$A100,Measures!$B$4:$D$92,3,FALSE()),"")</f>
        <v/>
      </c>
      <c r="H100" s="65" t="str">
        <f aca="false">IFERROR(VLOOKUP(H$2+$A100,Measures!$B$4:$D$92,3,FALSE()),"")</f>
        <v/>
      </c>
      <c r="I100" s="65" t="str">
        <f aca="false">IFERROR(VLOOKUP(I$2+$A100,Measures!$B$4:$D$92,3,FALSE()),"")</f>
        <v/>
      </c>
      <c r="J100" s="65" t="str">
        <f aca="false">IFERROR(VLOOKUP(J$2+$A100,Measures!$B$4:$D$92,3,FALSE()),"")</f>
        <v/>
      </c>
      <c r="K100" s="65" t="str">
        <f aca="false">IFERROR(VLOOKUP(K$2+$A100,Measures!$B$4:$D$92,3,FALSE()),"")</f>
        <v/>
      </c>
    </row>
    <row r="101" customFormat="false" ht="11.25" hidden="false" customHeight="false" outlineLevel="0" collapsed="false">
      <c r="A101" s="59" t="n">
        <v>99</v>
      </c>
      <c r="B101" s="65" t="str">
        <f aca="false">IFERROR(VLOOKUP(B$2+$A101,Measures!$B$4:$D$92,3,FALSE()),"")</f>
        <v/>
      </c>
      <c r="C101" s="65" t="str">
        <f aca="false">IFERROR(VLOOKUP(C$2+$A101,Measures!$B$4:$D$92,3,FALSE()),"")</f>
        <v/>
      </c>
      <c r="D101" s="65" t="str">
        <f aca="false">IFERROR(VLOOKUP(D$2+$A101,Measures!$B$4:$D$92,3,FALSE()),"")</f>
        <v/>
      </c>
      <c r="E101" s="65" t="str">
        <f aca="false">IFERROR(VLOOKUP(E$2+$A101,Measures!$B$4:$D$92,3,FALSE()),"")</f>
        <v/>
      </c>
      <c r="F101" s="65" t="str">
        <f aca="false">IFERROR(VLOOKUP(F$2+$A101,Measures!$B$4:$D$92,3,FALSE()),"")</f>
        <v/>
      </c>
      <c r="G101" s="65" t="str">
        <f aca="false">IFERROR(VLOOKUP(G$2+$A101,Measures!$B$4:$D$92,3,FALSE()),"")</f>
        <v/>
      </c>
      <c r="H101" s="65" t="str">
        <f aca="false">IFERROR(VLOOKUP(H$2+$A101,Measures!$B$4:$D$92,3,FALSE()),"")</f>
        <v/>
      </c>
      <c r="I101" s="65" t="str">
        <f aca="false">IFERROR(VLOOKUP(I$2+$A101,Measures!$B$4:$D$92,3,FALSE()),"")</f>
        <v/>
      </c>
      <c r="J101" s="65" t="str">
        <f aca="false">IFERROR(VLOOKUP(J$2+$A101,Measures!$B$4:$D$92,3,FALSE()),"")</f>
        <v/>
      </c>
      <c r="K101" s="65" t="str">
        <f aca="false">IFERROR(VLOOKUP(K$2+$A101,Measures!$B$4:$D$92,3,FALSE()),"")</f>
        <v/>
      </c>
    </row>
    <row r="102" customFormat="false" ht="11.25" hidden="false" customHeight="false" outlineLevel="0" collapsed="false">
      <c r="A102" s="59" t="n">
        <v>100</v>
      </c>
      <c r="B102" s="65" t="str">
        <f aca="false">IFERROR(VLOOKUP(B$2+$A102,Measures!$B$4:$D$92,3,FALSE()),"")</f>
        <v/>
      </c>
      <c r="C102" s="65" t="str">
        <f aca="false">IFERROR(VLOOKUP(C$2+$A102,Measures!$B$4:$D$92,3,FALSE()),"")</f>
        <v/>
      </c>
      <c r="D102" s="65" t="str">
        <f aca="false">IFERROR(VLOOKUP(D$2+$A102,Measures!$B$4:$D$92,3,FALSE()),"")</f>
        <v/>
      </c>
      <c r="E102" s="65" t="str">
        <f aca="false">IFERROR(VLOOKUP(E$2+$A102,Measures!$B$4:$D$92,3,FALSE()),"")</f>
        <v/>
      </c>
      <c r="F102" s="65" t="str">
        <f aca="false">IFERROR(VLOOKUP(F$2+$A102,Measures!$B$4:$D$92,3,FALSE()),"")</f>
        <v/>
      </c>
      <c r="G102" s="65" t="str">
        <f aca="false">IFERROR(VLOOKUP(G$2+$A102,Measures!$B$4:$D$92,3,FALSE()),"")</f>
        <v/>
      </c>
      <c r="H102" s="65" t="str">
        <f aca="false">IFERROR(VLOOKUP(H$2+$A102,Measures!$B$4:$D$92,3,FALSE()),"")</f>
        <v/>
      </c>
      <c r="I102" s="65" t="str">
        <f aca="false">IFERROR(VLOOKUP(I$2+$A102,Measures!$B$4:$D$92,3,FALSE()),"")</f>
        <v/>
      </c>
      <c r="J102" s="65" t="str">
        <f aca="false">IFERROR(VLOOKUP(J$2+$A102,Measures!$B$4:$D$92,3,FALSE()),"")</f>
        <v/>
      </c>
      <c r="K102" s="65" t="str">
        <f aca="false">IFERROR(VLOOKUP(K$2+$A102,Measures!$B$4:$D$92,3,FALSE()),"")</f>
        <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 defaultRowHeight="11.25" customHeight="false" zeroHeight="false" outlineLevelRow="0" outlineLevelCol="0"/>
  <cols>
    <col collapsed="false" customWidth="false" hidden="false" outlineLevel="0" max="1" min="1" style="122" width="9"/>
    <col collapsed="false" customWidth="true" hidden="false" outlineLevel="0" max="12" min="2" style="122" width="12.75"/>
    <col collapsed="false" customWidth="false" hidden="false" outlineLevel="0" max="16384" min="13" style="122" width="9"/>
  </cols>
  <sheetData>
    <row r="1" customFormat="false" ht="11.25" hidden="false" customHeight="false" outlineLevel="0" collapsed="false">
      <c r="A1" s="122" t="s">
        <v>2596</v>
      </c>
    </row>
    <row r="2" customFormat="false" ht="11.25" hidden="false" customHeight="false" outlineLevel="0" collapsed="false">
      <c r="A2" s="129"/>
      <c r="B2" s="129" t="n">
        <v>0</v>
      </c>
      <c r="C2" s="129" t="n">
        <v>100</v>
      </c>
      <c r="D2" s="129" t="n">
        <v>200</v>
      </c>
      <c r="E2" s="129" t="n">
        <v>300</v>
      </c>
      <c r="F2" s="129" t="n">
        <v>400</v>
      </c>
      <c r="G2" s="129" t="n">
        <v>500</v>
      </c>
      <c r="H2" s="129" t="n">
        <v>600</v>
      </c>
      <c r="I2" s="129" t="n">
        <v>700</v>
      </c>
      <c r="J2" s="129" t="n">
        <v>800</v>
      </c>
      <c r="K2" s="129" t="n">
        <v>900</v>
      </c>
    </row>
    <row r="3" customFormat="false" ht="11.25" hidden="false" customHeight="false" outlineLevel="0" collapsed="false">
      <c r="A3" s="129" t="n">
        <v>1</v>
      </c>
      <c r="B3" s="139" t="str">
        <f aca="false">IFERROR(VLOOKUP("i"&amp;RIGHT(("00"&amp;(B$2+$A3)),3),Input!$B$3:$C$217,2,FALSE()),"")</f>
        <v>家族人数</v>
      </c>
      <c r="C3" s="139" t="str">
        <f aca="false">IFERROR(VLOOKUP("i"&amp;RIGHT(("00"&amp;(C$2+$A3)),3),Input!$B$3:$C$217,2,FALSE()),"")</f>
        <v>給湯器の種類</v>
      </c>
      <c r="D3" s="139" t="str">
        <f aca="false">IFERROR(VLOOKUP("i"&amp;RIGHT(("00"&amp;(D$2+$A3)),3),Input!$B$3:$C$217,2,FALSE()),"")</f>
        <v>暖房する範囲</v>
      </c>
      <c r="E3" s="139" t="str">
        <f aca="false">IFERROR(VLOOKUP("i"&amp;RIGHT(("00"&amp;(E$2+$A3)),3),Input!$B$3:$C$217,2,FALSE()),"")</f>
        <v/>
      </c>
      <c r="F3" s="139" t="str">
        <f aca="false">IFERROR(VLOOKUP("i"&amp;RIGHT(("00"&amp;(F$2+$A3)),3),Input!$B$3:$C$217,2,FALSE()),"")</f>
        <v>衣類乾燥機の利用頻度</v>
      </c>
      <c r="G3" s="139" t="str">
        <f aca="false">IFERROR(VLOOKUP("i"&amp;RIGHT(("00"&amp;(G$2+$A3)),3),Input!$B$3:$C$217,2,FALSE()),"")</f>
        <v>リビングの照明</v>
      </c>
      <c r="H3" s="139" t="str">
        <f aca="false">IFERROR(VLOOKUP("i"&amp;RIGHT(("00"&amp;(H$2+$A3)),3),Input!$B$3:$C$217,2,FALSE()),"")</f>
        <v>テレビの時間</v>
      </c>
      <c r="I3" s="139" t="str">
        <f aca="false">IFERROR(VLOOKUP("i"&amp;RIGHT(("00"&amp;(I$2+$A3)),3),Input!$B$3:$C$217,2,FALSE()),"")</f>
        <v>冷蔵庫の台数</v>
      </c>
      <c r="J3" s="139" t="str">
        <f aca="false">IFERROR(VLOOKUP("i"&amp;RIGHT(("00"&amp;(J$2+$A3)),3),Input!$B$3:$C$217,2,FALSE()),"")</f>
        <v>コンロの熱源</v>
      </c>
      <c r="K3" s="139" t="str">
        <f aca="false">IFERROR(VLOOKUP("i"&amp;RIGHT(("00"&amp;(K$2+$A3)),3),Input!$B$3:$C$217,2,FALSE()),"")</f>
        <v>車の保有台数</v>
      </c>
    </row>
    <row r="4" customFormat="false" ht="11.25" hidden="false" customHeight="false" outlineLevel="0" collapsed="false">
      <c r="A4" s="129" t="n">
        <v>2</v>
      </c>
      <c r="B4" s="139" t="str">
        <f aca="false">IFERROR(VLOOKUP("i"&amp;RIGHT(("00"&amp;(B$2+$A4)),3),Input!$B$3:$C$217,2,FALSE()),"")</f>
        <v>集合戸建て</v>
      </c>
      <c r="C4" s="139" t="str">
        <f aca="false">IFERROR(VLOOKUP("i"&amp;RIGHT(("00"&amp;(C$2+$A4)),3),Input!$B$3:$C$217,2,FALSE()),"")</f>
        <v>太陽熱温水器</v>
      </c>
      <c r="D4" s="139" t="str">
        <f aca="false">IFERROR(VLOOKUP("i"&amp;RIGHT(("00"&amp;(D$2+$A4)),3),Input!$B$3:$C$217,2,FALSE()),"")</f>
        <v>主に使う暖房器具</v>
      </c>
      <c r="E4" s="139" t="str">
        <f aca="false">IFERROR(VLOOKUP("i"&amp;RIGHT(("00"&amp;(E$2+$A4)),3),Input!$B$3:$C$217,2,FALSE()),"")</f>
        <v/>
      </c>
      <c r="F4" s="139" t="str">
        <f aca="false">IFERROR(VLOOKUP("i"&amp;RIGHT(("00"&amp;(F$2+$A4)),3),Input!$B$3:$C$217,2,FALSE()),"")</f>
        <v>乾燥機の種類</v>
      </c>
      <c r="G4" s="139" t="str">
        <f aca="false">IFERROR(VLOOKUP("i"&amp;RIGHT(("00"&amp;(G$2+$A4)),3),Input!$B$3:$C$217,2,FALSE()),"")</f>
        <v>不在部屋の照明</v>
      </c>
      <c r="H4" s="139" t="str">
        <f aca="false">IFERROR(VLOOKUP("i"&amp;RIGHT(("00"&amp;(H$2+$A4)),3),Input!$B$3:$C$217,2,FALSE()),"")</f>
        <v/>
      </c>
      <c r="I4" s="139" t="str">
        <f aca="false">IFERROR(VLOOKUP("i"&amp;RIGHT(("00"&amp;(I$2+$A4)),3),Input!$B$3:$C$217,2,FALSE()),"")</f>
        <v/>
      </c>
      <c r="J4" s="139" t="str">
        <f aca="false">IFERROR(VLOOKUP("i"&amp;RIGHT(("00"&amp;(J$2+$A4)),3),Input!$B$3:$C$217,2,FALSE()),"")</f>
        <v>調理の頻度</v>
      </c>
      <c r="K4" s="139" t="str">
        <f aca="false">IFERROR(VLOOKUP("i"&amp;RIGHT(("00"&amp;(K$2+$A4)),3),Input!$B$3:$C$217,2,FALSE()),"")</f>
        <v>スクータ・バイクの保有台数</v>
      </c>
    </row>
    <row r="5" customFormat="false" ht="11.25" hidden="false" customHeight="false" outlineLevel="0" collapsed="false">
      <c r="A5" s="129" t="n">
        <v>3</v>
      </c>
      <c r="B5" s="139" t="str">
        <f aca="false">IFERROR(VLOOKUP("i"&amp;RIGHT(("00"&amp;(B$2+$A5)),3),Input!$B$3:$C$217,2,FALSE()),"")</f>
        <v>家の広さ</v>
      </c>
      <c r="C5" s="139" t="str">
        <f aca="false">IFERROR(VLOOKUP("i"&amp;RIGHT(("00"&amp;(C$2+$A5)),3),Input!$B$3:$C$217,2,FALSE()),"")</f>
        <v>風呂沸かし日数（夏以外）</v>
      </c>
      <c r="D5" s="139" t="str">
        <f aca="false">IFERROR(VLOOKUP("i"&amp;RIGHT(("00"&amp;(D$2+$A5)),3),Input!$B$3:$C$217,2,FALSE()),"")</f>
        <v>補助的に使う暖房器具</v>
      </c>
      <c r="E5" s="139" t="str">
        <f aca="false">IFERROR(VLOOKUP("i"&amp;RIGHT(("00"&amp;(E$2+$A5)),3),Input!$B$3:$C$217,2,FALSE()),"")</f>
        <v/>
      </c>
      <c r="F5" s="139" t="str">
        <f aca="false">IFERROR(VLOOKUP("i"&amp;RIGHT(("00"&amp;(F$2+$A5)),3),Input!$B$3:$C$217,2,FALSE()),"")</f>
        <v>洗濯の頻度</v>
      </c>
      <c r="G5" s="139" t="str">
        <f aca="false">IFERROR(VLOOKUP("i"&amp;RIGHT(("00"&amp;(G$2+$A5)),3),Input!$B$3:$C$217,2,FALSE()),"")</f>
        <v/>
      </c>
      <c r="H5" s="139" t="str">
        <f aca="false">IFERROR(VLOOKUP("i"&amp;RIGHT(("00"&amp;(H$2+$A5)),3),Input!$B$3:$C$217,2,FALSE()),"")</f>
        <v/>
      </c>
      <c r="I5" s="139" t="str">
        <f aca="false">IFERROR(VLOOKUP("i"&amp;RIGHT(("00"&amp;(I$2+$A5)),3),Input!$B$3:$C$217,2,FALSE()),"")</f>
        <v/>
      </c>
      <c r="J5" s="139" t="str">
        <f aca="false">IFERROR(VLOOKUP("i"&amp;RIGHT(("00"&amp;(J$2+$A5)),3),Input!$B$3:$C$217,2,FALSE()),"")</f>
        <v/>
      </c>
      <c r="K5" s="139" t="str">
        <f aca="false">IFERROR(VLOOKUP("i"&amp;RIGHT(("00"&amp;(K$2+$A5)),3),Input!$B$3:$C$217,2,FALSE()),"")</f>
        <v/>
      </c>
    </row>
    <row r="6" customFormat="false" ht="11.25" hidden="false" customHeight="false" outlineLevel="0" collapsed="false">
      <c r="A6" s="129" t="n">
        <v>4</v>
      </c>
      <c r="B6" s="139" t="str">
        <f aca="false">IFERROR(VLOOKUP("i"&amp;RIGHT(("00"&amp;(B$2+$A6)),3),Input!$B$3:$C$217,2,FALSE()),"")</f>
        <v>家の所有</v>
      </c>
      <c r="C6" s="139" t="str">
        <f aca="false">IFERROR(VLOOKUP("i"&amp;RIGHT(("00"&amp;(C$2+$A6)),3),Input!$B$3:$C$217,2,FALSE()),"")</f>
        <v>風呂沸かし日数（夏）</v>
      </c>
      <c r="D6" s="139" t="str">
        <f aca="false">IFERROR(VLOOKUP("i"&amp;RIGHT(("00"&amp;(D$2+$A6)),3),Input!$B$3:$C$217,2,FALSE()),"")</f>
        <v>暖房時間</v>
      </c>
      <c r="E6" s="139" t="str">
        <f aca="false">IFERROR(VLOOKUP("i"&amp;RIGHT(("00"&amp;(E$2+$A6)),3),Input!$B$3:$C$217,2,FALSE()),"")</f>
        <v/>
      </c>
      <c r="F6" s="139" t="str">
        <f aca="false">IFERROR(VLOOKUP("i"&amp;RIGHT(("00"&amp;(F$2+$A6)),3),Input!$B$3:$C$217,2,FALSE()),"")</f>
        <v/>
      </c>
      <c r="G6" s="139" t="str">
        <f aca="false">IFERROR(VLOOKUP("i"&amp;RIGHT(("00"&amp;(G$2+$A6)),3),Input!$B$3:$C$217,2,FALSE()),"")</f>
        <v/>
      </c>
      <c r="H6" s="139" t="str">
        <f aca="false">IFERROR(VLOOKUP("i"&amp;RIGHT(("00"&amp;(H$2+$A6)),3),Input!$B$3:$C$217,2,FALSE()),"")</f>
        <v/>
      </c>
      <c r="I6" s="139" t="str">
        <f aca="false">IFERROR(VLOOKUP("i"&amp;RIGHT(("00"&amp;(I$2+$A6)),3),Input!$B$3:$C$217,2,FALSE()),"")</f>
        <v/>
      </c>
      <c r="J6" s="139" t="str">
        <f aca="false">IFERROR(VLOOKUP("i"&amp;RIGHT(("00"&amp;(J$2+$A6)),3),Input!$B$3:$C$217,2,FALSE()),"")</f>
        <v/>
      </c>
      <c r="K6" s="139" t="str">
        <f aca="false">IFERROR(VLOOKUP("i"&amp;RIGHT(("00"&amp;(K$2+$A6)),3),Input!$B$3:$C$217,2,FALSE()),"")</f>
        <v/>
      </c>
    </row>
    <row r="7" customFormat="false" ht="11.25" hidden="false" customHeight="false" outlineLevel="0" collapsed="false">
      <c r="A7" s="129" t="n">
        <v>5</v>
      </c>
      <c r="B7" s="139" t="str">
        <f aca="false">IFERROR(VLOOKUP("i"&amp;RIGHT(("00"&amp;(B$2+$A7)),3),Input!$B$3:$C$217,2,FALSE()),"")</f>
        <v>家の階数</v>
      </c>
      <c r="C7" s="139" t="str">
        <f aca="false">IFERROR(VLOOKUP("i"&amp;RIGHT(("00"&amp;(C$2+$A7)),3),Input!$B$3:$C$217,2,FALSE()),"")</f>
        <v>シャワー時間(夏以外）</v>
      </c>
      <c r="D7" s="139" t="str">
        <f aca="false">IFERROR(VLOOKUP("i"&amp;RIGHT(("00"&amp;(D$2+$A7)),3),Input!$B$3:$C$217,2,FALSE()),"")</f>
        <v>暖房設定温度</v>
      </c>
      <c r="E7" s="139" t="str">
        <f aca="false">IFERROR(VLOOKUP("i"&amp;RIGHT(("00"&amp;(E$2+$A7)),3),Input!$B$3:$C$217,2,FALSE()),"")</f>
        <v/>
      </c>
      <c r="F7" s="139" t="str">
        <f aca="false">IFERROR(VLOOKUP("i"&amp;RIGHT(("00"&amp;(F$2+$A7)),3),Input!$B$3:$C$217,2,FALSE()),"")</f>
        <v/>
      </c>
      <c r="G7" s="139" t="str">
        <f aca="false">IFERROR(VLOOKUP("i"&amp;RIGHT(("00"&amp;(G$2+$A7)),3),Input!$B$3:$C$217,2,FALSE()),"")</f>
        <v/>
      </c>
      <c r="H7" s="139" t="str">
        <f aca="false">IFERROR(VLOOKUP("i"&amp;RIGHT(("00"&amp;(H$2+$A7)),3),Input!$B$3:$C$217,2,FALSE()),"")</f>
        <v/>
      </c>
      <c r="I7" s="139" t="str">
        <f aca="false">IFERROR(VLOOKUP("i"&amp;RIGHT(("00"&amp;(I$2+$A7)),3),Input!$B$3:$C$217,2,FALSE()),"")</f>
        <v/>
      </c>
      <c r="J7" s="139" t="str">
        <f aca="false">IFERROR(VLOOKUP("i"&amp;RIGHT(("00"&amp;(J$2+$A7)),3),Input!$B$3:$C$217,2,FALSE()),"")</f>
        <v/>
      </c>
      <c r="K7" s="139" t="str">
        <f aca="false">IFERROR(VLOOKUP("i"&amp;RIGHT(("00"&amp;(K$2+$A7)),3),Input!$B$3:$C$217,2,FALSE()),"")</f>
        <v/>
      </c>
    </row>
    <row r="8" customFormat="false" ht="11.25" hidden="false" customHeight="false" outlineLevel="0" collapsed="false">
      <c r="A8" s="129" t="n">
        <v>6</v>
      </c>
      <c r="B8" s="139" t="str">
        <f aca="false">IFERROR(VLOOKUP("i"&amp;RIGHT(("00"&amp;(B$2+$A8)),3),Input!$B$3:$C$217,2,FALSE()),"")</f>
        <v>天井が屋根面（最上階）か</v>
      </c>
      <c r="C8" s="139" t="str">
        <f aca="false">IFERROR(VLOOKUP("i"&amp;RIGHT(("00"&amp;(C$2+$A8)),3),Input!$B$3:$C$217,2,FALSE()),"")</f>
        <v>シャワー時間(夏）</v>
      </c>
      <c r="D8" s="139" t="str">
        <f aca="false">IFERROR(VLOOKUP("i"&amp;RIGHT(("00"&amp;(D$2+$A8)),3),Input!$B$3:$C$217,2,FALSE()),"")</f>
        <v>暖房する期間</v>
      </c>
      <c r="E8" s="139" t="str">
        <f aca="false">IFERROR(VLOOKUP("i"&amp;RIGHT(("00"&amp;(E$2+$A8)),3),Input!$B$3:$C$217,2,FALSE()),"")</f>
        <v/>
      </c>
      <c r="F8" s="139" t="str">
        <f aca="false">IFERROR(VLOOKUP("i"&amp;RIGHT(("00"&amp;(F$2+$A8)),3),Input!$B$3:$C$217,2,FALSE()),"")</f>
        <v/>
      </c>
      <c r="G8" s="139" t="str">
        <f aca="false">IFERROR(VLOOKUP("i"&amp;RIGHT(("00"&amp;(G$2+$A8)),3),Input!$B$3:$C$217,2,FALSE()),"")</f>
        <v/>
      </c>
      <c r="H8" s="139" t="str">
        <f aca="false">IFERROR(VLOOKUP("i"&amp;RIGHT(("00"&amp;(H$2+$A8)),3),Input!$B$3:$C$217,2,FALSE()),"")</f>
        <v/>
      </c>
      <c r="I8" s="139" t="str">
        <f aca="false">IFERROR(VLOOKUP("i"&amp;RIGHT(("00"&amp;(I$2+$A8)),3),Input!$B$3:$C$217,2,FALSE()),"")</f>
        <v/>
      </c>
      <c r="J8" s="139" t="str">
        <f aca="false">IFERROR(VLOOKUP("i"&amp;RIGHT(("00"&amp;(J$2+$A8)),3),Input!$B$3:$C$217,2,FALSE()),"")</f>
        <v/>
      </c>
      <c r="K8" s="139" t="str">
        <f aca="false">IFERROR(VLOOKUP("i"&amp;RIGHT(("00"&amp;(K$2+$A8)),3),Input!$B$3:$C$217,2,FALSE()),"")</f>
        <v/>
      </c>
    </row>
    <row r="9" customFormat="false" ht="11.25" hidden="false" customHeight="false" outlineLevel="0" collapsed="false">
      <c r="A9" s="129" t="n">
        <v>7</v>
      </c>
      <c r="B9" s="139" t="str">
        <f aca="false">IFERROR(VLOOKUP("i"&amp;RIGHT(("00"&amp;(B$2+$A9)),3),Input!$B$3:$C$217,2,FALSE()),"")</f>
        <v>屋根の日当たり</v>
      </c>
      <c r="C9" s="139" t="str">
        <f aca="false">IFERROR(VLOOKUP("i"&amp;RIGHT(("00"&amp;(C$2+$A9)),3),Input!$B$3:$C$217,2,FALSE()),"")</f>
        <v>お湯はりの高さ</v>
      </c>
      <c r="D9" s="139" t="str">
        <f aca="false">IFERROR(VLOOKUP("i"&amp;RIGHT(("00"&amp;(D$2+$A9)),3),Input!$B$3:$C$217,2,FALSE()),"")</f>
        <v/>
      </c>
      <c r="E9" s="139" t="str">
        <f aca="false">IFERROR(VLOOKUP("i"&amp;RIGHT(("00"&amp;(E$2+$A9)),3),Input!$B$3:$C$217,2,FALSE()),"")</f>
        <v/>
      </c>
      <c r="F9" s="139" t="str">
        <f aca="false">IFERROR(VLOOKUP("i"&amp;RIGHT(("00"&amp;(F$2+$A9)),3),Input!$B$3:$C$217,2,FALSE()),"")</f>
        <v/>
      </c>
      <c r="G9" s="139" t="str">
        <f aca="false">IFERROR(VLOOKUP("i"&amp;RIGHT(("00"&amp;(G$2+$A9)),3),Input!$B$3:$C$217,2,FALSE()),"")</f>
        <v/>
      </c>
      <c r="H9" s="139" t="str">
        <f aca="false">IFERROR(VLOOKUP("i"&amp;RIGHT(("00"&amp;(H$2+$A9)),3),Input!$B$3:$C$217,2,FALSE()),"")</f>
        <v/>
      </c>
      <c r="I9" s="139" t="str">
        <f aca="false">IFERROR(VLOOKUP("i"&amp;RIGHT(("00"&amp;(I$2+$A9)),3),Input!$B$3:$C$217,2,FALSE()),"")</f>
        <v/>
      </c>
      <c r="J9" s="139" t="str">
        <f aca="false">IFERROR(VLOOKUP("i"&amp;RIGHT(("00"&amp;(J$2+$A9)),3),Input!$B$3:$C$217,2,FALSE()),"")</f>
        <v/>
      </c>
      <c r="K9" s="139" t="str">
        <f aca="false">IFERROR(VLOOKUP("i"&amp;RIGHT(("00"&amp;(K$2+$A9)),3),Input!$B$3:$C$217,2,FALSE()),"")</f>
        <v/>
      </c>
    </row>
    <row r="10" customFormat="false" ht="11.25" hidden="false" customHeight="false" outlineLevel="0" collapsed="false">
      <c r="A10" s="129" t="n">
        <v>8</v>
      </c>
      <c r="B10" s="139" t="str">
        <f aca="false">IFERROR(VLOOKUP("i"&amp;RIGHT(("00"&amp;(B$2+$A10)),3),Input!$B$3:$C$217,2,FALSE()),"")</f>
        <v>居室数</v>
      </c>
      <c r="C10" s="139" t="str">
        <f aca="false">IFERROR(VLOOKUP("i"&amp;RIGHT(("00"&amp;(C$2+$A10)),3),Input!$B$3:$C$217,2,FALSE()),"")</f>
        <v>浴槽の保温時間</v>
      </c>
      <c r="D10" s="139" t="str">
        <f aca="false">IFERROR(VLOOKUP("i"&amp;RIGHT(("00"&amp;(D$2+$A10)),3),Input!$B$3:$C$217,2,FALSE()),"")</f>
        <v/>
      </c>
      <c r="E10" s="139" t="str">
        <f aca="false">IFERROR(VLOOKUP("i"&amp;RIGHT(("00"&amp;(E$2+$A10)),3),Input!$B$3:$C$217,2,FALSE()),"")</f>
        <v/>
      </c>
      <c r="F10" s="139" t="str">
        <f aca="false">IFERROR(VLOOKUP("i"&amp;RIGHT(("00"&amp;(F$2+$A10)),3),Input!$B$3:$C$217,2,FALSE()),"")</f>
        <v/>
      </c>
      <c r="G10" s="139" t="str">
        <f aca="false">IFERROR(VLOOKUP("i"&amp;RIGHT(("00"&amp;(G$2+$A10)),3),Input!$B$3:$C$217,2,FALSE()),"")</f>
        <v/>
      </c>
      <c r="H10" s="139" t="str">
        <f aca="false">IFERROR(VLOOKUP("i"&amp;RIGHT(("00"&amp;(H$2+$A10)),3),Input!$B$3:$C$217,2,FALSE()),"")</f>
        <v/>
      </c>
      <c r="I10" s="139" t="str">
        <f aca="false">IFERROR(VLOOKUP("i"&amp;RIGHT(("00"&amp;(I$2+$A10)),3),Input!$B$3:$C$217,2,FALSE()),"")</f>
        <v/>
      </c>
      <c r="J10" s="139" t="str">
        <f aca="false">IFERROR(VLOOKUP("i"&amp;RIGHT(("00"&amp;(J$2+$A10)),3),Input!$B$3:$C$217,2,FALSE()),"")</f>
        <v/>
      </c>
      <c r="K10" s="139" t="str">
        <f aca="false">IFERROR(VLOOKUP("i"&amp;RIGHT(("00"&amp;(K$2+$A10)),3),Input!$B$3:$C$217,2,FALSE()),"")</f>
        <v/>
      </c>
    </row>
    <row r="11" customFormat="false" ht="11.25" hidden="false" customHeight="false" outlineLevel="0" collapsed="false">
      <c r="A11" s="129" t="n">
        <v>9</v>
      </c>
      <c r="B11" s="139" t="str">
        <f aca="false">IFERROR(VLOOKUP("i"&amp;RIGHT(("00"&amp;(B$2+$A11)),3),Input!$B$3:$C$217,2,FALSE()),"")</f>
        <v>築年数</v>
      </c>
      <c r="C11" s="139" t="str">
        <f aca="false">IFERROR(VLOOKUP("i"&amp;RIGHT(("00"&amp;(C$2+$A11)),3),Input!$B$3:$C$217,2,FALSE()),"")</f>
        <v>浴槽のお湯で体を洗う</v>
      </c>
      <c r="D11" s="139" t="str">
        <f aca="false">IFERROR(VLOOKUP("i"&amp;RIGHT(("00"&amp;(D$2+$A11)),3),Input!$B$3:$C$217,2,FALSE()),"")</f>
        <v/>
      </c>
      <c r="E11" s="139" t="str">
        <f aca="false">IFERROR(VLOOKUP("i"&amp;RIGHT(("00"&amp;(E$2+$A11)),3),Input!$B$3:$C$217,2,FALSE()),"")</f>
        <v/>
      </c>
      <c r="F11" s="139" t="str">
        <f aca="false">IFERROR(VLOOKUP("i"&amp;RIGHT(("00"&amp;(F$2+$A11)),3),Input!$B$3:$C$217,2,FALSE()),"")</f>
        <v/>
      </c>
      <c r="G11" s="139" t="str">
        <f aca="false">IFERROR(VLOOKUP("i"&amp;RIGHT(("00"&amp;(G$2+$A11)),3),Input!$B$3:$C$217,2,FALSE()),"")</f>
        <v/>
      </c>
      <c r="H11" s="139" t="str">
        <f aca="false">IFERROR(VLOOKUP("i"&amp;RIGHT(("00"&amp;(H$2+$A11)),3),Input!$B$3:$C$217,2,FALSE()),"")</f>
        <v/>
      </c>
      <c r="I11" s="139" t="str">
        <f aca="false">IFERROR(VLOOKUP("i"&amp;RIGHT(("00"&amp;(I$2+$A11)),3),Input!$B$3:$C$217,2,FALSE()),"")</f>
        <v/>
      </c>
      <c r="J11" s="139" t="str">
        <f aca="false">IFERROR(VLOOKUP("i"&amp;RIGHT(("00"&amp;(J$2+$A11)),3),Input!$B$3:$C$217,2,FALSE()),"")</f>
        <v/>
      </c>
      <c r="K11" s="139" t="str">
        <f aca="false">IFERROR(VLOOKUP("i"&amp;RIGHT(("00"&amp;(K$2+$A11)),3),Input!$B$3:$C$217,2,FALSE()),"")</f>
        <v/>
      </c>
    </row>
    <row r="12" customFormat="false" ht="11.25" hidden="false" customHeight="false" outlineLevel="0" collapsed="false">
      <c r="A12" s="129" t="n">
        <v>10</v>
      </c>
      <c r="B12" s="139" t="str">
        <f aca="false">IFERROR(VLOOKUP("i"&amp;RIGHT(("00"&amp;(B$2+$A12)),3),Input!$B$3:$C$217,2,FALSE()),"")</f>
        <v>対策として重視する視点</v>
      </c>
      <c r="C12" s="139" t="str">
        <f aca="false">IFERROR(VLOOKUP("i"&amp;RIGHT(("00"&amp;(C$2+$A12)),3),Input!$B$3:$C$217,2,FALSE()),"")</f>
        <v>風呂のお湯を温め直す方法</v>
      </c>
      <c r="D12" s="139" t="str">
        <f aca="false">IFERROR(VLOOKUP("i"&amp;RIGHT(("00"&amp;(D$2+$A12)),3),Input!$B$3:$C$217,2,FALSE()),"")</f>
        <v/>
      </c>
      <c r="E12" s="139" t="str">
        <f aca="false">IFERROR(VLOOKUP("i"&amp;RIGHT(("00"&amp;(E$2+$A12)),3),Input!$B$3:$C$217,2,FALSE()),"")</f>
        <v/>
      </c>
      <c r="F12" s="139" t="str">
        <f aca="false">IFERROR(VLOOKUP("i"&amp;RIGHT(("00"&amp;(F$2+$A12)),3),Input!$B$3:$C$217,2,FALSE()),"")</f>
        <v/>
      </c>
      <c r="G12" s="139" t="str">
        <f aca="false">IFERROR(VLOOKUP("i"&amp;RIGHT(("00"&amp;(G$2+$A12)),3),Input!$B$3:$C$217,2,FALSE()),"")</f>
        <v/>
      </c>
      <c r="H12" s="139" t="str">
        <f aca="false">IFERROR(VLOOKUP("i"&amp;RIGHT(("00"&amp;(H$2+$A12)),3),Input!$B$3:$C$217,2,FALSE()),"")</f>
        <v/>
      </c>
      <c r="I12" s="139" t="str">
        <f aca="false">IFERROR(VLOOKUP("i"&amp;RIGHT(("00"&amp;(I$2+$A12)),3),Input!$B$3:$C$217,2,FALSE()),"")</f>
        <v/>
      </c>
      <c r="J12" s="139" t="str">
        <f aca="false">IFERROR(VLOOKUP("i"&amp;RIGHT(("00"&amp;(J$2+$A12)),3),Input!$B$3:$C$217,2,FALSE()),"")</f>
        <v/>
      </c>
      <c r="K12" s="139" t="str">
        <f aca="false">IFERROR(VLOOKUP("i"&amp;RIGHT(("00"&amp;(K$2+$A12)),3),Input!$B$3:$C$217,2,FALSE()),"")</f>
        <v/>
      </c>
    </row>
    <row r="13" customFormat="false" ht="11.25" hidden="false" customHeight="false" outlineLevel="0" collapsed="false">
      <c r="A13" s="129" t="n">
        <v>11</v>
      </c>
      <c r="B13" s="139" t="str">
        <f aca="false">IFERROR(VLOOKUP("i"&amp;RIGHT(("00"&amp;(B$2+$A13)),3),Input!$B$3:$C$217,2,FALSE()),"")</f>
        <v/>
      </c>
      <c r="C13" s="139" t="str">
        <f aca="false">IFERROR(VLOOKUP("i"&amp;RIGHT(("00"&amp;(C$2+$A13)),3),Input!$B$3:$C$217,2,FALSE()),"")</f>
        <v>風呂のお湯が少なくなったとき</v>
      </c>
      <c r="D13" s="139" t="str">
        <f aca="false">IFERROR(VLOOKUP("i"&amp;RIGHT(("00"&amp;(D$2+$A13)),3),Input!$B$3:$C$217,2,FALSE()),"")</f>
        <v>部屋の名前</v>
      </c>
      <c r="E13" s="139" t="str">
        <f aca="false">IFERROR(VLOOKUP("i"&amp;RIGHT(("00"&amp;(E$2+$A13)),3),Input!$B$3:$C$217,2,FALSE()),"")</f>
        <v/>
      </c>
      <c r="F13" s="139" t="str">
        <f aca="false">IFERROR(VLOOKUP("i"&amp;RIGHT(("00"&amp;(F$2+$A13)),3),Input!$B$3:$C$217,2,FALSE()),"")</f>
        <v>掃除機の強弱</v>
      </c>
      <c r="G13" s="139" t="str">
        <f aca="false">IFERROR(VLOOKUP("i"&amp;RIGHT(("00"&amp;(G$2+$A13)),3),Input!$B$3:$C$217,2,FALSE()),"")</f>
        <v>照明の場所</v>
      </c>
      <c r="H13" s="139" t="str">
        <f aca="false">IFERROR(VLOOKUP("i"&amp;RIGHT(("00"&amp;(H$2+$A13)),3),Input!$B$3:$C$217,2,FALSE()),"")</f>
        <v/>
      </c>
      <c r="I13" s="139" t="str">
        <f aca="false">IFERROR(VLOOKUP("i"&amp;RIGHT(("00"&amp;(I$2+$A13)),3),Input!$B$3:$C$217,2,FALSE()),"")</f>
        <v>冷蔵庫の使用年数</v>
      </c>
      <c r="J13" s="139" t="str">
        <f aca="false">IFERROR(VLOOKUP("i"&amp;RIGHT(("00"&amp;(J$2+$A13)),3),Input!$B$3:$C$217,2,FALSE()),"")</f>
        <v>ジャーの保温</v>
      </c>
      <c r="K13" s="139" t="str">
        <f aca="false">IFERROR(VLOOKUP("i"&amp;RIGHT(("00"&amp;(K$2+$A13)),3),Input!$B$3:$C$217,2,FALSE()),"")</f>
        <v>車の種類</v>
      </c>
    </row>
    <row r="14" customFormat="false" ht="11.25" hidden="false" customHeight="false" outlineLevel="0" collapsed="false">
      <c r="A14" s="129" t="n">
        <v>12</v>
      </c>
      <c r="B14" s="139" t="str">
        <f aca="false">IFERROR(VLOOKUP("i"&amp;RIGHT(("00"&amp;(B$2+$A14)),3),Input!$B$3:$C$217,2,FALSE()),"")</f>
        <v/>
      </c>
      <c r="C14" s="139" t="str">
        <f aca="false">IFERROR(VLOOKUP("i"&amp;RIGHT(("00"&amp;(C$2+$A14)),3),Input!$B$3:$C$217,2,FALSE()),"")</f>
        <v>シャワーのお湯が出るまで</v>
      </c>
      <c r="D14" s="139" t="str">
        <f aca="false">IFERROR(VLOOKUP("i"&amp;RIGHT(("00"&amp;(D$2+$A14)),3),Input!$B$3:$C$217,2,FALSE()),"")</f>
        <v>部屋の広さ</v>
      </c>
      <c r="E14" s="139" t="str">
        <f aca="false">IFERROR(VLOOKUP("i"&amp;RIGHT(("00"&amp;(E$2+$A14)),3),Input!$B$3:$C$217,2,FALSE()),"")</f>
        <v/>
      </c>
      <c r="F14" s="139" t="str">
        <f aca="false">IFERROR(VLOOKUP("i"&amp;RIGHT(("00"&amp;(F$2+$A14)),3),Input!$B$3:$C$217,2,FALSE()),"")</f>
        <v>掃除機利用</v>
      </c>
      <c r="G14" s="139" t="str">
        <f aca="false">IFERROR(VLOOKUP("i"&amp;RIGHT(("00"&amp;(G$2+$A14)),3),Input!$B$3:$C$217,2,FALSE()),"")</f>
        <v>照明の種類</v>
      </c>
      <c r="H14" s="139" t="str">
        <f aca="false">IFERROR(VLOOKUP("i"&amp;RIGHT(("00"&amp;(H$2+$A14)),3),Input!$B$3:$C$217,2,FALSE()),"")</f>
        <v/>
      </c>
      <c r="I14" s="139" t="str">
        <f aca="false">IFERROR(VLOOKUP("i"&amp;RIGHT(("00"&amp;(I$2+$A14)),3),Input!$B$3:$C$217,2,FALSE()),"")</f>
        <v>冷蔵庫の種類</v>
      </c>
      <c r="J14" s="139" t="str">
        <f aca="false">IFERROR(VLOOKUP("i"&amp;RIGHT(("00"&amp;(J$2+$A14)),3),Input!$B$3:$C$217,2,FALSE()),"")</f>
        <v/>
      </c>
      <c r="K14" s="139" t="str">
        <f aca="false">IFERROR(VLOOKUP("i"&amp;RIGHT(("00"&amp;(K$2+$A14)),3),Input!$B$3:$C$217,2,FALSE()),"")</f>
        <v>車の燃費</v>
      </c>
    </row>
    <row r="15" customFormat="false" ht="11.25" hidden="false" customHeight="false" outlineLevel="0" collapsed="false">
      <c r="A15" s="129" t="n">
        <v>13</v>
      </c>
      <c r="B15" s="139" t="str">
        <f aca="false">IFERROR(VLOOKUP("i"&amp;RIGHT(("00"&amp;(B$2+$A15)),3),Input!$B$3:$C$217,2,FALSE()),"")</f>
        <v/>
      </c>
      <c r="C15" s="139" t="str">
        <f aca="false">IFERROR(VLOOKUP("i"&amp;RIGHT(("00"&amp;(C$2+$A15)),3),Input!$B$3:$C$217,2,FALSE()),"")</f>
        <v>食器洗いでのお湯の利用</v>
      </c>
      <c r="D15" s="139" t="str">
        <f aca="false">IFERROR(VLOOKUP("i"&amp;RIGHT(("00"&amp;(D$2+$A15)),3),Input!$B$3:$C$217,2,FALSE()),"")</f>
        <v>窓ガラスの大きさ</v>
      </c>
      <c r="E15" s="139" t="str">
        <f aca="false">IFERROR(VLOOKUP("i"&amp;RIGHT(("00"&amp;(E$2+$A15)),3),Input!$B$3:$C$217,2,FALSE()),"")</f>
        <v/>
      </c>
      <c r="F15" s="139" t="str">
        <f aca="false">IFERROR(VLOOKUP("i"&amp;RIGHT(("00"&amp;(F$2+$A15)),3),Input!$B$3:$C$217,2,FALSE()),"")</f>
        <v/>
      </c>
      <c r="G15" s="139" t="str">
        <f aca="false">IFERROR(VLOOKUP("i"&amp;RIGHT(("00"&amp;(G$2+$A15)),3),Input!$B$3:$C$217,2,FALSE()),"")</f>
        <v>1球（本）の消費電力</v>
      </c>
      <c r="H15" s="139" t="str">
        <f aca="false">IFERROR(VLOOKUP("i"&amp;RIGHT(("00"&amp;(H$2+$A15)),3),Input!$B$3:$C$217,2,FALSE()),"")</f>
        <v/>
      </c>
      <c r="I15" s="139" t="str">
        <f aca="false">IFERROR(VLOOKUP("i"&amp;RIGHT(("00"&amp;(I$2+$A15)),3),Input!$B$3:$C$217,2,FALSE()),"")</f>
        <v>定格内容量</v>
      </c>
      <c r="J15" s="139" t="str">
        <f aca="false">IFERROR(VLOOKUP("i"&amp;RIGHT(("00"&amp;(J$2+$A15)),3),Input!$B$3:$C$217,2,FALSE()),"")</f>
        <v/>
      </c>
      <c r="K15" s="139" t="str">
        <f aca="false">IFERROR(VLOOKUP("i"&amp;RIGHT(("00"&amp;(K$2+$A15)),3),Input!$B$3:$C$217,2,FALSE()),"")</f>
        <v>車の主な利用者</v>
      </c>
    </row>
    <row r="16" customFormat="false" ht="11.25" hidden="false" customHeight="false" outlineLevel="0" collapsed="false">
      <c r="A16" s="129" t="n">
        <v>14</v>
      </c>
      <c r="B16" s="139" t="str">
        <f aca="false">IFERROR(VLOOKUP("i"&amp;RIGHT(("00"&amp;(B$2+$A16)),3),Input!$B$3:$C$217,2,FALSE()),"")</f>
        <v/>
      </c>
      <c r="C16" s="139" t="str">
        <f aca="false">IFERROR(VLOOKUP("i"&amp;RIGHT(("00"&amp;(C$2+$A16)),3),Input!$B$3:$C$217,2,FALSE()),"")</f>
        <v>洗面でのお湯使用期間</v>
      </c>
      <c r="D16" s="139" t="str">
        <f aca="false">IFERROR(VLOOKUP("i"&amp;RIGHT(("00"&amp;(D$2+$A16)),3),Input!$B$3:$C$217,2,FALSE()),"")</f>
        <v>窓ガラスの種類</v>
      </c>
      <c r="E16" s="139" t="str">
        <f aca="false">IFERROR(VLOOKUP("i"&amp;RIGHT(("00"&amp;(E$2+$A16)),3),Input!$B$3:$C$217,2,FALSE()),"")</f>
        <v/>
      </c>
      <c r="F16" s="139" t="str">
        <f aca="false">IFERROR(VLOOKUP("i"&amp;RIGHT(("00"&amp;(F$2+$A16)),3),Input!$B$3:$C$217,2,FALSE()),"")</f>
        <v/>
      </c>
      <c r="G16" s="139" t="str">
        <f aca="false">IFERROR(VLOOKUP("i"&amp;RIGHT(("00"&amp;(G$2+$A16)),3),Input!$B$3:$C$217,2,FALSE()),"")</f>
        <v>球数・本数</v>
      </c>
      <c r="H16" s="139" t="str">
        <f aca="false">IFERROR(VLOOKUP("i"&amp;RIGHT(("00"&amp;(H$2+$A16)),3),Input!$B$3:$C$217,2,FALSE()),"")</f>
        <v/>
      </c>
      <c r="I16" s="139" t="str">
        <f aca="false">IFERROR(VLOOKUP("i"&amp;RIGHT(("00"&amp;(I$2+$A16)),3),Input!$B$3:$C$217,2,FALSE()),"")</f>
        <v>冷蔵庫温度設定</v>
      </c>
      <c r="J16" s="139" t="str">
        <f aca="false">IFERROR(VLOOKUP("i"&amp;RIGHT(("00"&amp;(J$2+$A16)),3),Input!$B$3:$C$217,2,FALSE()),"")</f>
        <v/>
      </c>
      <c r="K16" s="139" t="str">
        <f aca="false">IFERROR(VLOOKUP("i"&amp;RIGHT(("00"&amp;(K$2+$A16)),3),Input!$B$3:$C$217,2,FALSE()),"")</f>
        <v>エコタイヤの使用</v>
      </c>
    </row>
    <row r="17" customFormat="false" ht="11.25" hidden="false" customHeight="false" outlineLevel="0" collapsed="false">
      <c r="A17" s="129" t="n">
        <v>15</v>
      </c>
      <c r="B17" s="139" t="str">
        <f aca="false">IFERROR(VLOOKUP("i"&amp;RIGHT(("00"&amp;(B$2+$A17)),3),Input!$B$3:$C$217,2,FALSE()),"")</f>
        <v/>
      </c>
      <c r="C17" s="139" t="str">
        <f aca="false">IFERROR(VLOOKUP("i"&amp;RIGHT(("00"&amp;(C$2+$A17)),3),Input!$B$3:$C$217,2,FALSE()),"")</f>
        <v>食器洗いでのお湯使用期間</v>
      </c>
      <c r="D17" s="139" t="str">
        <f aca="false">IFERROR(VLOOKUP("i"&amp;RIGHT(("00"&amp;(D$2+$A17)),3),Input!$B$3:$C$217,2,FALSE()),"")</f>
        <v>エアコンの使用年数</v>
      </c>
      <c r="E17" s="139" t="str">
        <f aca="false">IFERROR(VLOOKUP("i"&amp;RIGHT(("00"&amp;(E$2+$A17)),3),Input!$B$3:$C$217,2,FALSE()),"")</f>
        <v/>
      </c>
      <c r="F17" s="139" t="str">
        <f aca="false">IFERROR(VLOOKUP("i"&amp;RIGHT(("00"&amp;(F$2+$A17)),3),Input!$B$3:$C$217,2,FALSE()),"")</f>
        <v/>
      </c>
      <c r="G17" s="139" t="str">
        <f aca="false">IFERROR(VLOOKUP("i"&amp;RIGHT(("00"&amp;(G$2+$A17)),3),Input!$B$3:$C$217,2,FALSE()),"")</f>
        <v>照明の使用時間</v>
      </c>
      <c r="H17" s="139" t="str">
        <f aca="false">IFERROR(VLOOKUP("i"&amp;RIGHT(("00"&amp;(H$2+$A17)),3),Input!$B$3:$C$217,2,FALSE()),"")</f>
        <v/>
      </c>
      <c r="I17" s="139" t="str">
        <f aca="false">IFERROR(VLOOKUP("i"&amp;RIGHT(("00"&amp;(I$2+$A17)),3),Input!$B$3:$C$217,2,FALSE()),"")</f>
        <v>中身のつめすぎ</v>
      </c>
      <c r="J17" s="139" t="str">
        <f aca="false">IFERROR(VLOOKUP("i"&amp;RIGHT(("00"&amp;(J$2+$A17)),3),Input!$B$3:$C$217,2,FALSE()),"")</f>
        <v/>
      </c>
      <c r="K17" s="139" t="str">
        <f aca="false">IFERROR(VLOOKUP("i"&amp;RIGHT(("00"&amp;(K$2+$A17)),3),Input!$B$3:$C$217,2,FALSE()),"")</f>
        <v/>
      </c>
    </row>
    <row r="18" customFormat="false" ht="11.25" hidden="false" customHeight="false" outlineLevel="0" collapsed="false">
      <c r="A18" s="129" t="n">
        <v>16</v>
      </c>
      <c r="B18" s="139" t="str">
        <f aca="false">IFERROR(VLOOKUP("i"&amp;RIGHT(("00"&amp;(B$2+$A18)),3),Input!$B$3:$C$217,2,FALSE()),"")</f>
        <v/>
      </c>
      <c r="C18" s="139" t="str">
        <f aca="false">IFERROR(VLOOKUP("i"&amp;RIGHT(("00"&amp;(C$2+$A18)),3),Input!$B$3:$C$217,2,FALSE()),"")</f>
        <v>節水シャワーヘッド</v>
      </c>
      <c r="D18" s="139" t="str">
        <f aca="false">IFERROR(VLOOKUP("i"&amp;RIGHT(("00"&amp;(D$2+$A18)),3),Input!$B$3:$C$217,2,FALSE()),"")</f>
        <v>エアコン性能</v>
      </c>
      <c r="E18" s="139" t="str">
        <f aca="false">IFERROR(VLOOKUP("i"&amp;RIGHT(("00"&amp;(E$2+$A18)),3),Input!$B$3:$C$217,2,FALSE()),"")</f>
        <v/>
      </c>
      <c r="F18" s="139" t="str">
        <f aca="false">IFERROR(VLOOKUP("i"&amp;RIGHT(("00"&amp;(F$2+$A18)),3),Input!$B$3:$C$217,2,FALSE()),"")</f>
        <v/>
      </c>
      <c r="G18" s="139" t="str">
        <f aca="false">IFERROR(VLOOKUP("i"&amp;RIGHT(("00"&amp;(G$2+$A18)),3),Input!$B$3:$C$217,2,FALSE()),"")</f>
        <v/>
      </c>
      <c r="H18" s="139" t="str">
        <f aca="false">IFERROR(VLOOKUP("i"&amp;RIGHT(("00"&amp;(H$2+$A18)),3),Input!$B$3:$C$217,2,FALSE()),"")</f>
        <v/>
      </c>
      <c r="I18" s="139" t="str">
        <f aca="false">IFERROR(VLOOKUP("i"&amp;RIGHT(("00"&amp;(I$2+$A18)),3),Input!$B$3:$C$217,2,FALSE()),"")</f>
        <v>壁からすきまを開けた設置</v>
      </c>
      <c r="J18" s="139" t="str">
        <f aca="false">IFERROR(VLOOKUP("i"&amp;RIGHT(("00"&amp;(J$2+$A18)),3),Input!$B$3:$C$217,2,FALSE()),"")</f>
        <v/>
      </c>
      <c r="K18" s="139" t="str">
        <f aca="false">IFERROR(VLOOKUP("i"&amp;RIGHT(("00"&amp;(K$2+$A18)),3),Input!$B$3:$C$217,2,FALSE()),"")</f>
        <v/>
      </c>
    </row>
    <row r="19" customFormat="false" ht="11.25" hidden="false" customHeight="false" outlineLevel="0" collapsed="false">
      <c r="A19" s="129" t="n">
        <v>17</v>
      </c>
      <c r="B19" s="139" t="str">
        <f aca="false">IFERROR(VLOOKUP("i"&amp;RIGHT(("00"&amp;(B$2+$A19)),3),Input!$B$3:$C$217,2,FALSE()),"")</f>
        <v/>
      </c>
      <c r="C19" s="139" t="str">
        <f aca="false">IFERROR(VLOOKUP("i"&amp;RIGHT(("00"&amp;(C$2+$A19)),3),Input!$B$3:$C$217,2,FALSE()),"")</f>
        <v>浴槽・ユニットバス</v>
      </c>
      <c r="D19" s="139" t="str">
        <f aca="false">IFERROR(VLOOKUP("i"&amp;RIGHT(("00"&amp;(D$2+$A19)),3),Input!$B$3:$C$217,2,FALSE()),"")</f>
        <v>エアコンのフィルター掃除</v>
      </c>
      <c r="E19" s="139" t="str">
        <f aca="false">IFERROR(VLOOKUP("i"&amp;RIGHT(("00"&amp;(E$2+$A19)),3),Input!$B$3:$C$217,2,FALSE()),"")</f>
        <v/>
      </c>
      <c r="F19" s="139" t="str">
        <f aca="false">IFERROR(VLOOKUP("i"&amp;RIGHT(("00"&amp;(F$2+$A19)),3),Input!$B$3:$C$217,2,FALSE()),"")</f>
        <v/>
      </c>
      <c r="G19" s="139" t="str">
        <f aca="false">IFERROR(VLOOKUP("i"&amp;RIGHT(("00"&amp;(G$2+$A19)),3),Input!$B$3:$C$217,2,FALSE()),"")</f>
        <v/>
      </c>
      <c r="H19" s="139" t="str">
        <f aca="false">IFERROR(VLOOKUP("i"&amp;RIGHT(("00"&amp;(H$2+$A19)),3),Input!$B$3:$C$217,2,FALSE()),"")</f>
        <v/>
      </c>
      <c r="I19" s="139" t="str">
        <f aca="false">IFERROR(VLOOKUP("i"&amp;RIGHT(("00"&amp;(I$2+$A19)),3),Input!$B$3:$C$217,2,FALSE()),"")</f>
        <v/>
      </c>
      <c r="J19" s="139" t="str">
        <f aca="false">IFERROR(VLOOKUP("i"&amp;RIGHT(("00"&amp;(J$2+$A19)),3),Input!$B$3:$C$217,2,FALSE()),"")</f>
        <v/>
      </c>
      <c r="K19" s="139" t="str">
        <f aca="false">IFERROR(VLOOKUP("i"&amp;RIGHT(("00"&amp;(K$2+$A19)),3),Input!$B$3:$C$217,2,FALSE()),"")</f>
        <v/>
      </c>
    </row>
    <row r="20" customFormat="false" ht="11.25" hidden="false" customHeight="false" outlineLevel="0" collapsed="false">
      <c r="A20" s="129" t="n">
        <v>18</v>
      </c>
      <c r="B20" s="139" t="str">
        <f aca="false">IFERROR(VLOOKUP("i"&amp;RIGHT(("00"&amp;(B$2+$A20)),3),Input!$B$3:$C$217,2,FALSE()),"")</f>
        <v/>
      </c>
      <c r="C20" s="139" t="str">
        <f aca="false">IFERROR(VLOOKUP("i"&amp;RIGHT(("00"&amp;(C$2+$A20)),3),Input!$B$3:$C$217,2,FALSE()),"")</f>
        <v/>
      </c>
      <c r="D20" s="139" t="str">
        <f aca="false">IFERROR(VLOOKUP("i"&amp;RIGHT(("00"&amp;(D$2+$A20)),3),Input!$B$3:$C$217,2,FALSE()),"")</f>
        <v/>
      </c>
      <c r="E20" s="139" t="str">
        <f aca="false">IFERROR(VLOOKUP("i"&amp;RIGHT(("00"&amp;(E$2+$A20)),3),Input!$B$3:$C$217,2,FALSE()),"")</f>
        <v/>
      </c>
      <c r="F20" s="139" t="str">
        <f aca="false">IFERROR(VLOOKUP("i"&amp;RIGHT(("00"&amp;(F$2+$A20)),3),Input!$B$3:$C$217,2,FALSE()),"")</f>
        <v/>
      </c>
      <c r="G20" s="139" t="str">
        <f aca="false">IFERROR(VLOOKUP("i"&amp;RIGHT(("00"&amp;(G$2+$A20)),3),Input!$B$3:$C$217,2,FALSE()),"")</f>
        <v/>
      </c>
      <c r="H20" s="139" t="str">
        <f aca="false">IFERROR(VLOOKUP("i"&amp;RIGHT(("00"&amp;(H$2+$A20)),3),Input!$B$3:$C$217,2,FALSE()),"")</f>
        <v/>
      </c>
      <c r="I20" s="139" t="str">
        <f aca="false">IFERROR(VLOOKUP("i"&amp;RIGHT(("00"&amp;(I$2+$A20)),3),Input!$B$3:$C$217,2,FALSE()),"")</f>
        <v/>
      </c>
      <c r="J20" s="139" t="str">
        <f aca="false">IFERROR(VLOOKUP("i"&amp;RIGHT(("00"&amp;(J$2+$A20)),3),Input!$B$3:$C$217,2,FALSE()),"")</f>
        <v/>
      </c>
      <c r="K20" s="139" t="str">
        <f aca="false">IFERROR(VLOOKUP("i"&amp;RIGHT(("00"&amp;(K$2+$A20)),3),Input!$B$3:$C$217,2,FALSE()),"")</f>
        <v/>
      </c>
    </row>
    <row r="21" customFormat="false" ht="11.25" hidden="false" customHeight="false" outlineLevel="0" collapsed="false">
      <c r="A21" s="129" t="n">
        <v>19</v>
      </c>
      <c r="B21" s="139" t="str">
        <f aca="false">IFERROR(VLOOKUP("i"&amp;RIGHT(("00"&amp;(B$2+$A21)),3),Input!$B$3:$C$217,2,FALSE()),"")</f>
        <v/>
      </c>
      <c r="C21" s="139" t="str">
        <f aca="false">IFERROR(VLOOKUP("i"&amp;RIGHT(("00"&amp;(C$2+$A21)),3),Input!$B$3:$C$217,2,FALSE()),"")</f>
        <v/>
      </c>
      <c r="D21" s="139" t="str">
        <f aca="false">IFERROR(VLOOKUP("i"&amp;RIGHT(("00"&amp;(D$2+$A21)),3),Input!$B$3:$C$217,2,FALSE()),"")</f>
        <v/>
      </c>
      <c r="E21" s="139" t="str">
        <f aca="false">IFERROR(VLOOKUP("i"&amp;RIGHT(("00"&amp;(E$2+$A21)),3),Input!$B$3:$C$217,2,FALSE()),"")</f>
        <v/>
      </c>
      <c r="F21" s="139" t="str">
        <f aca="false">IFERROR(VLOOKUP("i"&amp;RIGHT(("00"&amp;(F$2+$A21)),3),Input!$B$3:$C$217,2,FALSE()),"")</f>
        <v/>
      </c>
      <c r="G21" s="139" t="str">
        <f aca="false">IFERROR(VLOOKUP("i"&amp;RIGHT(("00"&amp;(G$2+$A21)),3),Input!$B$3:$C$217,2,FALSE()),"")</f>
        <v/>
      </c>
      <c r="H21" s="139" t="str">
        <f aca="false">IFERROR(VLOOKUP("i"&amp;RIGHT(("00"&amp;(H$2+$A21)),3),Input!$B$3:$C$217,2,FALSE()),"")</f>
        <v/>
      </c>
      <c r="I21" s="139" t="str">
        <f aca="false">IFERROR(VLOOKUP("i"&amp;RIGHT(("00"&amp;(I$2+$A21)),3),Input!$B$3:$C$217,2,FALSE()),"")</f>
        <v/>
      </c>
      <c r="J21" s="139" t="str">
        <f aca="false">IFERROR(VLOOKUP("i"&amp;RIGHT(("00"&amp;(J$2+$A21)),3),Input!$B$3:$C$217,2,FALSE()),"")</f>
        <v/>
      </c>
      <c r="K21" s="139" t="str">
        <f aca="false">IFERROR(VLOOKUP("i"&amp;RIGHT(("00"&amp;(K$2+$A21)),3),Input!$B$3:$C$217,2,FALSE()),"")</f>
        <v/>
      </c>
    </row>
    <row r="22" customFormat="false" ht="11.25" hidden="false" customHeight="false" outlineLevel="0" collapsed="false">
      <c r="A22" s="129" t="n">
        <v>20</v>
      </c>
      <c r="B22" s="139" t="str">
        <f aca="false">IFERROR(VLOOKUP("i"&amp;RIGHT(("00"&amp;(B$2+$A22)),3),Input!$B$3:$C$217,2,FALSE()),"")</f>
        <v/>
      </c>
      <c r="C22" s="139" t="str">
        <f aca="false">IFERROR(VLOOKUP("i"&amp;RIGHT(("00"&amp;(C$2+$A22)),3),Input!$B$3:$C$217,2,FALSE()),"")</f>
        <v/>
      </c>
      <c r="D22" s="139" t="str">
        <f aca="false">IFERROR(VLOOKUP("i"&amp;RIGHT(("00"&amp;(D$2+$A22)),3),Input!$B$3:$C$217,2,FALSE()),"")</f>
        <v/>
      </c>
      <c r="E22" s="139" t="str">
        <f aca="false">IFERROR(VLOOKUP("i"&amp;RIGHT(("00"&amp;(E$2+$A22)),3),Input!$B$3:$C$217,2,FALSE()),"")</f>
        <v>日中の在宅</v>
      </c>
      <c r="F22" s="139" t="str">
        <f aca="false">IFERROR(VLOOKUP("i"&amp;RIGHT(("00"&amp;(F$2+$A22)),3),Input!$B$3:$C$217,2,FALSE()),"")</f>
        <v/>
      </c>
      <c r="G22" s="139" t="str">
        <f aca="false">IFERROR(VLOOKUP("i"&amp;RIGHT(("00"&amp;(G$2+$A22)),3),Input!$B$3:$C$217,2,FALSE()),"")</f>
        <v/>
      </c>
      <c r="H22" s="139" t="str">
        <f aca="false">IFERROR(VLOOKUP("i"&amp;RIGHT(("00"&amp;(H$2+$A22)),3),Input!$B$3:$C$217,2,FALSE()),"")</f>
        <v/>
      </c>
      <c r="I22" s="139" t="str">
        <f aca="false">IFERROR(VLOOKUP("i"&amp;RIGHT(("00"&amp;(I$2+$A22)),3),Input!$B$3:$C$217,2,FALSE()),"")</f>
        <v/>
      </c>
      <c r="J22" s="139" t="str">
        <f aca="false">IFERROR(VLOOKUP("i"&amp;RIGHT(("00"&amp;(J$2+$A22)),3),Input!$B$3:$C$217,2,FALSE()),"")</f>
        <v/>
      </c>
      <c r="K22" s="139" t="str">
        <f aca="false">IFERROR(VLOOKUP("i"&amp;RIGHT(("00"&amp;(K$2+$A22)),3),Input!$B$3:$C$217,2,FALSE()),"")</f>
        <v/>
      </c>
    </row>
    <row r="23" customFormat="false" ht="11.25" hidden="false" customHeight="false" outlineLevel="0" collapsed="false">
      <c r="A23" s="129" t="n">
        <v>21</v>
      </c>
      <c r="B23" s="139" t="str">
        <f aca="false">IFERROR(VLOOKUP("i"&amp;RIGHT(("00"&amp;(B$2+$A23)),3),Input!$B$3:$C$217,2,FALSE()),"")</f>
        <v>都道府県</v>
      </c>
      <c r="C23" s="139" t="str">
        <f aca="false">IFERROR(VLOOKUP("i"&amp;RIGHT(("00"&amp;(C$2+$A23)),3),Input!$B$3:$C$217,2,FALSE()),"")</f>
        <v>温水器の性能</v>
      </c>
      <c r="D23" s="139" t="str">
        <f aca="false">IFERROR(VLOOKUP("i"&amp;RIGHT(("00"&amp;(D$2+$A23)),3),Input!$B$3:$C$217,2,FALSE()),"")</f>
        <v>エアコンの性能</v>
      </c>
      <c r="E23" s="139" t="str">
        <f aca="false">IFERROR(VLOOKUP("i"&amp;RIGHT(("00"&amp;(E$2+$A23)),3),Input!$B$3:$C$217,2,FALSE()),"")</f>
        <v/>
      </c>
      <c r="F23" s="139" t="str">
        <f aca="false">IFERROR(VLOOKUP("i"&amp;RIGHT(("00"&amp;(F$2+$A23)),3),Input!$B$3:$C$217,2,FALSE()),"")</f>
        <v>洗濯機の性能</v>
      </c>
      <c r="G23" s="139" t="str">
        <f aca="false">IFERROR(VLOOKUP("i"&amp;RIGHT(("00"&amp;(G$2+$A23)),3),Input!$B$3:$C$217,2,FALSE()),"")</f>
        <v/>
      </c>
      <c r="H23" s="139" t="str">
        <f aca="false">IFERROR(VLOOKUP("i"&amp;RIGHT(("00"&amp;(H$2+$A23)),3),Input!$B$3:$C$217,2,FALSE()),"")</f>
        <v>テレビの性能</v>
      </c>
      <c r="I23" s="139" t="str">
        <f aca="false">IFERROR(VLOOKUP("i"&amp;RIGHT(("00"&amp;(I$2+$A23)),3),Input!$B$3:$C$217,2,FALSE()),"")</f>
        <v>冷蔵庫の性能</v>
      </c>
      <c r="J23" s="139" t="str">
        <f aca="false">IFERROR(VLOOKUP("i"&amp;RIGHT(("00"&amp;(J$2+$A23)),3),Input!$B$3:$C$217,2,FALSE()),"")</f>
        <v>ポットの保温</v>
      </c>
      <c r="K23" s="139" t="str">
        <f aca="false">IFERROR(VLOOKUP("i"&amp;RIGHT(("00"&amp;(K$2+$A23)),3),Input!$B$3:$C$217,2,FALSE()),"")</f>
        <v>行き先</v>
      </c>
    </row>
    <row r="24" customFormat="false" ht="11.25" hidden="false" customHeight="false" outlineLevel="0" collapsed="false">
      <c r="A24" s="129" t="n">
        <v>22</v>
      </c>
      <c r="B24" s="139" t="str">
        <f aca="false">IFERROR(VLOOKUP("i"&amp;RIGHT(("00"&amp;(B$2+$A24)),3),Input!$B$3:$C$217,2,FALSE()),"")</f>
        <v>詳細地域</v>
      </c>
      <c r="C24" s="139" t="str">
        <f aca="false">IFERROR(VLOOKUP("i"&amp;RIGHT(("00"&amp;(C$2+$A24)),3),Input!$B$3:$C$217,2,FALSE()),"")</f>
        <v/>
      </c>
      <c r="D24" s="139" t="str">
        <f aca="false">IFERROR(VLOOKUP("i"&amp;RIGHT(("00"&amp;(D$2+$A24)),3),Input!$B$3:$C$217,2,FALSE()),"")</f>
        <v/>
      </c>
      <c r="E24" s="139" t="str">
        <f aca="false">IFERROR(VLOOKUP("i"&amp;RIGHT(("00"&amp;(E$2+$A24)),3),Input!$B$3:$C$217,2,FALSE()),"")</f>
        <v/>
      </c>
      <c r="F24" s="139" t="str">
        <f aca="false">IFERROR(VLOOKUP("i"&amp;RIGHT(("00"&amp;(F$2+$A24)),3),Input!$B$3:$C$217,2,FALSE()),"")</f>
        <v/>
      </c>
      <c r="G24" s="139" t="str">
        <f aca="false">IFERROR(VLOOKUP("i"&amp;RIGHT(("00"&amp;(G$2+$A24)),3),Input!$B$3:$C$217,2,FALSE()),"")</f>
        <v/>
      </c>
      <c r="H24" s="139" t="str">
        <f aca="false">IFERROR(VLOOKUP("i"&amp;RIGHT(("00"&amp;(H$2+$A24)),3),Input!$B$3:$C$217,2,FALSE()),"")</f>
        <v/>
      </c>
      <c r="I24" s="139" t="str">
        <f aca="false">IFERROR(VLOOKUP("i"&amp;RIGHT(("00"&amp;(I$2+$A24)),3),Input!$B$3:$C$217,2,FALSE()),"")</f>
        <v/>
      </c>
      <c r="J24" s="139" t="str">
        <f aca="false">IFERROR(VLOOKUP("i"&amp;RIGHT(("00"&amp;(J$2+$A24)),3),Input!$B$3:$C$217,2,FALSE()),"")</f>
        <v>電気ポットの省エネ性</v>
      </c>
      <c r="K24" s="139" t="str">
        <f aca="false">IFERROR(VLOOKUP("i"&amp;RIGHT(("00"&amp;(K$2+$A24)),3),Input!$B$3:$C$217,2,FALSE()),"")</f>
        <v>頻度</v>
      </c>
    </row>
    <row r="25" customFormat="false" ht="11.25" hidden="false" customHeight="false" outlineLevel="0" collapsed="false">
      <c r="A25" s="129" t="n">
        <v>23</v>
      </c>
      <c r="B25" s="139" t="str">
        <f aca="false">IFERROR(VLOOKUP("i"&amp;RIGHT(("00"&amp;(B$2+$A25)),3),Input!$B$3:$C$217,2,FALSE()),"")</f>
        <v>公共交通の便利さ</v>
      </c>
      <c r="C25" s="139" t="str">
        <f aca="false">IFERROR(VLOOKUP("i"&amp;RIGHT(("00"&amp;(C$2+$A25)),3),Input!$B$3:$C$217,2,FALSE()),"")</f>
        <v/>
      </c>
      <c r="D25" s="139" t="str">
        <f aca="false">IFERROR(VLOOKUP("i"&amp;RIGHT(("00"&amp;(D$2+$A25)),3),Input!$B$3:$C$217,2,FALSE()),"")</f>
        <v/>
      </c>
      <c r="E25" s="139" t="str">
        <f aca="false">IFERROR(VLOOKUP("i"&amp;RIGHT(("00"&amp;(E$2+$A25)),3),Input!$B$3:$C$217,2,FALSE()),"")</f>
        <v/>
      </c>
      <c r="F25" s="139" t="str">
        <f aca="false">IFERROR(VLOOKUP("i"&amp;RIGHT(("00"&amp;(F$2+$A25)),3),Input!$B$3:$C$217,2,FALSE()),"")</f>
        <v/>
      </c>
      <c r="G25" s="139" t="str">
        <f aca="false">IFERROR(VLOOKUP("i"&amp;RIGHT(("00"&amp;(G$2+$A25)),3),Input!$B$3:$C$217,2,FALSE()),"")</f>
        <v/>
      </c>
      <c r="H25" s="139" t="str">
        <f aca="false">IFERROR(VLOOKUP("i"&amp;RIGHT(("00"&amp;(H$2+$A25)),3),Input!$B$3:$C$217,2,FALSE()),"")</f>
        <v/>
      </c>
      <c r="I25" s="139" t="str">
        <f aca="false">IFERROR(VLOOKUP("i"&amp;RIGHT(("00"&amp;(I$2+$A25)),3),Input!$B$3:$C$217,2,FALSE()),"")</f>
        <v/>
      </c>
      <c r="J25" s="139" t="str">
        <f aca="false">IFERROR(VLOOKUP("i"&amp;RIGHT(("00"&amp;(J$2+$A25)),3),Input!$B$3:$C$217,2,FALSE()),"")</f>
        <v/>
      </c>
      <c r="K25" s="139" t="str">
        <f aca="false">IFERROR(VLOOKUP("i"&amp;RIGHT(("00"&amp;(K$2+$A25)),3),Input!$B$3:$C$217,2,FALSE()),"")</f>
        <v>片道距離</v>
      </c>
    </row>
    <row r="26" customFormat="false" ht="11.25" hidden="false" customHeight="false" outlineLevel="0" collapsed="false">
      <c r="A26" s="129" t="n">
        <v>24</v>
      </c>
      <c r="B26" s="139" t="str">
        <f aca="false">IFERROR(VLOOKUP("i"&amp;RIGHT(("00"&amp;(B$2+$A26)),3),Input!$B$3:$C$217,2,FALSE()),"")</f>
        <v/>
      </c>
      <c r="C26" s="139" t="str">
        <f aca="false">IFERROR(VLOOKUP("i"&amp;RIGHT(("00"&amp;(C$2+$A26)),3),Input!$B$3:$C$217,2,FALSE()),"")</f>
        <v/>
      </c>
      <c r="D26" s="139" t="str">
        <f aca="false">IFERROR(VLOOKUP("i"&amp;RIGHT(("00"&amp;(D$2+$A26)),3),Input!$B$3:$C$217,2,FALSE()),"")</f>
        <v/>
      </c>
      <c r="E26" s="139" t="str">
        <f aca="false">IFERROR(VLOOKUP("i"&amp;RIGHT(("00"&amp;(E$2+$A26)),3),Input!$B$3:$C$217,2,FALSE()),"")</f>
        <v/>
      </c>
      <c r="F26" s="139" t="str">
        <f aca="false">IFERROR(VLOOKUP("i"&amp;RIGHT(("00"&amp;(F$2+$A26)),3),Input!$B$3:$C$217,2,FALSE()),"")</f>
        <v/>
      </c>
      <c r="G26" s="139" t="str">
        <f aca="false">IFERROR(VLOOKUP("i"&amp;RIGHT(("00"&amp;(G$2+$A26)),3),Input!$B$3:$C$217,2,FALSE()),"")</f>
        <v/>
      </c>
      <c r="H26" s="139" t="str">
        <f aca="false">IFERROR(VLOOKUP("i"&amp;RIGHT(("00"&amp;(H$2+$A26)),3),Input!$B$3:$C$217,2,FALSE()),"")</f>
        <v/>
      </c>
      <c r="I26" s="139" t="str">
        <f aca="false">IFERROR(VLOOKUP("i"&amp;RIGHT(("00"&amp;(I$2+$A26)),3),Input!$B$3:$C$217,2,FALSE()),"")</f>
        <v/>
      </c>
      <c r="J26" s="139" t="str">
        <f aca="false">IFERROR(VLOOKUP("i"&amp;RIGHT(("00"&amp;(J$2+$A26)),3),Input!$B$3:$C$217,2,FALSE()),"")</f>
        <v/>
      </c>
      <c r="K26" s="139" t="str">
        <f aca="false">IFERROR(VLOOKUP("i"&amp;RIGHT(("00"&amp;(K$2+$A26)),3),Input!$B$3:$C$217,2,FALSE()),"")</f>
        <v>使用する車</v>
      </c>
    </row>
    <row r="27" customFormat="false" ht="11.25" hidden="false" customHeight="false" outlineLevel="0" collapsed="false">
      <c r="A27" s="129" t="n">
        <v>25</v>
      </c>
      <c r="B27" s="139" t="str">
        <f aca="false">IFERROR(VLOOKUP("i"&amp;RIGHT(("00"&amp;(B$2+$A27)),3),Input!$B$3:$C$217,2,FALSE()),"")</f>
        <v/>
      </c>
      <c r="C27" s="139" t="str">
        <f aca="false">IFERROR(VLOOKUP("i"&amp;RIGHT(("00"&amp;(C$2+$A27)),3),Input!$B$3:$C$217,2,FALSE()),"")</f>
        <v/>
      </c>
      <c r="D27" s="139" t="str">
        <f aca="false">IFERROR(VLOOKUP("i"&amp;RIGHT(("00"&amp;(D$2+$A27)),3),Input!$B$3:$C$217,2,FALSE()),"")</f>
        <v/>
      </c>
      <c r="E27" s="139" t="str">
        <f aca="false">IFERROR(VLOOKUP("i"&amp;RIGHT(("00"&amp;(E$2+$A27)),3),Input!$B$3:$C$217,2,FALSE()),"")</f>
        <v/>
      </c>
      <c r="F27" s="139" t="str">
        <f aca="false">IFERROR(VLOOKUP("i"&amp;RIGHT(("00"&amp;(F$2+$A27)),3),Input!$B$3:$C$217,2,FALSE()),"")</f>
        <v/>
      </c>
      <c r="G27" s="139" t="str">
        <f aca="false">IFERROR(VLOOKUP("i"&amp;RIGHT(("00"&amp;(G$2+$A27)),3),Input!$B$3:$C$217,2,FALSE()),"")</f>
        <v/>
      </c>
      <c r="H27" s="139" t="str">
        <f aca="false">IFERROR(VLOOKUP("i"&amp;RIGHT(("00"&amp;(H$2+$A27)),3),Input!$B$3:$C$217,2,FALSE()),"")</f>
        <v/>
      </c>
      <c r="I27" s="139" t="str">
        <f aca="false">IFERROR(VLOOKUP("i"&amp;RIGHT(("00"&amp;(I$2+$A27)),3),Input!$B$3:$C$217,2,FALSE()),"")</f>
        <v/>
      </c>
      <c r="J27" s="139" t="str">
        <f aca="false">IFERROR(VLOOKUP("i"&amp;RIGHT(("00"&amp;(J$2+$A27)),3),Input!$B$3:$C$217,2,FALSE()),"")</f>
        <v/>
      </c>
      <c r="K27" s="139" t="str">
        <f aca="false">IFERROR(VLOOKUP("i"&amp;RIGHT(("00"&amp;(K$2+$A27)),3),Input!$B$3:$C$217,2,FALSE()),"")</f>
        <v/>
      </c>
    </row>
    <row r="28" customFormat="false" ht="11.25" hidden="false" customHeight="false" outlineLevel="0" collapsed="false">
      <c r="A28" s="129" t="n">
        <v>26</v>
      </c>
      <c r="B28" s="139" t="str">
        <f aca="false">IFERROR(VLOOKUP("i"&amp;RIGHT(("00"&amp;(B$2+$A28)),3),Input!$B$3:$C$217,2,FALSE()),"")</f>
        <v/>
      </c>
      <c r="C28" s="139" t="str">
        <f aca="false">IFERROR(VLOOKUP("i"&amp;RIGHT(("00"&amp;(C$2+$A28)),3),Input!$B$3:$C$217,2,FALSE()),"")</f>
        <v/>
      </c>
      <c r="D28" s="139" t="str">
        <f aca="false">IFERROR(VLOOKUP("i"&amp;RIGHT(("00"&amp;(D$2+$A28)),3),Input!$B$3:$C$217,2,FALSE()),"")</f>
        <v/>
      </c>
      <c r="E28" s="139" t="str">
        <f aca="false">IFERROR(VLOOKUP("i"&amp;RIGHT(("00"&amp;(E$2+$A28)),3),Input!$B$3:$C$217,2,FALSE()),"")</f>
        <v/>
      </c>
      <c r="F28" s="139" t="str">
        <f aca="false">IFERROR(VLOOKUP("i"&amp;RIGHT(("00"&amp;(F$2+$A28)),3),Input!$B$3:$C$217,2,FALSE()),"")</f>
        <v/>
      </c>
      <c r="G28" s="139" t="str">
        <f aca="false">IFERROR(VLOOKUP("i"&amp;RIGHT(("00"&amp;(G$2+$A28)),3),Input!$B$3:$C$217,2,FALSE()),"")</f>
        <v/>
      </c>
      <c r="H28" s="139" t="str">
        <f aca="false">IFERROR(VLOOKUP("i"&amp;RIGHT(("00"&amp;(H$2+$A28)),3),Input!$B$3:$C$217,2,FALSE()),"")</f>
        <v/>
      </c>
      <c r="I28" s="139" t="str">
        <f aca="false">IFERROR(VLOOKUP("i"&amp;RIGHT(("00"&amp;(I$2+$A28)),3),Input!$B$3:$C$217,2,FALSE()),"")</f>
        <v/>
      </c>
      <c r="J28" s="139" t="str">
        <f aca="false">IFERROR(VLOOKUP("i"&amp;RIGHT(("00"&amp;(J$2+$A28)),3),Input!$B$3:$C$217,2,FALSE()),"")</f>
        <v/>
      </c>
      <c r="K28" s="139" t="str">
        <f aca="false">IFERROR(VLOOKUP("i"&amp;RIGHT(("00"&amp;(K$2+$A28)),3),Input!$B$3:$C$217,2,FALSE()),"")</f>
        <v/>
      </c>
    </row>
    <row r="29" customFormat="false" ht="11.25" hidden="false" customHeight="false" outlineLevel="0" collapsed="false">
      <c r="A29" s="129" t="n">
        <v>27</v>
      </c>
      <c r="B29" s="139" t="str">
        <f aca="false">IFERROR(VLOOKUP("i"&amp;RIGHT(("00"&amp;(B$2+$A29)),3),Input!$B$3:$C$217,2,FALSE()),"")</f>
        <v/>
      </c>
      <c r="C29" s="139" t="str">
        <f aca="false">IFERROR(VLOOKUP("i"&amp;RIGHT(("00"&amp;(C$2+$A29)),3),Input!$B$3:$C$217,2,FALSE()),"")</f>
        <v/>
      </c>
      <c r="D29" s="139" t="str">
        <f aca="false">IFERROR(VLOOKUP("i"&amp;RIGHT(("00"&amp;(D$2+$A29)),3),Input!$B$3:$C$217,2,FALSE()),"")</f>
        <v/>
      </c>
      <c r="E29" s="139" t="str">
        <f aca="false">IFERROR(VLOOKUP("i"&amp;RIGHT(("00"&amp;(E$2+$A29)),3),Input!$B$3:$C$217,2,FALSE()),"")</f>
        <v/>
      </c>
      <c r="F29" s="139" t="str">
        <f aca="false">IFERROR(VLOOKUP("i"&amp;RIGHT(("00"&amp;(F$2+$A29)),3),Input!$B$3:$C$217,2,FALSE()),"")</f>
        <v/>
      </c>
      <c r="G29" s="139" t="str">
        <f aca="false">IFERROR(VLOOKUP("i"&amp;RIGHT(("00"&amp;(G$2+$A29)),3),Input!$B$3:$C$217,2,FALSE()),"")</f>
        <v/>
      </c>
      <c r="H29" s="139" t="str">
        <f aca="false">IFERROR(VLOOKUP("i"&amp;RIGHT(("00"&amp;(H$2+$A29)),3),Input!$B$3:$C$217,2,FALSE()),"")</f>
        <v/>
      </c>
      <c r="I29" s="139" t="str">
        <f aca="false">IFERROR(VLOOKUP("i"&amp;RIGHT(("00"&amp;(I$2+$A29)),3),Input!$B$3:$C$217,2,FALSE()),"")</f>
        <v/>
      </c>
      <c r="J29" s="139" t="str">
        <f aca="false">IFERROR(VLOOKUP("i"&amp;RIGHT(("00"&amp;(J$2+$A29)),3),Input!$B$3:$C$217,2,FALSE()),"")</f>
        <v/>
      </c>
      <c r="K29" s="139" t="str">
        <f aca="false">IFERROR(VLOOKUP("i"&amp;RIGHT(("00"&amp;(K$2+$A29)),3),Input!$B$3:$C$217,2,FALSE()),"")</f>
        <v/>
      </c>
    </row>
    <row r="30" customFormat="false" ht="11.25" hidden="false" customHeight="false" outlineLevel="0" collapsed="false">
      <c r="A30" s="129" t="n">
        <v>28</v>
      </c>
      <c r="B30" s="139" t="str">
        <f aca="false">IFERROR(VLOOKUP("i"&amp;RIGHT(("00"&amp;(B$2+$A30)),3),Input!$B$3:$C$217,2,FALSE()),"")</f>
        <v/>
      </c>
      <c r="C30" s="139" t="str">
        <f aca="false">IFERROR(VLOOKUP("i"&amp;RIGHT(("00"&amp;(C$2+$A30)),3),Input!$B$3:$C$217,2,FALSE()),"")</f>
        <v/>
      </c>
      <c r="D30" s="139" t="str">
        <f aca="false">IFERROR(VLOOKUP("i"&amp;RIGHT(("00"&amp;(D$2+$A30)),3),Input!$B$3:$C$217,2,FALSE()),"")</f>
        <v/>
      </c>
      <c r="E30" s="139" t="str">
        <f aca="false">IFERROR(VLOOKUP("i"&amp;RIGHT(("00"&amp;(E$2+$A30)),3),Input!$B$3:$C$217,2,FALSE()),"")</f>
        <v/>
      </c>
      <c r="F30" s="139" t="str">
        <f aca="false">IFERROR(VLOOKUP("i"&amp;RIGHT(("00"&amp;(F$2+$A30)),3),Input!$B$3:$C$217,2,FALSE()),"")</f>
        <v/>
      </c>
      <c r="G30" s="139" t="str">
        <f aca="false">IFERROR(VLOOKUP("i"&amp;RIGHT(("00"&amp;(G$2+$A30)),3),Input!$B$3:$C$217,2,FALSE()),"")</f>
        <v/>
      </c>
      <c r="H30" s="139" t="str">
        <f aca="false">IFERROR(VLOOKUP("i"&amp;RIGHT(("00"&amp;(H$2+$A30)),3),Input!$B$3:$C$217,2,FALSE()),"")</f>
        <v/>
      </c>
      <c r="I30" s="139" t="str">
        <f aca="false">IFERROR(VLOOKUP("i"&amp;RIGHT(("00"&amp;(I$2+$A30)),3),Input!$B$3:$C$217,2,FALSE()),"")</f>
        <v/>
      </c>
      <c r="J30" s="139" t="str">
        <f aca="false">IFERROR(VLOOKUP("i"&amp;RIGHT(("00"&amp;(J$2+$A30)),3),Input!$B$3:$C$217,2,FALSE()),"")</f>
        <v/>
      </c>
      <c r="K30" s="139" t="str">
        <f aca="false">IFERROR(VLOOKUP("i"&amp;RIGHT(("00"&amp;(K$2+$A30)),3),Input!$B$3:$C$217,2,FALSE()),"")</f>
        <v/>
      </c>
    </row>
    <row r="31" customFormat="false" ht="11.25" hidden="false" customHeight="false" outlineLevel="0" collapsed="false">
      <c r="A31" s="129" t="n">
        <v>29</v>
      </c>
      <c r="B31" s="139" t="str">
        <f aca="false">IFERROR(VLOOKUP("i"&amp;RIGHT(("00"&amp;(B$2+$A31)),3),Input!$B$3:$C$217,2,FALSE()),"")</f>
        <v/>
      </c>
      <c r="C31" s="139" t="str">
        <f aca="false">IFERROR(VLOOKUP("i"&amp;RIGHT(("00"&amp;(C$2+$A31)),3),Input!$B$3:$C$217,2,FALSE()),"")</f>
        <v/>
      </c>
      <c r="D31" s="139" t="str">
        <f aca="false">IFERROR(VLOOKUP("i"&amp;RIGHT(("00"&amp;(D$2+$A31)),3),Input!$B$3:$C$217,2,FALSE()),"")</f>
        <v/>
      </c>
      <c r="E31" s="139" t="str">
        <f aca="false">IFERROR(VLOOKUP("i"&amp;RIGHT(("00"&amp;(E$2+$A31)),3),Input!$B$3:$C$217,2,FALSE()),"")</f>
        <v/>
      </c>
      <c r="F31" s="139" t="str">
        <f aca="false">IFERROR(VLOOKUP("i"&amp;RIGHT(("00"&amp;(F$2+$A31)),3),Input!$B$3:$C$217,2,FALSE()),"")</f>
        <v/>
      </c>
      <c r="G31" s="139" t="str">
        <f aca="false">IFERROR(VLOOKUP("i"&amp;RIGHT(("00"&amp;(G$2+$A31)),3),Input!$B$3:$C$217,2,FALSE()),"")</f>
        <v/>
      </c>
      <c r="H31" s="139" t="str">
        <f aca="false">IFERROR(VLOOKUP("i"&amp;RIGHT(("00"&amp;(H$2+$A31)),3),Input!$B$3:$C$217,2,FALSE()),"")</f>
        <v/>
      </c>
      <c r="I31" s="139" t="str">
        <f aca="false">IFERROR(VLOOKUP("i"&amp;RIGHT(("00"&amp;(I$2+$A31)),3),Input!$B$3:$C$217,2,FALSE()),"")</f>
        <v/>
      </c>
      <c r="J31" s="139" t="str">
        <f aca="false">IFERROR(VLOOKUP("i"&amp;RIGHT(("00"&amp;(J$2+$A31)),3),Input!$B$3:$C$217,2,FALSE()),"")</f>
        <v/>
      </c>
      <c r="K31" s="139" t="str">
        <f aca="false">IFERROR(VLOOKUP("i"&amp;RIGHT(("00"&amp;(K$2+$A31)),3),Input!$B$3:$C$217,2,FALSE()),"")</f>
        <v/>
      </c>
    </row>
    <row r="32" customFormat="false" ht="11.25" hidden="false" customHeight="false" outlineLevel="0" collapsed="false">
      <c r="A32" s="129" t="n">
        <v>30</v>
      </c>
      <c r="B32" s="139" t="str">
        <f aca="false">IFERROR(VLOOKUP("i"&amp;RIGHT(("00"&amp;(B$2+$A32)),3),Input!$B$3:$C$217,2,FALSE()),"")</f>
        <v/>
      </c>
      <c r="C32" s="139" t="str">
        <f aca="false">IFERROR(VLOOKUP("i"&amp;RIGHT(("00"&amp;(C$2+$A32)),3),Input!$B$3:$C$217,2,FALSE()),"")</f>
        <v/>
      </c>
      <c r="D32" s="139" t="str">
        <f aca="false">IFERROR(VLOOKUP("i"&amp;RIGHT(("00"&amp;(D$2+$A32)),3),Input!$B$3:$C$217,2,FALSE()),"")</f>
        <v/>
      </c>
      <c r="E32" s="139" t="str">
        <f aca="false">IFERROR(VLOOKUP("i"&amp;RIGHT(("00"&amp;(E$2+$A32)),3),Input!$B$3:$C$217,2,FALSE()),"")</f>
        <v/>
      </c>
      <c r="F32" s="139" t="str">
        <f aca="false">IFERROR(VLOOKUP("i"&amp;RIGHT(("00"&amp;(F$2+$A32)),3),Input!$B$3:$C$217,2,FALSE()),"")</f>
        <v/>
      </c>
      <c r="G32" s="139" t="str">
        <f aca="false">IFERROR(VLOOKUP("i"&amp;RIGHT(("00"&amp;(G$2+$A32)),3),Input!$B$3:$C$217,2,FALSE()),"")</f>
        <v/>
      </c>
      <c r="H32" s="139" t="str">
        <f aca="false">IFERROR(VLOOKUP("i"&amp;RIGHT(("00"&amp;(H$2+$A32)),3),Input!$B$3:$C$217,2,FALSE()),"")</f>
        <v/>
      </c>
      <c r="I32" s="139" t="str">
        <f aca="false">IFERROR(VLOOKUP("i"&amp;RIGHT(("00"&amp;(I$2+$A32)),3),Input!$B$3:$C$217,2,FALSE()),"")</f>
        <v/>
      </c>
      <c r="J32" s="139" t="str">
        <f aca="false">IFERROR(VLOOKUP("i"&amp;RIGHT(("00"&amp;(J$2+$A32)),3),Input!$B$3:$C$217,2,FALSE()),"")</f>
        <v/>
      </c>
      <c r="K32" s="139" t="str">
        <f aca="false">IFERROR(VLOOKUP("i"&amp;RIGHT(("00"&amp;(K$2+$A32)),3),Input!$B$3:$C$217,2,FALSE()),"")</f>
        <v/>
      </c>
    </row>
    <row r="33" customFormat="false" ht="11.25" hidden="false" customHeight="false" outlineLevel="0" collapsed="false">
      <c r="A33" s="129" t="n">
        <v>31</v>
      </c>
      <c r="B33" s="139" t="str">
        <f aca="false">IFERROR(VLOOKUP("i"&amp;RIGHT(("00"&amp;(B$2+$A33)),3),Input!$B$3:$C$217,2,FALSE()),"")</f>
        <v/>
      </c>
      <c r="C33" s="139" t="str">
        <f aca="false">IFERROR(VLOOKUP("i"&amp;RIGHT(("00"&amp;(C$2+$A33)),3),Input!$B$3:$C$217,2,FALSE()),"")</f>
        <v>便座の保温</v>
      </c>
      <c r="D33" s="139" t="str">
        <f aca="false">IFERROR(VLOOKUP("i"&amp;RIGHT(("00"&amp;(D$2+$A33)),3),Input!$B$3:$C$217,2,FALSE()),"")</f>
        <v>主に使う暖房器具</v>
      </c>
      <c r="E33" s="139" t="str">
        <f aca="false">IFERROR(VLOOKUP("i"&amp;RIGHT(("00"&amp;(E$2+$A33)),3),Input!$B$3:$C$217,2,FALSE()),"")</f>
        <v/>
      </c>
      <c r="F33" s="139" t="str">
        <f aca="false">IFERROR(VLOOKUP("i"&amp;RIGHT(("00"&amp;(F$2+$A33)),3),Input!$B$3:$C$217,2,FALSE()),"")</f>
        <v/>
      </c>
      <c r="G33" s="139" t="str">
        <f aca="false">IFERROR(VLOOKUP("i"&amp;RIGHT(("00"&amp;(G$2+$A33)),3),Input!$B$3:$C$217,2,FALSE()),"")</f>
        <v/>
      </c>
      <c r="H33" s="139" t="str">
        <f aca="false">IFERROR(VLOOKUP("i"&amp;RIGHT(("00"&amp;(H$2+$A33)),3),Input!$B$3:$C$217,2,FALSE()),"")</f>
        <v>テレビのサイズ</v>
      </c>
      <c r="I33" s="139" t="str">
        <f aca="false">IFERROR(VLOOKUP("i"&amp;RIGHT(("00"&amp;(I$2+$A33)),3),Input!$B$3:$C$217,2,FALSE()),"")</f>
        <v/>
      </c>
      <c r="J33" s="139" t="str">
        <f aca="false">IFERROR(VLOOKUP("i"&amp;RIGHT(("00"&amp;(J$2+$A33)),3),Input!$B$3:$C$217,2,FALSE()),"")</f>
        <v/>
      </c>
      <c r="K33" s="139" t="str">
        <f aca="false">IFERROR(VLOOKUP("i"&amp;RIGHT(("00"&amp;(K$2+$A33)),3),Input!$B$3:$C$217,2,FALSE()),"")</f>
        <v>アイドリングストップ</v>
      </c>
    </row>
    <row r="34" customFormat="false" ht="11.25" hidden="false" customHeight="false" outlineLevel="0" collapsed="false">
      <c r="A34" s="129" t="n">
        <v>32</v>
      </c>
      <c r="B34" s="139" t="str">
        <f aca="false">IFERROR(VLOOKUP("i"&amp;RIGHT(("00"&amp;(B$2+$A34)),3),Input!$B$3:$C$217,2,FALSE()),"")</f>
        <v/>
      </c>
      <c r="C34" s="139" t="str">
        <f aca="false">IFERROR(VLOOKUP("i"&amp;RIGHT(("00"&amp;(C$2+$A34)),3),Input!$B$3:$C$217,2,FALSE()),"")</f>
        <v>便座の温度設定</v>
      </c>
      <c r="D34" s="139" t="str">
        <f aca="false">IFERROR(VLOOKUP("i"&amp;RIGHT(("00"&amp;(D$2+$A34)),3),Input!$B$3:$C$217,2,FALSE()),"")</f>
        <v>補助的に使う暖房器具</v>
      </c>
      <c r="E34" s="139" t="str">
        <f aca="false">IFERROR(VLOOKUP("i"&amp;RIGHT(("00"&amp;(E$2+$A34)),3),Input!$B$3:$C$217,2,FALSE()),"")</f>
        <v/>
      </c>
      <c r="F34" s="139" t="str">
        <f aca="false">IFERROR(VLOOKUP("i"&amp;RIGHT(("00"&amp;(F$2+$A34)),3),Input!$B$3:$C$217,2,FALSE()),"")</f>
        <v/>
      </c>
      <c r="G34" s="139" t="str">
        <f aca="false">IFERROR(VLOOKUP("i"&amp;RIGHT(("00"&amp;(G$2+$A34)),3),Input!$B$3:$C$217,2,FALSE()),"")</f>
        <v/>
      </c>
      <c r="H34" s="139" t="str">
        <f aca="false">IFERROR(VLOOKUP("i"&amp;RIGHT(("00"&amp;(H$2+$A34)),3),Input!$B$3:$C$217,2,FALSE()),"")</f>
        <v>テレビの使用年数</v>
      </c>
      <c r="I34" s="139" t="str">
        <f aca="false">IFERROR(VLOOKUP("i"&amp;RIGHT(("00"&amp;(I$2+$A34)),3),Input!$B$3:$C$217,2,FALSE()),"")</f>
        <v/>
      </c>
      <c r="J34" s="139" t="str">
        <f aca="false">IFERROR(VLOOKUP("i"&amp;RIGHT(("00"&amp;(J$2+$A34)),3),Input!$B$3:$C$217,2,FALSE()),"")</f>
        <v/>
      </c>
      <c r="K34" s="139" t="str">
        <f aca="false">IFERROR(VLOOKUP("i"&amp;RIGHT(("00"&amp;(K$2+$A34)),3),Input!$B$3:$C$217,2,FALSE()),"")</f>
        <v>急加速や急発進</v>
      </c>
    </row>
    <row r="35" customFormat="false" ht="11.25" hidden="false" customHeight="false" outlineLevel="0" collapsed="false">
      <c r="A35" s="129" t="n">
        <v>33</v>
      </c>
      <c r="B35" s="139" t="str">
        <f aca="false">IFERROR(VLOOKUP("i"&amp;RIGHT(("00"&amp;(B$2+$A35)),3),Input!$B$3:$C$217,2,FALSE()),"")</f>
        <v/>
      </c>
      <c r="C35" s="139" t="str">
        <f aca="false">IFERROR(VLOOKUP("i"&amp;RIGHT(("00"&amp;(C$2+$A35)),3),Input!$B$3:$C$217,2,FALSE()),"")</f>
        <v>瞬間式保温便座</v>
      </c>
      <c r="D35" s="139" t="str">
        <f aca="false">IFERROR(VLOOKUP("i"&amp;RIGHT(("00"&amp;(D$2+$A35)),3),Input!$B$3:$C$217,2,FALSE()),"")</f>
        <v>暖房時間</v>
      </c>
      <c r="E35" s="139" t="str">
        <f aca="false">IFERROR(VLOOKUP("i"&amp;RIGHT(("00"&amp;(E$2+$A35)),3),Input!$B$3:$C$217,2,FALSE()),"")</f>
        <v/>
      </c>
      <c r="F35" s="139" t="str">
        <f aca="false">IFERROR(VLOOKUP("i"&amp;RIGHT(("00"&amp;(F$2+$A35)),3),Input!$B$3:$C$217,2,FALSE()),"")</f>
        <v/>
      </c>
      <c r="G35" s="139" t="str">
        <f aca="false">IFERROR(VLOOKUP("i"&amp;RIGHT(("00"&amp;(G$2+$A35)),3),Input!$B$3:$C$217,2,FALSE()),"")</f>
        <v/>
      </c>
      <c r="H35" s="139" t="str">
        <f aca="false">IFERROR(VLOOKUP("i"&amp;RIGHT(("00"&amp;(H$2+$A35)),3),Input!$B$3:$C$217,2,FALSE()),"")</f>
        <v>テレビの時間</v>
      </c>
      <c r="I35" s="139" t="str">
        <f aca="false">IFERROR(VLOOKUP("i"&amp;RIGHT(("00"&amp;(I$2+$A35)),3),Input!$B$3:$C$217,2,FALSE()),"")</f>
        <v/>
      </c>
      <c r="J35" s="139" t="str">
        <f aca="false">IFERROR(VLOOKUP("i"&amp;RIGHT(("00"&amp;(J$2+$A35)),3),Input!$B$3:$C$217,2,FALSE()),"")</f>
        <v/>
      </c>
      <c r="K35" s="139" t="str">
        <f aca="false">IFERROR(VLOOKUP("i"&amp;RIGHT(("00"&amp;(K$2+$A35)),3),Input!$B$3:$C$217,2,FALSE()),"")</f>
        <v>加減速の少ない運転</v>
      </c>
    </row>
    <row r="36" customFormat="false" ht="11.25" hidden="false" customHeight="false" outlineLevel="0" collapsed="false">
      <c r="A36" s="129" t="n">
        <v>34</v>
      </c>
      <c r="B36" s="139" t="str">
        <f aca="false">IFERROR(VLOOKUP("i"&amp;RIGHT(("00"&amp;(B$2+$A36)),3),Input!$B$3:$C$217,2,FALSE()),"")</f>
        <v/>
      </c>
      <c r="C36" s="139" t="str">
        <f aca="false">IFERROR(VLOOKUP("i"&amp;RIGHT(("00"&amp;(C$2+$A36)),3),Input!$B$3:$C$217,2,FALSE()),"")</f>
        <v>便座のふたを閉める</v>
      </c>
      <c r="D36" s="139" t="str">
        <f aca="false">IFERROR(VLOOKUP("i"&amp;RIGHT(("00"&amp;(D$2+$A36)),3),Input!$B$3:$C$217,2,FALSE()),"")</f>
        <v>暖房設定温度</v>
      </c>
      <c r="E36" s="139" t="str">
        <f aca="false">IFERROR(VLOOKUP("i"&amp;RIGHT(("00"&amp;(E$2+$A36)),3),Input!$B$3:$C$217,2,FALSE()),"")</f>
        <v/>
      </c>
      <c r="F36" s="139" t="str">
        <f aca="false">IFERROR(VLOOKUP("i"&amp;RIGHT(("00"&amp;(F$2+$A36)),3),Input!$B$3:$C$217,2,FALSE()),"")</f>
        <v/>
      </c>
      <c r="G36" s="139" t="str">
        <f aca="false">IFERROR(VLOOKUP("i"&amp;RIGHT(("00"&amp;(G$2+$A36)),3),Input!$B$3:$C$217,2,FALSE()),"")</f>
        <v/>
      </c>
      <c r="H36" s="139" t="str">
        <f aca="false">IFERROR(VLOOKUP("i"&amp;RIGHT(("00"&amp;(H$2+$A36)),3),Input!$B$3:$C$217,2,FALSE()),"")</f>
        <v/>
      </c>
      <c r="I36" s="139" t="str">
        <f aca="false">IFERROR(VLOOKUP("i"&amp;RIGHT(("00"&amp;(I$2+$A36)),3),Input!$B$3:$C$217,2,FALSE()),"")</f>
        <v/>
      </c>
      <c r="J36" s="139" t="str">
        <f aca="false">IFERROR(VLOOKUP("i"&amp;RIGHT(("00"&amp;(J$2+$A36)),3),Input!$B$3:$C$217,2,FALSE()),"")</f>
        <v/>
      </c>
      <c r="K36" s="139" t="str">
        <f aca="false">IFERROR(VLOOKUP("i"&amp;RIGHT(("00"&amp;(K$2+$A36)),3),Input!$B$3:$C$217,2,FALSE()),"")</f>
        <v>早めのアクセルオフ</v>
      </c>
    </row>
    <row r="37" customFormat="false" ht="11.25" hidden="false" customHeight="false" outlineLevel="0" collapsed="false">
      <c r="A37" s="129" t="n">
        <v>35</v>
      </c>
      <c r="B37" s="139" t="str">
        <f aca="false">IFERROR(VLOOKUP("i"&amp;RIGHT(("00"&amp;(B$2+$A37)),3),Input!$B$3:$C$217,2,FALSE()),"")</f>
        <v/>
      </c>
      <c r="C37" s="139" t="str">
        <f aca="false">IFERROR(VLOOKUP("i"&amp;RIGHT(("00"&amp;(C$2+$A37)),3),Input!$B$3:$C$217,2,FALSE()),"")</f>
        <v/>
      </c>
      <c r="D37" s="139" t="str">
        <f aca="false">IFERROR(VLOOKUP("i"&amp;RIGHT(("00"&amp;(D$2+$A37)),3),Input!$B$3:$C$217,2,FALSE()),"")</f>
        <v>暖房する期間</v>
      </c>
      <c r="E37" s="139" t="str">
        <f aca="false">IFERROR(VLOOKUP("i"&amp;RIGHT(("00"&amp;(E$2+$A37)),3),Input!$B$3:$C$217,2,FALSE()),"")</f>
        <v/>
      </c>
      <c r="F37" s="139" t="str">
        <f aca="false">IFERROR(VLOOKUP("i"&amp;RIGHT(("00"&amp;(F$2+$A37)),3),Input!$B$3:$C$217,2,FALSE()),"")</f>
        <v/>
      </c>
      <c r="G37" s="139" t="str">
        <f aca="false">IFERROR(VLOOKUP("i"&amp;RIGHT(("00"&amp;(G$2+$A37)),3),Input!$B$3:$C$217,2,FALSE()),"")</f>
        <v/>
      </c>
      <c r="H37" s="139" t="str">
        <f aca="false">IFERROR(VLOOKUP("i"&amp;RIGHT(("00"&amp;(H$2+$A37)),3),Input!$B$3:$C$217,2,FALSE()),"")</f>
        <v/>
      </c>
      <c r="I37" s="139" t="str">
        <f aca="false">IFERROR(VLOOKUP("i"&amp;RIGHT(("00"&amp;(I$2+$A37)),3),Input!$B$3:$C$217,2,FALSE()),"")</f>
        <v/>
      </c>
      <c r="J37" s="139" t="str">
        <f aca="false">IFERROR(VLOOKUP("i"&amp;RIGHT(("00"&amp;(J$2+$A37)),3),Input!$B$3:$C$217,2,FALSE()),"")</f>
        <v/>
      </c>
      <c r="K37" s="139" t="str">
        <f aca="false">IFERROR(VLOOKUP("i"&amp;RIGHT(("00"&amp;(K$2+$A37)),3),Input!$B$3:$C$217,2,FALSE()),"")</f>
        <v>道路交通情報の活用</v>
      </c>
    </row>
    <row r="38" customFormat="false" ht="11.25" hidden="false" customHeight="false" outlineLevel="0" collapsed="false">
      <c r="A38" s="129" t="n">
        <v>36</v>
      </c>
      <c r="B38" s="139" t="str">
        <f aca="false">IFERROR(VLOOKUP("i"&amp;RIGHT(("00"&amp;(B$2+$A38)),3),Input!$B$3:$C$217,2,FALSE()),"")</f>
        <v/>
      </c>
      <c r="C38" s="139" t="str">
        <f aca="false">IFERROR(VLOOKUP("i"&amp;RIGHT(("00"&amp;(C$2+$A38)),3),Input!$B$3:$C$217,2,FALSE()),"")</f>
        <v/>
      </c>
      <c r="D38" s="139" t="str">
        <f aca="false">IFERROR(VLOOKUP("i"&amp;RIGHT(("00"&amp;(D$2+$A38)),3),Input!$B$3:$C$217,2,FALSE()),"")</f>
        <v>加湿器の使用期間</v>
      </c>
      <c r="E38" s="139" t="str">
        <f aca="false">IFERROR(VLOOKUP("i"&amp;RIGHT(("00"&amp;(E$2+$A38)),3),Input!$B$3:$C$217,2,FALSE()),"")</f>
        <v/>
      </c>
      <c r="F38" s="139" t="str">
        <f aca="false">IFERROR(VLOOKUP("i"&amp;RIGHT(("00"&amp;(F$2+$A38)),3),Input!$B$3:$C$217,2,FALSE()),"")</f>
        <v/>
      </c>
      <c r="G38" s="139" t="str">
        <f aca="false">IFERROR(VLOOKUP("i"&amp;RIGHT(("00"&amp;(G$2+$A38)),3),Input!$B$3:$C$217,2,FALSE()),"")</f>
        <v/>
      </c>
      <c r="H38" s="139" t="str">
        <f aca="false">IFERROR(VLOOKUP("i"&amp;RIGHT(("00"&amp;(H$2+$A38)),3),Input!$B$3:$C$217,2,FALSE()),"")</f>
        <v/>
      </c>
      <c r="I38" s="139" t="str">
        <f aca="false">IFERROR(VLOOKUP("i"&amp;RIGHT(("00"&amp;(I$2+$A38)),3),Input!$B$3:$C$217,2,FALSE()),"")</f>
        <v/>
      </c>
      <c r="J38" s="139" t="str">
        <f aca="false">IFERROR(VLOOKUP("i"&amp;RIGHT(("00"&amp;(J$2+$A38)),3),Input!$B$3:$C$217,2,FALSE()),"")</f>
        <v/>
      </c>
      <c r="K38" s="139" t="str">
        <f aca="false">IFERROR(VLOOKUP("i"&amp;RIGHT(("00"&amp;(K$2+$A38)),3),Input!$B$3:$C$217,2,FALSE()),"")</f>
        <v> 不要な荷物を積まない</v>
      </c>
    </row>
    <row r="39" customFormat="false" ht="11.25" hidden="false" customHeight="false" outlineLevel="0" collapsed="false">
      <c r="A39" s="129" t="n">
        <v>37</v>
      </c>
      <c r="B39" s="139" t="str">
        <f aca="false">IFERROR(VLOOKUP("i"&amp;RIGHT(("00"&amp;(B$2+$A39)),3),Input!$B$3:$C$217,2,FALSE()),"")</f>
        <v/>
      </c>
      <c r="C39" s="139" t="str">
        <f aca="false">IFERROR(VLOOKUP("i"&amp;RIGHT(("00"&amp;(C$2+$A39)),3),Input!$B$3:$C$217,2,FALSE()),"")</f>
        <v/>
      </c>
      <c r="D39" s="139" t="str">
        <f aca="false">IFERROR(VLOOKUP("i"&amp;RIGHT(("00"&amp;(D$2+$A39)),3),Input!$B$3:$C$217,2,FALSE()),"")</f>
        <v>断熱シートの設置</v>
      </c>
      <c r="E39" s="139" t="str">
        <f aca="false">IFERROR(VLOOKUP("i"&amp;RIGHT(("00"&amp;(E$2+$A39)),3),Input!$B$3:$C$217,2,FALSE()),"")</f>
        <v/>
      </c>
      <c r="F39" s="139" t="str">
        <f aca="false">IFERROR(VLOOKUP("i"&amp;RIGHT(("00"&amp;(F$2+$A39)),3),Input!$B$3:$C$217,2,FALSE()),"")</f>
        <v/>
      </c>
      <c r="G39" s="139" t="str">
        <f aca="false">IFERROR(VLOOKUP("i"&amp;RIGHT(("00"&amp;(G$2+$A39)),3),Input!$B$3:$C$217,2,FALSE()),"")</f>
        <v/>
      </c>
      <c r="H39" s="139" t="str">
        <f aca="false">IFERROR(VLOOKUP("i"&amp;RIGHT(("00"&amp;(H$2+$A39)),3),Input!$B$3:$C$217,2,FALSE()),"")</f>
        <v/>
      </c>
      <c r="I39" s="139" t="str">
        <f aca="false">IFERROR(VLOOKUP("i"&amp;RIGHT(("00"&amp;(I$2+$A39)),3),Input!$B$3:$C$217,2,FALSE()),"")</f>
        <v/>
      </c>
      <c r="J39" s="139" t="str">
        <f aca="false">IFERROR(VLOOKUP("i"&amp;RIGHT(("00"&amp;(J$2+$A39)),3),Input!$B$3:$C$217,2,FALSE()),"")</f>
        <v/>
      </c>
      <c r="K39" s="139" t="str">
        <f aca="false">IFERROR(VLOOKUP("i"&amp;RIGHT(("00"&amp;(K$2+$A39)),3),Input!$B$3:$C$217,2,FALSE()),"")</f>
        <v>カーエアコンの温度調節</v>
      </c>
    </row>
    <row r="40" customFormat="false" ht="11.25" hidden="false" customHeight="false" outlineLevel="0" collapsed="false">
      <c r="A40" s="129" t="n">
        <v>38</v>
      </c>
      <c r="B40" s="139" t="str">
        <f aca="false">IFERROR(VLOOKUP("i"&amp;RIGHT(("00"&amp;(B$2+$A40)),3),Input!$B$3:$C$217,2,FALSE()),"")</f>
        <v/>
      </c>
      <c r="C40" s="139" t="str">
        <f aca="false">IFERROR(VLOOKUP("i"&amp;RIGHT(("00"&amp;(C$2+$A40)),3),Input!$B$3:$C$217,2,FALSE()),"")</f>
        <v/>
      </c>
      <c r="D40" s="139" t="str">
        <f aca="false">IFERROR(VLOOKUP("i"&amp;RIGHT(("00"&amp;(D$2+$A40)),3),Input!$B$3:$C$217,2,FALSE()),"")</f>
        <v>部屋を戸で締め切れますか</v>
      </c>
      <c r="E40" s="139" t="str">
        <f aca="false">IFERROR(VLOOKUP("i"&amp;RIGHT(("00"&amp;(E$2+$A40)),3),Input!$B$3:$C$217,2,FALSE()),"")</f>
        <v/>
      </c>
      <c r="F40" s="139" t="str">
        <f aca="false">IFERROR(VLOOKUP("i"&amp;RIGHT(("00"&amp;(F$2+$A40)),3),Input!$B$3:$C$217,2,FALSE()),"")</f>
        <v/>
      </c>
      <c r="G40" s="139" t="str">
        <f aca="false">IFERROR(VLOOKUP("i"&amp;RIGHT(("00"&amp;(G$2+$A40)),3),Input!$B$3:$C$217,2,FALSE()),"")</f>
        <v/>
      </c>
      <c r="H40" s="139" t="str">
        <f aca="false">IFERROR(VLOOKUP("i"&amp;RIGHT(("00"&amp;(H$2+$A40)),3),Input!$B$3:$C$217,2,FALSE()),"")</f>
        <v/>
      </c>
      <c r="I40" s="139" t="str">
        <f aca="false">IFERROR(VLOOKUP("i"&amp;RIGHT(("00"&amp;(I$2+$A40)),3),Input!$B$3:$C$217,2,FALSE()),"")</f>
        <v/>
      </c>
      <c r="J40" s="139" t="str">
        <f aca="false">IFERROR(VLOOKUP("i"&amp;RIGHT(("00"&amp;(J$2+$A40)),3),Input!$B$3:$C$217,2,FALSE()),"")</f>
        <v/>
      </c>
      <c r="K40" s="139" t="str">
        <f aca="false">IFERROR(VLOOKUP("i"&amp;RIGHT(("00"&amp;(K$2+$A40)),3),Input!$B$3:$C$217,2,FALSE()),"")</f>
        <v>暖機運転せずに走行する</v>
      </c>
    </row>
    <row r="41" customFormat="false" ht="11.25" hidden="false" customHeight="false" outlineLevel="0" collapsed="false">
      <c r="A41" s="129" t="n">
        <v>39</v>
      </c>
      <c r="B41" s="139" t="str">
        <f aca="false">IFERROR(VLOOKUP("i"&amp;RIGHT(("00"&amp;(B$2+$A41)),3),Input!$B$3:$C$217,2,FALSE()),"")</f>
        <v/>
      </c>
      <c r="C41" s="139" t="str">
        <f aca="false">IFERROR(VLOOKUP("i"&amp;RIGHT(("00"&amp;(C$2+$A41)),3),Input!$B$3:$C$217,2,FALSE()),"")</f>
        <v/>
      </c>
      <c r="D41" s="139" t="str">
        <f aca="false">IFERROR(VLOOKUP("i"&amp;RIGHT(("00"&amp;(D$2+$A41)),3),Input!$B$3:$C$217,2,FALSE()),"")</f>
        <v>吹き抜け</v>
      </c>
      <c r="E41" s="139" t="str">
        <f aca="false">IFERROR(VLOOKUP("i"&amp;RIGHT(("00"&amp;(E$2+$A41)),3),Input!$B$3:$C$217,2,FALSE()),"")</f>
        <v/>
      </c>
      <c r="F41" s="139" t="str">
        <f aca="false">IFERROR(VLOOKUP("i"&amp;RIGHT(("00"&amp;(F$2+$A41)),3),Input!$B$3:$C$217,2,FALSE()),"")</f>
        <v/>
      </c>
      <c r="G41" s="139" t="str">
        <f aca="false">IFERROR(VLOOKUP("i"&amp;RIGHT(("00"&amp;(G$2+$A41)),3),Input!$B$3:$C$217,2,FALSE()),"")</f>
        <v/>
      </c>
      <c r="H41" s="139" t="str">
        <f aca="false">IFERROR(VLOOKUP("i"&amp;RIGHT(("00"&amp;(H$2+$A41)),3),Input!$B$3:$C$217,2,FALSE()),"")</f>
        <v/>
      </c>
      <c r="I41" s="139" t="str">
        <f aca="false">IFERROR(VLOOKUP("i"&amp;RIGHT(("00"&amp;(I$2+$A41)),3),Input!$B$3:$C$217,2,FALSE()),"")</f>
        <v/>
      </c>
      <c r="J41" s="139" t="str">
        <f aca="false">IFERROR(VLOOKUP("i"&amp;RIGHT(("00"&amp;(J$2+$A41)),3),Input!$B$3:$C$217,2,FALSE()),"")</f>
        <v/>
      </c>
      <c r="K41" s="139" t="str">
        <f aca="false">IFERROR(VLOOKUP("i"&amp;RIGHT(("00"&amp;(K$2+$A41)),3),Input!$B$3:$C$217,2,FALSE()),"")</f>
        <v>タイヤの空気圧のチェック</v>
      </c>
    </row>
    <row r="42" customFormat="false" ht="11.25" hidden="false" customHeight="false" outlineLevel="0" collapsed="false">
      <c r="A42" s="129" t="n">
        <v>40</v>
      </c>
      <c r="B42" s="139" t="str">
        <f aca="false">IFERROR(VLOOKUP("i"&amp;RIGHT(("00"&amp;(B$2+$A42)),3),Input!$B$3:$C$217,2,FALSE()),"")</f>
        <v/>
      </c>
      <c r="C42" s="139" t="str">
        <f aca="false">IFERROR(VLOOKUP("i"&amp;RIGHT(("00"&amp;(C$2+$A42)),3),Input!$B$3:$C$217,2,FALSE()),"")</f>
        <v/>
      </c>
      <c r="D42" s="139" t="str">
        <f aca="false">IFERROR(VLOOKUP("i"&amp;RIGHT(("00"&amp;(D$2+$A42)),3),Input!$B$3:$C$217,2,FALSE()),"")</f>
        <v>部屋のしきりによる暖房面積の削減</v>
      </c>
      <c r="E42" s="139" t="str">
        <f aca="false">IFERROR(VLOOKUP("i"&amp;RIGHT(("00"&amp;(E$2+$A42)),3),Input!$B$3:$C$217,2,FALSE()),"")</f>
        <v/>
      </c>
      <c r="F42" s="139" t="str">
        <f aca="false">IFERROR(VLOOKUP("i"&amp;RIGHT(("00"&amp;(F$2+$A42)),3),Input!$B$3:$C$217,2,FALSE()),"")</f>
        <v/>
      </c>
      <c r="G42" s="139" t="str">
        <f aca="false">IFERROR(VLOOKUP("i"&amp;RIGHT(("00"&amp;(G$2+$A42)),3),Input!$B$3:$C$217,2,FALSE()),"")</f>
        <v/>
      </c>
      <c r="H42" s="139" t="str">
        <f aca="false">IFERROR(VLOOKUP("i"&amp;RIGHT(("00"&amp;(H$2+$A42)),3),Input!$B$3:$C$217,2,FALSE()),"")</f>
        <v/>
      </c>
      <c r="I42" s="139" t="str">
        <f aca="false">IFERROR(VLOOKUP("i"&amp;RIGHT(("00"&amp;(I$2+$A42)),3),Input!$B$3:$C$217,2,FALSE()),"")</f>
        <v/>
      </c>
      <c r="J42" s="139" t="str">
        <f aca="false">IFERROR(VLOOKUP("i"&amp;RIGHT(("00"&amp;(J$2+$A42)),3),Input!$B$3:$C$217,2,FALSE()),"")</f>
        <v/>
      </c>
      <c r="K42" s="139" t="str">
        <f aca="false">IFERROR(VLOOKUP("i"&amp;RIGHT(("00"&amp;(K$2+$A42)),3),Input!$B$3:$C$217,2,FALSE()),"")</f>
        <v/>
      </c>
    </row>
    <row r="43" customFormat="false" ht="11.25" hidden="false" customHeight="false" outlineLevel="0" collapsed="false">
      <c r="A43" s="129" t="n">
        <v>41</v>
      </c>
      <c r="B43" s="139" t="str">
        <f aca="false">IFERROR(VLOOKUP("i"&amp;RIGHT(("00"&amp;(B$2+$A43)),3),Input!$B$3:$C$217,2,FALSE()),"")</f>
        <v>窓の断熱性能</v>
      </c>
      <c r="C43" s="139" t="str">
        <f aca="false">IFERROR(VLOOKUP("i"&amp;RIGHT(("00"&amp;(C$2+$A43)),3),Input!$B$3:$C$217,2,FALSE()),"")</f>
        <v/>
      </c>
      <c r="D43" s="139" t="str">
        <f aca="false">IFERROR(VLOOKUP("i"&amp;RIGHT(("00"&amp;(D$2+$A43)),3),Input!$B$3:$C$217,2,FALSE()),"")</f>
        <v>電気ストーブの使用時間</v>
      </c>
      <c r="E43" s="139" t="str">
        <f aca="false">IFERROR(VLOOKUP("i"&amp;RIGHT(("00"&amp;(E$2+$A43)),3),Input!$B$3:$C$217,2,FALSE()),"")</f>
        <v/>
      </c>
      <c r="F43" s="139" t="str">
        <f aca="false">IFERROR(VLOOKUP("i"&amp;RIGHT(("00"&amp;(F$2+$A43)),3),Input!$B$3:$C$217,2,FALSE()),"")</f>
        <v/>
      </c>
      <c r="G43" s="139" t="str">
        <f aca="false">IFERROR(VLOOKUP("i"&amp;RIGHT(("00"&amp;(G$2+$A43)),3),Input!$B$3:$C$217,2,FALSE()),"")</f>
        <v/>
      </c>
      <c r="H43" s="139" t="str">
        <f aca="false">IFERROR(VLOOKUP("i"&amp;RIGHT(("00"&amp;(H$2+$A43)),3),Input!$B$3:$C$217,2,FALSE()),"")</f>
        <v/>
      </c>
      <c r="I43" s="139" t="str">
        <f aca="false">IFERROR(VLOOKUP("i"&amp;RIGHT(("00"&amp;(I$2+$A43)),3),Input!$B$3:$C$217,2,FALSE()),"")</f>
        <v/>
      </c>
      <c r="J43" s="139" t="str">
        <f aca="false">IFERROR(VLOOKUP("i"&amp;RIGHT(("00"&amp;(J$2+$A43)),3),Input!$B$3:$C$217,2,FALSE()),"")</f>
        <v/>
      </c>
      <c r="K43" s="139" t="str">
        <f aca="false">IFERROR(VLOOKUP("i"&amp;RIGHT(("00"&amp;(K$2+$A43)),3),Input!$B$3:$C$217,2,FALSE()),"")</f>
        <v>ガソリン車</v>
      </c>
    </row>
    <row r="44" customFormat="false" ht="11.25" hidden="false" customHeight="false" outlineLevel="0" collapsed="false">
      <c r="A44" s="129" t="n">
        <v>42</v>
      </c>
      <c r="B44" s="139" t="str">
        <f aca="false">IFERROR(VLOOKUP("i"&amp;RIGHT(("00"&amp;(B$2+$A44)),3),Input!$B$3:$C$217,2,FALSE()),"")</f>
        <v>壁面の断熱材の厚さ</v>
      </c>
      <c r="C44" s="139" t="str">
        <f aca="false">IFERROR(VLOOKUP("i"&amp;RIGHT(("00"&amp;(C$2+$A44)),3),Input!$B$3:$C$217,2,FALSE()),"")</f>
        <v/>
      </c>
      <c r="D44" s="139" t="str">
        <f aca="false">IFERROR(VLOOKUP("i"&amp;RIGHT(("00"&amp;(D$2+$A44)),3),Input!$B$3:$C$217,2,FALSE()),"")</f>
        <v>部屋の寒さ</v>
      </c>
      <c r="E44" s="139" t="str">
        <f aca="false">IFERROR(VLOOKUP("i"&amp;RIGHT(("00"&amp;(E$2+$A44)),3),Input!$B$3:$C$217,2,FALSE()),"")</f>
        <v/>
      </c>
      <c r="F44" s="139" t="str">
        <f aca="false">IFERROR(VLOOKUP("i"&amp;RIGHT(("00"&amp;(F$2+$A44)),3),Input!$B$3:$C$217,2,FALSE()),"")</f>
        <v/>
      </c>
      <c r="G44" s="139" t="str">
        <f aca="false">IFERROR(VLOOKUP("i"&amp;RIGHT(("00"&amp;(G$2+$A44)),3),Input!$B$3:$C$217,2,FALSE()),"")</f>
        <v/>
      </c>
      <c r="H44" s="139" t="str">
        <f aca="false">IFERROR(VLOOKUP("i"&amp;RIGHT(("00"&amp;(H$2+$A44)),3),Input!$B$3:$C$217,2,FALSE()),"")</f>
        <v/>
      </c>
      <c r="I44" s="139" t="str">
        <f aca="false">IFERROR(VLOOKUP("i"&amp;RIGHT(("00"&amp;(I$2+$A44)),3),Input!$B$3:$C$217,2,FALSE()),"")</f>
        <v/>
      </c>
      <c r="J44" s="139" t="str">
        <f aca="false">IFERROR(VLOOKUP("i"&amp;RIGHT(("00"&amp;(J$2+$A44)),3),Input!$B$3:$C$217,2,FALSE()),"")</f>
        <v/>
      </c>
      <c r="K44" s="139" t="str">
        <f aca="false">IFERROR(VLOOKUP("i"&amp;RIGHT(("00"&amp;(K$2+$A44)),3),Input!$B$3:$C$217,2,FALSE()),"")</f>
        <v>ハイブリッド車</v>
      </c>
    </row>
    <row r="45" customFormat="false" ht="11.25" hidden="false" customHeight="false" outlineLevel="0" collapsed="false">
      <c r="A45" s="129" t="n">
        <v>43</v>
      </c>
      <c r="B45" s="139" t="str">
        <f aca="false">IFERROR(VLOOKUP("i"&amp;RIGHT(("00"&amp;(B$2+$A45)),3),Input!$B$3:$C$217,2,FALSE()),"")</f>
        <v>窓の断熱リフォーム</v>
      </c>
      <c r="C45" s="139" t="str">
        <f aca="false">IFERROR(VLOOKUP("i"&amp;RIGHT(("00"&amp;(C$2+$A45)),3),Input!$B$3:$C$217,2,FALSE()),"")</f>
        <v/>
      </c>
      <c r="D45" s="139" t="str">
        <f aca="false">IFERROR(VLOOKUP("i"&amp;RIGHT(("00"&amp;(D$2+$A45)),3),Input!$B$3:$C$217,2,FALSE()),"")</f>
        <v>窓の結露の有無</v>
      </c>
      <c r="E45" s="139" t="str">
        <f aca="false">IFERROR(VLOOKUP("i"&amp;RIGHT(("00"&amp;(E$2+$A45)),3),Input!$B$3:$C$217,2,FALSE()),"")</f>
        <v/>
      </c>
      <c r="F45" s="139" t="str">
        <f aca="false">IFERROR(VLOOKUP("i"&amp;RIGHT(("00"&amp;(F$2+$A45)),3),Input!$B$3:$C$217,2,FALSE()),"")</f>
        <v/>
      </c>
      <c r="G45" s="139" t="str">
        <f aca="false">IFERROR(VLOOKUP("i"&amp;RIGHT(("00"&amp;(G$2+$A45)),3),Input!$B$3:$C$217,2,FALSE()),"")</f>
        <v/>
      </c>
      <c r="H45" s="139" t="str">
        <f aca="false">IFERROR(VLOOKUP("i"&amp;RIGHT(("00"&amp;(H$2+$A45)),3),Input!$B$3:$C$217,2,FALSE()),"")</f>
        <v/>
      </c>
      <c r="I45" s="139" t="str">
        <f aca="false">IFERROR(VLOOKUP("i"&amp;RIGHT(("00"&amp;(I$2+$A45)),3),Input!$B$3:$C$217,2,FALSE()),"")</f>
        <v/>
      </c>
      <c r="J45" s="139" t="str">
        <f aca="false">IFERROR(VLOOKUP("i"&amp;RIGHT(("00"&amp;(J$2+$A45)),3),Input!$B$3:$C$217,2,FALSE()),"")</f>
        <v/>
      </c>
      <c r="K45" s="139" t="str">
        <f aca="false">IFERROR(VLOOKUP("i"&amp;RIGHT(("00"&amp;(K$2+$A45)),3),Input!$B$3:$C$217,2,FALSE()),"")</f>
        <v>電気自動車</v>
      </c>
    </row>
    <row r="46" customFormat="false" ht="11.25" hidden="false" customHeight="false" outlineLevel="0" collapsed="false">
      <c r="A46" s="129" t="n">
        <v>44</v>
      </c>
      <c r="B46" s="139" t="str">
        <f aca="false">IFERROR(VLOOKUP("i"&amp;RIGHT(("00"&amp;(B$2+$A46)),3),Input!$B$3:$C$217,2,FALSE()),"")</f>
        <v>壁天井断熱リフォーム</v>
      </c>
      <c r="C46" s="139" t="str">
        <f aca="false">IFERROR(VLOOKUP("i"&amp;RIGHT(("00"&amp;(C$2+$A46)),3),Input!$B$3:$C$217,2,FALSE()),"")</f>
        <v/>
      </c>
      <c r="D46" s="139" t="str">
        <f aca="false">IFERROR(VLOOKUP("i"&amp;RIGHT(("00"&amp;(D$2+$A46)),3),Input!$B$3:$C$217,2,FALSE()),"")</f>
        <v>押入れなどの壁面の結露</v>
      </c>
      <c r="E46" s="139" t="str">
        <f aca="false">IFERROR(VLOOKUP("i"&amp;RIGHT(("00"&amp;(E$2+$A46)),3),Input!$B$3:$C$217,2,FALSE()),"")</f>
        <v/>
      </c>
      <c r="F46" s="139" t="str">
        <f aca="false">IFERROR(VLOOKUP("i"&amp;RIGHT(("00"&amp;(F$2+$A46)),3),Input!$B$3:$C$217,2,FALSE()),"")</f>
        <v/>
      </c>
      <c r="G46" s="139" t="str">
        <f aca="false">IFERROR(VLOOKUP("i"&amp;RIGHT(("00"&amp;(G$2+$A46)),3),Input!$B$3:$C$217,2,FALSE()),"")</f>
        <v/>
      </c>
      <c r="H46" s="139" t="str">
        <f aca="false">IFERROR(VLOOKUP("i"&amp;RIGHT(("00"&amp;(H$2+$A46)),3),Input!$B$3:$C$217,2,FALSE()),"")</f>
        <v/>
      </c>
      <c r="I46" s="139" t="str">
        <f aca="false">IFERROR(VLOOKUP("i"&amp;RIGHT(("00"&amp;(I$2+$A46)),3),Input!$B$3:$C$217,2,FALSE()),"")</f>
        <v/>
      </c>
      <c r="J46" s="139" t="str">
        <f aca="false">IFERROR(VLOOKUP("i"&amp;RIGHT(("00"&amp;(J$2+$A46)),3),Input!$B$3:$C$217,2,FALSE()),"")</f>
        <v/>
      </c>
      <c r="K46" s="139" t="str">
        <f aca="false">IFERROR(VLOOKUP("i"&amp;RIGHT(("00"&amp;(K$2+$A46)),3),Input!$B$3:$C$217,2,FALSE()),"")</f>
        <v/>
      </c>
    </row>
    <row r="47" customFormat="false" ht="11.25" hidden="false" customHeight="false" outlineLevel="0" collapsed="false">
      <c r="A47" s="129" t="n">
        <v>45</v>
      </c>
      <c r="B47" s="139" t="str">
        <f aca="false">IFERROR(VLOOKUP("i"&amp;RIGHT(("00"&amp;(B$2+$A47)),3),Input!$B$3:$C$217,2,FALSE()),"")</f>
        <v/>
      </c>
      <c r="C47" s="139" t="str">
        <f aca="false">IFERROR(VLOOKUP("i"&amp;RIGHT(("00"&amp;(C$2+$A47)),3),Input!$B$3:$C$217,2,FALSE()),"")</f>
        <v/>
      </c>
      <c r="D47" s="139" t="str">
        <f aca="false">IFERROR(VLOOKUP("i"&amp;RIGHT(("00"&amp;(D$2+$A47)),3),Input!$B$3:$C$217,2,FALSE()),"")</f>
        <v>朝方寒さを感じること</v>
      </c>
      <c r="E47" s="139" t="str">
        <f aca="false">IFERROR(VLOOKUP("i"&amp;RIGHT(("00"&amp;(E$2+$A47)),3),Input!$B$3:$C$217,2,FALSE()),"")</f>
        <v/>
      </c>
      <c r="F47" s="139" t="str">
        <f aca="false">IFERROR(VLOOKUP("i"&amp;RIGHT(("00"&amp;(F$2+$A47)),3),Input!$B$3:$C$217,2,FALSE()),"")</f>
        <v/>
      </c>
      <c r="G47" s="139" t="str">
        <f aca="false">IFERROR(VLOOKUP("i"&amp;RIGHT(("00"&amp;(G$2+$A47)),3),Input!$B$3:$C$217,2,FALSE()),"")</f>
        <v/>
      </c>
      <c r="H47" s="139" t="str">
        <f aca="false">IFERROR(VLOOKUP("i"&amp;RIGHT(("00"&amp;(H$2+$A47)),3),Input!$B$3:$C$217,2,FALSE()),"")</f>
        <v/>
      </c>
      <c r="I47" s="139" t="str">
        <f aca="false">IFERROR(VLOOKUP("i"&amp;RIGHT(("00"&amp;(I$2+$A47)),3),Input!$B$3:$C$217,2,FALSE()),"")</f>
        <v/>
      </c>
      <c r="J47" s="139" t="str">
        <f aca="false">IFERROR(VLOOKUP("i"&amp;RIGHT(("00"&amp;(J$2+$A47)),3),Input!$B$3:$C$217,2,FALSE()),"")</f>
        <v/>
      </c>
      <c r="K47" s="139" t="str">
        <f aca="false">IFERROR(VLOOKUP("i"&amp;RIGHT(("00"&amp;(K$2+$A47)),3),Input!$B$3:$C$217,2,FALSE()),"")</f>
        <v/>
      </c>
    </row>
    <row r="48" customFormat="false" ht="11.25" hidden="false" customHeight="false" outlineLevel="0" collapsed="false">
      <c r="A48" s="129" t="n">
        <v>46</v>
      </c>
      <c r="B48" s="139" t="str">
        <f aca="false">IFERROR(VLOOKUP("i"&amp;RIGHT(("00"&amp;(B$2+$A48)),3),Input!$B$3:$C$217,2,FALSE()),"")</f>
        <v/>
      </c>
      <c r="C48" s="139" t="str">
        <f aca="false">IFERROR(VLOOKUP("i"&amp;RIGHT(("00"&amp;(C$2+$A48)),3),Input!$B$3:$C$217,2,FALSE()),"")</f>
        <v/>
      </c>
      <c r="D48" s="139" t="str">
        <f aca="false">IFERROR(VLOOKUP("i"&amp;RIGHT(("00"&amp;(D$2+$A48)),3),Input!$B$3:$C$217,2,FALSE()),"")</f>
        <v>朝方の寒さが始まる時期</v>
      </c>
      <c r="E48" s="139" t="str">
        <f aca="false">IFERROR(VLOOKUP("i"&amp;RIGHT(("00"&amp;(E$2+$A48)),3),Input!$B$3:$C$217,2,FALSE()),"")</f>
        <v/>
      </c>
      <c r="F48" s="139" t="str">
        <f aca="false">IFERROR(VLOOKUP("i"&amp;RIGHT(("00"&amp;(F$2+$A48)),3),Input!$B$3:$C$217,2,FALSE()),"")</f>
        <v/>
      </c>
      <c r="G48" s="139" t="str">
        <f aca="false">IFERROR(VLOOKUP("i"&amp;RIGHT(("00"&amp;(G$2+$A48)),3),Input!$B$3:$C$217,2,FALSE()),"")</f>
        <v/>
      </c>
      <c r="H48" s="139" t="str">
        <f aca="false">IFERROR(VLOOKUP("i"&amp;RIGHT(("00"&amp;(H$2+$A48)),3),Input!$B$3:$C$217,2,FALSE()),"")</f>
        <v/>
      </c>
      <c r="I48" s="139" t="str">
        <f aca="false">IFERROR(VLOOKUP("i"&amp;RIGHT(("00"&amp;(I$2+$A48)),3),Input!$B$3:$C$217,2,FALSE()),"")</f>
        <v/>
      </c>
      <c r="J48" s="139" t="str">
        <f aca="false">IFERROR(VLOOKUP("i"&amp;RIGHT(("00"&amp;(J$2+$A48)),3),Input!$B$3:$C$217,2,FALSE()),"")</f>
        <v/>
      </c>
      <c r="K48" s="139" t="str">
        <f aca="false">IFERROR(VLOOKUP("i"&amp;RIGHT(("00"&amp;(K$2+$A48)),3),Input!$B$3:$C$217,2,FALSE()),"")</f>
        <v/>
      </c>
    </row>
    <row r="49" customFormat="false" ht="11.25" hidden="false" customHeight="false" outlineLevel="0" collapsed="false">
      <c r="A49" s="129" t="n">
        <v>47</v>
      </c>
      <c r="B49" s="139" t="str">
        <f aca="false">IFERROR(VLOOKUP("i"&amp;RIGHT(("00"&amp;(B$2+$A49)),3),Input!$B$3:$C$217,2,FALSE()),"")</f>
        <v/>
      </c>
      <c r="C49" s="139" t="str">
        <f aca="false">IFERROR(VLOOKUP("i"&amp;RIGHT(("00"&amp;(C$2+$A49)),3),Input!$B$3:$C$217,2,FALSE()),"")</f>
        <v/>
      </c>
      <c r="D49" s="139" t="str">
        <f aca="false">IFERROR(VLOOKUP("i"&amp;RIGHT(("00"&amp;(D$2+$A49)),3),Input!$B$3:$C$217,2,FALSE()),"")</f>
        <v>朝方の寒さが終わる時期</v>
      </c>
      <c r="E49" s="139" t="str">
        <f aca="false">IFERROR(VLOOKUP("i"&amp;RIGHT(("00"&amp;(E$2+$A49)),3),Input!$B$3:$C$217,2,FALSE()),"")</f>
        <v/>
      </c>
      <c r="F49" s="139" t="str">
        <f aca="false">IFERROR(VLOOKUP("i"&amp;RIGHT(("00"&amp;(F$2+$A49)),3),Input!$B$3:$C$217,2,FALSE()),"")</f>
        <v/>
      </c>
      <c r="G49" s="139" t="str">
        <f aca="false">IFERROR(VLOOKUP("i"&amp;RIGHT(("00"&amp;(G$2+$A49)),3),Input!$B$3:$C$217,2,FALSE()),"")</f>
        <v/>
      </c>
      <c r="H49" s="139" t="str">
        <f aca="false">IFERROR(VLOOKUP("i"&amp;RIGHT(("00"&amp;(H$2+$A49)),3),Input!$B$3:$C$217,2,FALSE()),"")</f>
        <v/>
      </c>
      <c r="I49" s="139" t="str">
        <f aca="false">IFERROR(VLOOKUP("i"&amp;RIGHT(("00"&amp;(I$2+$A49)),3),Input!$B$3:$C$217,2,FALSE()),"")</f>
        <v/>
      </c>
      <c r="J49" s="139" t="str">
        <f aca="false">IFERROR(VLOOKUP("i"&amp;RIGHT(("00"&amp;(J$2+$A49)),3),Input!$B$3:$C$217,2,FALSE()),"")</f>
        <v/>
      </c>
      <c r="K49" s="139" t="str">
        <f aca="false">IFERROR(VLOOKUP("i"&amp;RIGHT(("00"&amp;(K$2+$A49)),3),Input!$B$3:$C$217,2,FALSE()),"")</f>
        <v/>
      </c>
    </row>
    <row r="50" customFormat="false" ht="11.25" hidden="false" customHeight="false" outlineLevel="0" collapsed="false">
      <c r="A50" s="129" t="n">
        <v>48</v>
      </c>
      <c r="B50" s="139" t="str">
        <f aca="false">IFERROR(VLOOKUP("i"&amp;RIGHT(("00"&amp;(B$2+$A50)),3),Input!$B$3:$C$217,2,FALSE()),"")</f>
        <v/>
      </c>
      <c r="C50" s="139" t="str">
        <f aca="false">IFERROR(VLOOKUP("i"&amp;RIGHT(("00"&amp;(C$2+$A50)),3),Input!$B$3:$C$217,2,FALSE()),"")</f>
        <v/>
      </c>
      <c r="D50" s="139" t="str">
        <f aca="false">IFERROR(VLOOKUP("i"&amp;RIGHT(("00"&amp;(D$2+$A50)),3),Input!$B$3:$C$217,2,FALSE()),"")</f>
        <v>厚着の工夫</v>
      </c>
      <c r="E50" s="139" t="str">
        <f aca="false">IFERROR(VLOOKUP("i"&amp;RIGHT(("00"&amp;(E$2+$A50)),3),Input!$B$3:$C$217,2,FALSE()),"")</f>
        <v/>
      </c>
      <c r="F50" s="139" t="str">
        <f aca="false">IFERROR(VLOOKUP("i"&amp;RIGHT(("00"&amp;(F$2+$A50)),3),Input!$B$3:$C$217,2,FALSE()),"")</f>
        <v/>
      </c>
      <c r="G50" s="139" t="str">
        <f aca="false">IFERROR(VLOOKUP("i"&amp;RIGHT(("00"&amp;(G$2+$A50)),3),Input!$B$3:$C$217,2,FALSE()),"")</f>
        <v/>
      </c>
      <c r="H50" s="139" t="str">
        <f aca="false">IFERROR(VLOOKUP("i"&amp;RIGHT(("00"&amp;(H$2+$A50)),3),Input!$B$3:$C$217,2,FALSE()),"")</f>
        <v/>
      </c>
      <c r="I50" s="139" t="str">
        <f aca="false">IFERROR(VLOOKUP("i"&amp;RIGHT(("00"&amp;(I$2+$A50)),3),Input!$B$3:$C$217,2,FALSE()),"")</f>
        <v/>
      </c>
      <c r="J50" s="139" t="str">
        <f aca="false">IFERROR(VLOOKUP("i"&amp;RIGHT(("00"&amp;(J$2+$A50)),3),Input!$B$3:$C$217,2,FALSE()),"")</f>
        <v/>
      </c>
      <c r="K50" s="139" t="str">
        <f aca="false">IFERROR(VLOOKUP("i"&amp;RIGHT(("00"&amp;(K$2+$A50)),3),Input!$B$3:$C$217,2,FALSE()),"")</f>
        <v/>
      </c>
    </row>
    <row r="51" customFormat="false" ht="11.25" hidden="false" customHeight="false" outlineLevel="0" collapsed="false">
      <c r="A51" s="129" t="n">
        <v>49</v>
      </c>
      <c r="B51" s="139" t="str">
        <f aca="false">IFERROR(VLOOKUP("i"&amp;RIGHT(("00"&amp;(B$2+$A51)),3),Input!$B$3:$C$217,2,FALSE()),"")</f>
        <v/>
      </c>
      <c r="C51" s="139" t="str">
        <f aca="false">IFERROR(VLOOKUP("i"&amp;RIGHT(("00"&amp;(C$2+$A51)),3),Input!$B$3:$C$217,2,FALSE()),"")</f>
        <v/>
      </c>
      <c r="D51" s="139" t="str">
        <f aca="false">IFERROR(VLOOKUP("i"&amp;RIGHT(("00"&amp;(D$2+$A51)),3),Input!$B$3:$C$217,2,FALSE()),"")</f>
        <v>不在部屋の暖房</v>
      </c>
      <c r="E51" s="139" t="str">
        <f aca="false">IFERROR(VLOOKUP("i"&amp;RIGHT(("00"&amp;(E$2+$A51)),3),Input!$B$3:$C$217,2,FALSE()),"")</f>
        <v/>
      </c>
      <c r="F51" s="139" t="str">
        <f aca="false">IFERROR(VLOOKUP("i"&amp;RIGHT(("00"&amp;(F$2+$A51)),3),Input!$B$3:$C$217,2,FALSE()),"")</f>
        <v/>
      </c>
      <c r="G51" s="139" t="str">
        <f aca="false">IFERROR(VLOOKUP("i"&amp;RIGHT(("00"&amp;(G$2+$A51)),3),Input!$B$3:$C$217,2,FALSE()),"")</f>
        <v/>
      </c>
      <c r="H51" s="139" t="str">
        <f aca="false">IFERROR(VLOOKUP("i"&amp;RIGHT(("00"&amp;(H$2+$A51)),3),Input!$B$3:$C$217,2,FALSE()),"")</f>
        <v/>
      </c>
      <c r="I51" s="139" t="str">
        <f aca="false">IFERROR(VLOOKUP("i"&amp;RIGHT(("00"&amp;(I$2+$A51)),3),Input!$B$3:$C$217,2,FALSE()),"")</f>
        <v/>
      </c>
      <c r="J51" s="139" t="str">
        <f aca="false">IFERROR(VLOOKUP("i"&amp;RIGHT(("00"&amp;(J$2+$A51)),3),Input!$B$3:$C$217,2,FALSE()),"")</f>
        <v/>
      </c>
      <c r="K51" s="139" t="str">
        <f aca="false">IFERROR(VLOOKUP("i"&amp;RIGHT(("00"&amp;(K$2+$A51)),3),Input!$B$3:$C$217,2,FALSE()),"")</f>
        <v/>
      </c>
    </row>
    <row r="52" customFormat="false" ht="11.25" hidden="false" customHeight="false" outlineLevel="0" collapsed="false">
      <c r="A52" s="129" t="n">
        <v>50</v>
      </c>
      <c r="B52" s="139" t="str">
        <f aca="false">IFERROR(VLOOKUP("i"&amp;RIGHT(("00"&amp;(B$2+$A52)),3),Input!$B$3:$C$217,2,FALSE()),"")</f>
        <v/>
      </c>
      <c r="C52" s="139" t="str">
        <f aca="false">IFERROR(VLOOKUP("i"&amp;RIGHT(("00"&amp;(C$2+$A52)),3),Input!$B$3:$C$217,2,FALSE()),"")</f>
        <v/>
      </c>
      <c r="D52" s="139" t="str">
        <f aca="false">IFERROR(VLOOKUP("i"&amp;RIGHT(("00"&amp;(D$2+$A52)),3),Input!$B$3:$C$217,2,FALSE()),"")</f>
        <v/>
      </c>
      <c r="E52" s="139" t="str">
        <f aca="false">IFERROR(VLOOKUP("i"&amp;RIGHT(("00"&amp;(E$2+$A52)),3),Input!$B$3:$C$217,2,FALSE()),"")</f>
        <v/>
      </c>
      <c r="F52" s="139" t="str">
        <f aca="false">IFERROR(VLOOKUP("i"&amp;RIGHT(("00"&amp;(F$2+$A52)),3),Input!$B$3:$C$217,2,FALSE()),"")</f>
        <v/>
      </c>
      <c r="G52" s="139" t="str">
        <f aca="false">IFERROR(VLOOKUP("i"&amp;RIGHT(("00"&amp;(G$2+$A52)),3),Input!$B$3:$C$217,2,FALSE()),"")</f>
        <v/>
      </c>
      <c r="H52" s="139" t="str">
        <f aca="false">IFERROR(VLOOKUP("i"&amp;RIGHT(("00"&amp;(H$2+$A52)),3),Input!$B$3:$C$217,2,FALSE()),"")</f>
        <v/>
      </c>
      <c r="I52" s="139" t="str">
        <f aca="false">IFERROR(VLOOKUP("i"&amp;RIGHT(("00"&amp;(I$2+$A52)),3),Input!$B$3:$C$217,2,FALSE()),"")</f>
        <v/>
      </c>
      <c r="J52" s="139" t="str">
        <f aca="false">IFERROR(VLOOKUP("i"&amp;RIGHT(("00"&amp;(J$2+$A52)),3),Input!$B$3:$C$217,2,FALSE()),"")</f>
        <v/>
      </c>
      <c r="K52" s="139" t="str">
        <f aca="false">IFERROR(VLOOKUP("i"&amp;RIGHT(("00"&amp;(K$2+$A52)),3),Input!$B$3:$C$217,2,FALSE()),"")</f>
        <v/>
      </c>
    </row>
    <row r="53" customFormat="false" ht="11.25" hidden="false" customHeight="false" outlineLevel="0" collapsed="false">
      <c r="A53" s="129" t="n">
        <v>51</v>
      </c>
      <c r="B53" s="139" t="str">
        <f aca="false">IFERROR(VLOOKUP("i"&amp;RIGHT(("00"&amp;(B$2+$A53)),3),Input!$B$3:$C$217,2,FALSE()),"")</f>
        <v>太陽光発電の設置</v>
      </c>
      <c r="C53" s="139" t="str">
        <f aca="false">IFERROR(VLOOKUP("i"&amp;RIGHT(("00"&amp;(C$2+$A53)),3),Input!$B$3:$C$217,2,FALSE()),"")</f>
        <v/>
      </c>
      <c r="D53" s="139" t="str">
        <f aca="false">IFERROR(VLOOKUP("i"&amp;RIGHT(("00"&amp;(D$2+$A53)),3),Input!$B$3:$C$217,2,FALSE()),"")</f>
        <v/>
      </c>
      <c r="E53" s="139" t="str">
        <f aca="false">IFERROR(VLOOKUP("i"&amp;RIGHT(("00"&amp;(E$2+$A53)),3),Input!$B$3:$C$217,2,FALSE()),"")</f>
        <v/>
      </c>
      <c r="F53" s="139" t="str">
        <f aca="false">IFERROR(VLOOKUP("i"&amp;RIGHT(("00"&amp;(F$2+$A53)),3),Input!$B$3:$C$217,2,FALSE()),"")</f>
        <v/>
      </c>
      <c r="G53" s="139" t="str">
        <f aca="false">IFERROR(VLOOKUP("i"&amp;RIGHT(("00"&amp;(G$2+$A53)),3),Input!$B$3:$C$217,2,FALSE()),"")</f>
        <v/>
      </c>
      <c r="H53" s="139" t="str">
        <f aca="false">IFERROR(VLOOKUP("i"&amp;RIGHT(("00"&amp;(H$2+$A53)),3),Input!$B$3:$C$217,2,FALSE()),"")</f>
        <v/>
      </c>
      <c r="I53" s="139" t="str">
        <f aca="false">IFERROR(VLOOKUP("i"&amp;RIGHT(("00"&amp;(I$2+$A53)),3),Input!$B$3:$C$217,2,FALSE()),"")</f>
        <v/>
      </c>
      <c r="J53" s="139" t="str">
        <f aca="false">IFERROR(VLOOKUP("i"&amp;RIGHT(("00"&amp;(J$2+$A53)),3),Input!$B$3:$C$217,2,FALSE()),"")</f>
        <v/>
      </c>
      <c r="K53" s="139" t="str">
        <f aca="false">IFERROR(VLOOKUP("i"&amp;RIGHT(("00"&amp;(K$2+$A53)),3),Input!$B$3:$C$217,2,FALSE()),"")</f>
        <v>太陽光発電の設置可能容量</v>
      </c>
    </row>
    <row r="54" customFormat="false" ht="11.25" hidden="false" customHeight="false" outlineLevel="0" collapsed="false">
      <c r="A54" s="129" t="n">
        <v>52</v>
      </c>
      <c r="B54" s="139" t="str">
        <f aca="false">IFERROR(VLOOKUP("i"&amp;RIGHT(("00"&amp;(B$2+$A54)),3),Input!$B$3:$C$217,2,FALSE()),"")</f>
        <v>太陽光発電のサイズ</v>
      </c>
      <c r="C54" s="139" t="str">
        <f aca="false">IFERROR(VLOOKUP("i"&amp;RIGHT(("00"&amp;(C$2+$A54)),3),Input!$B$3:$C$217,2,FALSE()),"")</f>
        <v/>
      </c>
      <c r="D54" s="139" t="str">
        <f aca="false">IFERROR(VLOOKUP("i"&amp;RIGHT(("00"&amp;(D$2+$A54)),3),Input!$B$3:$C$217,2,FALSE()),"")</f>
        <v/>
      </c>
      <c r="E54" s="139" t="str">
        <f aca="false">IFERROR(VLOOKUP("i"&amp;RIGHT(("00"&amp;(E$2+$A54)),3),Input!$B$3:$C$217,2,FALSE()),"")</f>
        <v/>
      </c>
      <c r="F54" s="139" t="str">
        <f aca="false">IFERROR(VLOOKUP("i"&amp;RIGHT(("00"&amp;(F$2+$A54)),3),Input!$B$3:$C$217,2,FALSE()),"")</f>
        <v/>
      </c>
      <c r="G54" s="139" t="str">
        <f aca="false">IFERROR(VLOOKUP("i"&amp;RIGHT(("00"&amp;(G$2+$A54)),3),Input!$B$3:$C$217,2,FALSE()),"")</f>
        <v/>
      </c>
      <c r="H54" s="139" t="str">
        <f aca="false">IFERROR(VLOOKUP("i"&amp;RIGHT(("00"&amp;(H$2+$A54)),3),Input!$B$3:$C$217,2,FALSE()),"")</f>
        <v/>
      </c>
      <c r="I54" s="139" t="str">
        <f aca="false">IFERROR(VLOOKUP("i"&amp;RIGHT(("00"&amp;(I$2+$A54)),3),Input!$B$3:$C$217,2,FALSE()),"")</f>
        <v/>
      </c>
      <c r="J54" s="139" t="str">
        <f aca="false">IFERROR(VLOOKUP("i"&amp;RIGHT(("00"&amp;(J$2+$A54)),3),Input!$B$3:$C$217,2,FALSE()),"")</f>
        <v/>
      </c>
      <c r="K54" s="139" t="str">
        <f aca="false">IFERROR(VLOOKUP("i"&amp;RIGHT(("00"&amp;(K$2+$A54)),3),Input!$B$3:$C$217,2,FALSE()),"")</f>
        <v/>
      </c>
    </row>
    <row r="55" customFormat="false" ht="11.25" hidden="false" customHeight="false" outlineLevel="0" collapsed="false">
      <c r="A55" s="129" t="n">
        <v>53</v>
      </c>
      <c r="B55" s="139" t="str">
        <f aca="false">IFERROR(VLOOKUP("i"&amp;RIGHT(("00"&amp;(B$2+$A55)),3),Input!$B$3:$C$217,2,FALSE()),"")</f>
        <v>太陽光発電の設置年</v>
      </c>
      <c r="C55" s="139" t="str">
        <f aca="false">IFERROR(VLOOKUP("i"&amp;RIGHT(("00"&amp;(C$2+$A55)),3),Input!$B$3:$C$217,2,FALSE()),"")</f>
        <v/>
      </c>
      <c r="D55" s="139" t="str">
        <f aca="false">IFERROR(VLOOKUP("i"&amp;RIGHT(("00"&amp;(D$2+$A55)),3),Input!$B$3:$C$217,2,FALSE()),"")</f>
        <v/>
      </c>
      <c r="E55" s="139" t="str">
        <f aca="false">IFERROR(VLOOKUP("i"&amp;RIGHT(("00"&amp;(E$2+$A55)),3),Input!$B$3:$C$217,2,FALSE()),"")</f>
        <v/>
      </c>
      <c r="F55" s="139" t="str">
        <f aca="false">IFERROR(VLOOKUP("i"&amp;RIGHT(("00"&amp;(F$2+$A55)),3),Input!$B$3:$C$217,2,FALSE()),"")</f>
        <v/>
      </c>
      <c r="G55" s="139" t="str">
        <f aca="false">IFERROR(VLOOKUP("i"&amp;RIGHT(("00"&amp;(G$2+$A55)),3),Input!$B$3:$C$217,2,FALSE()),"")</f>
        <v/>
      </c>
      <c r="H55" s="139" t="str">
        <f aca="false">IFERROR(VLOOKUP("i"&amp;RIGHT(("00"&amp;(H$2+$A55)),3),Input!$B$3:$C$217,2,FALSE()),"")</f>
        <v/>
      </c>
      <c r="I55" s="139" t="str">
        <f aca="false">IFERROR(VLOOKUP("i"&amp;RIGHT(("00"&amp;(I$2+$A55)),3),Input!$B$3:$C$217,2,FALSE()),"")</f>
        <v/>
      </c>
      <c r="J55" s="139" t="str">
        <f aca="false">IFERROR(VLOOKUP("i"&amp;RIGHT(("00"&amp;(J$2+$A55)),3),Input!$B$3:$C$217,2,FALSE()),"")</f>
        <v/>
      </c>
      <c r="K55" s="139" t="str">
        <f aca="false">IFERROR(VLOOKUP("i"&amp;RIGHT(("00"&amp;(K$2+$A55)),3),Input!$B$3:$C$217,2,FALSE()),"")</f>
        <v/>
      </c>
    </row>
    <row r="56" customFormat="false" ht="11.25" hidden="false" customHeight="false" outlineLevel="0" collapsed="false">
      <c r="A56" s="129" t="n">
        <v>54</v>
      </c>
      <c r="B56" s="139" t="str">
        <f aca="false">IFERROR(VLOOKUP("i"&amp;RIGHT(("00"&amp;(B$2+$A56)),3),Input!$B$3:$C$217,2,FALSE()),"")</f>
        <v>灯油を使っていますか</v>
      </c>
      <c r="C56" s="139" t="str">
        <f aca="false">IFERROR(VLOOKUP("i"&amp;RIGHT(("00"&amp;(C$2+$A56)),3),Input!$B$3:$C$217,2,FALSE()),"")</f>
        <v/>
      </c>
      <c r="D56" s="139" t="str">
        <f aca="false">IFERROR(VLOOKUP("i"&amp;RIGHT(("00"&amp;(D$2+$A56)),3),Input!$B$3:$C$217,2,FALSE()),"")</f>
        <v/>
      </c>
      <c r="E56" s="139" t="str">
        <f aca="false">IFERROR(VLOOKUP("i"&amp;RIGHT(("00"&amp;(E$2+$A56)),3),Input!$B$3:$C$217,2,FALSE()),"")</f>
        <v/>
      </c>
      <c r="F56" s="139" t="str">
        <f aca="false">IFERROR(VLOOKUP("i"&amp;RIGHT(("00"&amp;(F$2+$A56)),3),Input!$B$3:$C$217,2,FALSE()),"")</f>
        <v/>
      </c>
      <c r="G56" s="139" t="str">
        <f aca="false">IFERROR(VLOOKUP("i"&amp;RIGHT(("00"&amp;(G$2+$A56)),3),Input!$B$3:$C$217,2,FALSE()),"")</f>
        <v/>
      </c>
      <c r="H56" s="139" t="str">
        <f aca="false">IFERROR(VLOOKUP("i"&amp;RIGHT(("00"&amp;(H$2+$A56)),3),Input!$B$3:$C$217,2,FALSE()),"")</f>
        <v/>
      </c>
      <c r="I56" s="139" t="str">
        <f aca="false">IFERROR(VLOOKUP("i"&amp;RIGHT(("00"&amp;(I$2+$A56)),3),Input!$B$3:$C$217,2,FALSE()),"")</f>
        <v/>
      </c>
      <c r="J56" s="139" t="str">
        <f aca="false">IFERROR(VLOOKUP("i"&amp;RIGHT(("00"&amp;(J$2+$A56)),3),Input!$B$3:$C$217,2,FALSE()),"")</f>
        <v/>
      </c>
      <c r="K56" s="139" t="str">
        <f aca="false">IFERROR(VLOOKUP("i"&amp;RIGHT(("00"&amp;(K$2+$A56)),3),Input!$B$3:$C$217,2,FALSE()),"")</f>
        <v/>
      </c>
    </row>
    <row r="57" customFormat="false" ht="11.25" hidden="false" customHeight="false" outlineLevel="0" collapsed="false">
      <c r="A57" s="129" t="n">
        <v>55</v>
      </c>
      <c r="B57" s="139" t="str">
        <f aca="false">IFERROR(VLOOKUP("i"&amp;RIGHT(("00"&amp;(B$2+$A57)),3),Input!$B$3:$C$217,2,FALSE()),"")</f>
        <v/>
      </c>
      <c r="C57" s="139" t="str">
        <f aca="false">IFERROR(VLOOKUP("i"&amp;RIGHT(("00"&amp;(C$2+$A57)),3),Input!$B$3:$C$217,2,FALSE()),"")</f>
        <v/>
      </c>
      <c r="D57" s="139" t="str">
        <f aca="false">IFERROR(VLOOKUP("i"&amp;RIGHT(("00"&amp;(D$2+$A57)),3),Input!$B$3:$C$217,2,FALSE()),"")</f>
        <v/>
      </c>
      <c r="E57" s="139" t="str">
        <f aca="false">IFERROR(VLOOKUP("i"&amp;RIGHT(("00"&amp;(E$2+$A57)),3),Input!$B$3:$C$217,2,FALSE()),"")</f>
        <v/>
      </c>
      <c r="F57" s="139" t="str">
        <f aca="false">IFERROR(VLOOKUP("i"&amp;RIGHT(("00"&amp;(F$2+$A57)),3),Input!$B$3:$C$217,2,FALSE()),"")</f>
        <v/>
      </c>
      <c r="G57" s="139" t="str">
        <f aca="false">IFERROR(VLOOKUP("i"&amp;RIGHT(("00"&amp;(G$2+$A57)),3),Input!$B$3:$C$217,2,FALSE()),"")</f>
        <v/>
      </c>
      <c r="H57" s="139" t="str">
        <f aca="false">IFERROR(VLOOKUP("i"&amp;RIGHT(("00"&amp;(H$2+$A57)),3),Input!$B$3:$C$217,2,FALSE()),"")</f>
        <v/>
      </c>
      <c r="I57" s="139" t="str">
        <f aca="false">IFERROR(VLOOKUP("i"&amp;RIGHT(("00"&amp;(I$2+$A57)),3),Input!$B$3:$C$217,2,FALSE()),"")</f>
        <v/>
      </c>
      <c r="J57" s="139" t="str">
        <f aca="false">IFERROR(VLOOKUP("i"&amp;RIGHT(("00"&amp;(J$2+$A57)),3),Input!$B$3:$C$217,2,FALSE()),"")</f>
        <v/>
      </c>
      <c r="K57" s="139" t="str">
        <f aca="false">IFERROR(VLOOKUP("i"&amp;RIGHT(("00"&amp;(K$2+$A57)),3),Input!$B$3:$C$217,2,FALSE()),"")</f>
        <v/>
      </c>
    </row>
    <row r="58" customFormat="false" ht="11.25" hidden="false" customHeight="false" outlineLevel="0" collapsed="false">
      <c r="A58" s="129" t="n">
        <v>56</v>
      </c>
      <c r="B58" s="139" t="str">
        <f aca="false">IFERROR(VLOOKUP("i"&amp;RIGHT(("00"&amp;(B$2+$A58)),3),Input!$B$3:$C$217,2,FALSE()),"")</f>
        <v/>
      </c>
      <c r="C58" s="139" t="str">
        <f aca="false">IFERROR(VLOOKUP("i"&amp;RIGHT(("00"&amp;(C$2+$A58)),3),Input!$B$3:$C$217,2,FALSE()),"")</f>
        <v/>
      </c>
      <c r="D58" s="139" t="str">
        <f aca="false">IFERROR(VLOOKUP("i"&amp;RIGHT(("00"&amp;(D$2+$A58)),3),Input!$B$3:$C$217,2,FALSE()),"")</f>
        <v/>
      </c>
      <c r="E58" s="139" t="str">
        <f aca="false">IFERROR(VLOOKUP("i"&amp;RIGHT(("00"&amp;(E$2+$A58)),3),Input!$B$3:$C$217,2,FALSE()),"")</f>
        <v/>
      </c>
      <c r="F58" s="139" t="str">
        <f aca="false">IFERROR(VLOOKUP("i"&amp;RIGHT(("00"&amp;(F$2+$A58)),3),Input!$B$3:$C$217,2,FALSE()),"")</f>
        <v/>
      </c>
      <c r="G58" s="139" t="str">
        <f aca="false">IFERROR(VLOOKUP("i"&amp;RIGHT(("00"&amp;(G$2+$A58)),3),Input!$B$3:$C$217,2,FALSE()),"")</f>
        <v/>
      </c>
      <c r="H58" s="139" t="str">
        <f aca="false">IFERROR(VLOOKUP("i"&amp;RIGHT(("00"&amp;(H$2+$A58)),3),Input!$B$3:$C$217,2,FALSE()),"")</f>
        <v/>
      </c>
      <c r="I58" s="139" t="str">
        <f aca="false">IFERROR(VLOOKUP("i"&amp;RIGHT(("00"&amp;(I$2+$A58)),3),Input!$B$3:$C$217,2,FALSE()),"")</f>
        <v/>
      </c>
      <c r="J58" s="139" t="str">
        <f aca="false">IFERROR(VLOOKUP("i"&amp;RIGHT(("00"&amp;(J$2+$A58)),3),Input!$B$3:$C$217,2,FALSE()),"")</f>
        <v/>
      </c>
      <c r="K58" s="139" t="str">
        <f aca="false">IFERROR(VLOOKUP("i"&amp;RIGHT(("00"&amp;(K$2+$A58)),3),Input!$B$3:$C$217,2,FALSE()),"")</f>
        <v/>
      </c>
    </row>
    <row r="59" customFormat="false" ht="11.25" hidden="false" customHeight="false" outlineLevel="0" collapsed="false">
      <c r="A59" s="129" t="n">
        <v>57</v>
      </c>
      <c r="B59" s="139" t="str">
        <f aca="false">IFERROR(VLOOKUP("i"&amp;RIGHT(("00"&amp;(B$2+$A59)),3),Input!$B$3:$C$217,2,FALSE()),"")</f>
        <v/>
      </c>
      <c r="C59" s="139" t="str">
        <f aca="false">IFERROR(VLOOKUP("i"&amp;RIGHT(("00"&amp;(C$2+$A59)),3),Input!$B$3:$C$217,2,FALSE()),"")</f>
        <v/>
      </c>
      <c r="D59" s="139" t="str">
        <f aca="false">IFERROR(VLOOKUP("i"&amp;RIGHT(("00"&amp;(D$2+$A59)),3),Input!$B$3:$C$217,2,FALSE()),"")</f>
        <v/>
      </c>
      <c r="E59" s="139" t="str">
        <f aca="false">IFERROR(VLOOKUP("i"&amp;RIGHT(("00"&amp;(E$2+$A59)),3),Input!$B$3:$C$217,2,FALSE()),"")</f>
        <v/>
      </c>
      <c r="F59" s="139" t="str">
        <f aca="false">IFERROR(VLOOKUP("i"&amp;RIGHT(("00"&amp;(F$2+$A59)),3),Input!$B$3:$C$217,2,FALSE()),"")</f>
        <v/>
      </c>
      <c r="G59" s="139" t="str">
        <f aca="false">IFERROR(VLOOKUP("i"&amp;RIGHT(("00"&amp;(G$2+$A59)),3),Input!$B$3:$C$217,2,FALSE()),"")</f>
        <v/>
      </c>
      <c r="H59" s="139" t="str">
        <f aca="false">IFERROR(VLOOKUP("i"&amp;RIGHT(("00"&amp;(H$2+$A59)),3),Input!$B$3:$C$217,2,FALSE()),"")</f>
        <v/>
      </c>
      <c r="I59" s="139" t="str">
        <f aca="false">IFERROR(VLOOKUP("i"&amp;RIGHT(("00"&amp;(I$2+$A59)),3),Input!$B$3:$C$217,2,FALSE()),"")</f>
        <v/>
      </c>
      <c r="J59" s="139" t="str">
        <f aca="false">IFERROR(VLOOKUP("i"&amp;RIGHT(("00"&amp;(J$2+$A59)),3),Input!$B$3:$C$217,2,FALSE()),"")</f>
        <v/>
      </c>
      <c r="K59" s="139" t="str">
        <f aca="false">IFERROR(VLOOKUP("i"&amp;RIGHT(("00"&amp;(K$2+$A59)),3),Input!$B$3:$C$217,2,FALSE()),"")</f>
        <v/>
      </c>
    </row>
    <row r="60" customFormat="false" ht="11.25" hidden="false" customHeight="false" outlineLevel="0" collapsed="false">
      <c r="A60" s="129" t="n">
        <v>58</v>
      </c>
      <c r="B60" s="139" t="str">
        <f aca="false">IFERROR(VLOOKUP("i"&amp;RIGHT(("00"&amp;(B$2+$A60)),3),Input!$B$3:$C$217,2,FALSE()),"")</f>
        <v/>
      </c>
      <c r="C60" s="139" t="str">
        <f aca="false">IFERROR(VLOOKUP("i"&amp;RIGHT(("00"&amp;(C$2+$A60)),3),Input!$B$3:$C$217,2,FALSE()),"")</f>
        <v/>
      </c>
      <c r="D60" s="139" t="str">
        <f aca="false">IFERROR(VLOOKUP("i"&amp;RIGHT(("00"&amp;(D$2+$A60)),3),Input!$B$3:$C$217,2,FALSE()),"")</f>
        <v/>
      </c>
      <c r="E60" s="139" t="str">
        <f aca="false">IFERROR(VLOOKUP("i"&amp;RIGHT(("00"&amp;(E$2+$A60)),3),Input!$B$3:$C$217,2,FALSE()),"")</f>
        <v/>
      </c>
      <c r="F60" s="139" t="str">
        <f aca="false">IFERROR(VLOOKUP("i"&amp;RIGHT(("00"&amp;(F$2+$A60)),3),Input!$B$3:$C$217,2,FALSE()),"")</f>
        <v/>
      </c>
      <c r="G60" s="139" t="str">
        <f aca="false">IFERROR(VLOOKUP("i"&amp;RIGHT(("00"&amp;(G$2+$A60)),3),Input!$B$3:$C$217,2,FALSE()),"")</f>
        <v/>
      </c>
      <c r="H60" s="139" t="str">
        <f aca="false">IFERROR(VLOOKUP("i"&amp;RIGHT(("00"&amp;(H$2+$A60)),3),Input!$B$3:$C$217,2,FALSE()),"")</f>
        <v/>
      </c>
      <c r="I60" s="139" t="str">
        <f aca="false">IFERROR(VLOOKUP("i"&amp;RIGHT(("00"&amp;(I$2+$A60)),3),Input!$B$3:$C$217,2,FALSE()),"")</f>
        <v/>
      </c>
      <c r="J60" s="139" t="str">
        <f aca="false">IFERROR(VLOOKUP("i"&amp;RIGHT(("00"&amp;(J$2+$A60)),3),Input!$B$3:$C$217,2,FALSE()),"")</f>
        <v/>
      </c>
      <c r="K60" s="139" t="str">
        <f aca="false">IFERROR(VLOOKUP("i"&amp;RIGHT(("00"&amp;(K$2+$A60)),3),Input!$B$3:$C$217,2,FALSE()),"")</f>
        <v/>
      </c>
    </row>
    <row r="61" customFormat="false" ht="11.25" hidden="false" customHeight="false" outlineLevel="0" collapsed="false">
      <c r="A61" s="129" t="n">
        <v>59</v>
      </c>
      <c r="B61" s="139" t="str">
        <f aca="false">IFERROR(VLOOKUP("i"&amp;RIGHT(("00"&amp;(B$2+$A61)),3),Input!$B$3:$C$217,2,FALSE()),"")</f>
        <v/>
      </c>
      <c r="C61" s="139" t="str">
        <f aca="false">IFERROR(VLOOKUP("i"&amp;RIGHT(("00"&amp;(C$2+$A61)),3),Input!$B$3:$C$217,2,FALSE()),"")</f>
        <v/>
      </c>
      <c r="D61" s="139" t="str">
        <f aca="false">IFERROR(VLOOKUP("i"&amp;RIGHT(("00"&amp;(D$2+$A61)),3),Input!$B$3:$C$217,2,FALSE()),"")</f>
        <v/>
      </c>
      <c r="E61" s="139" t="str">
        <f aca="false">IFERROR(VLOOKUP("i"&amp;RIGHT(("00"&amp;(E$2+$A61)),3),Input!$B$3:$C$217,2,FALSE()),"")</f>
        <v/>
      </c>
      <c r="F61" s="139" t="str">
        <f aca="false">IFERROR(VLOOKUP("i"&amp;RIGHT(("00"&amp;(F$2+$A61)),3),Input!$B$3:$C$217,2,FALSE()),"")</f>
        <v/>
      </c>
      <c r="G61" s="139" t="str">
        <f aca="false">IFERROR(VLOOKUP("i"&amp;RIGHT(("00"&amp;(G$2+$A61)),3),Input!$B$3:$C$217,2,FALSE()),"")</f>
        <v/>
      </c>
      <c r="H61" s="139" t="str">
        <f aca="false">IFERROR(VLOOKUP("i"&amp;RIGHT(("00"&amp;(H$2+$A61)),3),Input!$B$3:$C$217,2,FALSE()),"")</f>
        <v/>
      </c>
      <c r="I61" s="139" t="str">
        <f aca="false">IFERROR(VLOOKUP("i"&amp;RIGHT(("00"&amp;(I$2+$A61)),3),Input!$B$3:$C$217,2,FALSE()),"")</f>
        <v/>
      </c>
      <c r="J61" s="139" t="str">
        <f aca="false">IFERROR(VLOOKUP("i"&amp;RIGHT(("00"&amp;(J$2+$A61)),3),Input!$B$3:$C$217,2,FALSE()),"")</f>
        <v/>
      </c>
      <c r="K61" s="139" t="str">
        <f aca="false">IFERROR(VLOOKUP("i"&amp;RIGHT(("00"&amp;(K$2+$A61)),3),Input!$B$3:$C$217,2,FALSE()),"")</f>
        <v/>
      </c>
    </row>
    <row r="62" customFormat="false" ht="11.25" hidden="false" customHeight="false" outlineLevel="0" collapsed="false">
      <c r="A62" s="129" t="n">
        <v>60</v>
      </c>
      <c r="B62" s="139" t="str">
        <f aca="false">IFERROR(VLOOKUP("i"&amp;RIGHT(("00"&amp;(B$2+$A62)),3),Input!$B$3:$C$217,2,FALSE()),"")</f>
        <v/>
      </c>
      <c r="C62" s="139" t="str">
        <f aca="false">IFERROR(VLOOKUP("i"&amp;RIGHT(("00"&amp;(C$2+$A62)),3),Input!$B$3:$C$217,2,FALSE()),"")</f>
        <v/>
      </c>
      <c r="D62" s="139" t="str">
        <f aca="false">IFERROR(VLOOKUP("i"&amp;RIGHT(("00"&amp;(D$2+$A62)),3),Input!$B$3:$C$217,2,FALSE()),"")</f>
        <v/>
      </c>
      <c r="E62" s="139" t="str">
        <f aca="false">IFERROR(VLOOKUP("i"&amp;RIGHT(("00"&amp;(E$2+$A62)),3),Input!$B$3:$C$217,2,FALSE()),"")</f>
        <v/>
      </c>
      <c r="F62" s="139" t="str">
        <f aca="false">IFERROR(VLOOKUP("i"&amp;RIGHT(("00"&amp;(F$2+$A62)),3),Input!$B$3:$C$217,2,FALSE()),"")</f>
        <v/>
      </c>
      <c r="G62" s="139" t="str">
        <f aca="false">IFERROR(VLOOKUP("i"&amp;RIGHT(("00"&amp;(G$2+$A62)),3),Input!$B$3:$C$217,2,FALSE()),"")</f>
        <v/>
      </c>
      <c r="H62" s="139" t="str">
        <f aca="false">IFERROR(VLOOKUP("i"&amp;RIGHT(("00"&amp;(H$2+$A62)),3),Input!$B$3:$C$217,2,FALSE()),"")</f>
        <v/>
      </c>
      <c r="I62" s="139" t="str">
        <f aca="false">IFERROR(VLOOKUP("i"&amp;RIGHT(("00"&amp;(I$2+$A62)),3),Input!$B$3:$C$217,2,FALSE()),"")</f>
        <v/>
      </c>
      <c r="J62" s="139" t="str">
        <f aca="false">IFERROR(VLOOKUP("i"&amp;RIGHT(("00"&amp;(J$2+$A62)),3),Input!$B$3:$C$217,2,FALSE()),"")</f>
        <v/>
      </c>
      <c r="K62" s="139" t="str">
        <f aca="false">IFERROR(VLOOKUP("i"&amp;RIGHT(("00"&amp;(K$2+$A62)),3),Input!$B$3:$C$217,2,FALSE()),"")</f>
        <v/>
      </c>
    </row>
    <row r="63" customFormat="false" ht="11.25" hidden="false" customHeight="false" outlineLevel="0" collapsed="false">
      <c r="A63" s="129" t="n">
        <v>61</v>
      </c>
      <c r="B63" s="139" t="str">
        <f aca="false">IFERROR(VLOOKUP("i"&amp;RIGHT(("00"&amp;(B$2+$A63)),3),Input!$B$3:$C$217,2,FALSE()),"")</f>
        <v>電気代</v>
      </c>
      <c r="C63" s="139" t="str">
        <f aca="false">IFERROR(VLOOKUP("i"&amp;RIGHT(("00"&amp;(C$2+$A63)),3),Input!$B$3:$C$217,2,FALSE()),"")</f>
        <v/>
      </c>
      <c r="D63" s="139" t="str">
        <f aca="false">IFERROR(VLOOKUP("i"&amp;RIGHT(("00"&amp;(D$2+$A63)),3),Input!$B$3:$C$217,2,FALSE()),"")</f>
        <v>冷房時間</v>
      </c>
      <c r="E63" s="139" t="str">
        <f aca="false">IFERROR(VLOOKUP("i"&amp;RIGHT(("00"&amp;(E$2+$A63)),3),Input!$B$3:$C$217,2,FALSE()),"")</f>
        <v/>
      </c>
      <c r="F63" s="139" t="str">
        <f aca="false">IFERROR(VLOOKUP("i"&amp;RIGHT(("00"&amp;(F$2+$A63)),3),Input!$B$3:$C$217,2,FALSE()),"")</f>
        <v/>
      </c>
      <c r="G63" s="139" t="str">
        <f aca="false">IFERROR(VLOOKUP("i"&amp;RIGHT(("00"&amp;(G$2+$A63)),3),Input!$B$3:$C$217,2,FALSE()),"")</f>
        <v/>
      </c>
      <c r="H63" s="139" t="str">
        <f aca="false">IFERROR(VLOOKUP("i"&amp;RIGHT(("00"&amp;(H$2+$A63)),3),Input!$B$3:$C$217,2,FALSE()),"")</f>
        <v/>
      </c>
      <c r="I63" s="139" t="str">
        <f aca="false">IFERROR(VLOOKUP("i"&amp;RIGHT(("00"&amp;(I$2+$A63)),3),Input!$B$3:$C$217,2,FALSE()),"")</f>
        <v/>
      </c>
      <c r="J63" s="139" t="str">
        <f aca="false">IFERROR(VLOOKUP("i"&amp;RIGHT(("00"&amp;(J$2+$A63)),3),Input!$B$3:$C$217,2,FALSE()),"")</f>
        <v/>
      </c>
      <c r="K63" s="139" t="str">
        <f aca="false">IFERROR(VLOOKUP("i"&amp;RIGHT(("00"&amp;(K$2+$A63)),3),Input!$B$3:$C$217,2,FALSE()),"")</f>
        <v/>
      </c>
    </row>
    <row r="64" customFormat="false" ht="11.25" hidden="false" customHeight="false" outlineLevel="0" collapsed="false">
      <c r="A64" s="129" t="n">
        <v>62</v>
      </c>
      <c r="B64" s="139" t="str">
        <f aca="false">IFERROR(VLOOKUP("i"&amp;RIGHT(("00"&amp;(B$2+$A64)),3),Input!$B$3:$C$217,2,FALSE()),"")</f>
        <v>売電金額</v>
      </c>
      <c r="C64" s="139" t="str">
        <f aca="false">IFERROR(VLOOKUP("i"&amp;RIGHT(("00"&amp;(C$2+$A64)),3),Input!$B$3:$C$217,2,FALSE()),"")</f>
        <v/>
      </c>
      <c r="D64" s="139" t="str">
        <f aca="false">IFERROR(VLOOKUP("i"&amp;RIGHT(("00"&amp;(D$2+$A64)),3),Input!$B$3:$C$217,2,FALSE()),"")</f>
        <v>冷房時間帯</v>
      </c>
      <c r="E64" s="139" t="str">
        <f aca="false">IFERROR(VLOOKUP("i"&amp;RIGHT(("00"&amp;(E$2+$A64)),3),Input!$B$3:$C$217,2,FALSE()),"")</f>
        <v/>
      </c>
      <c r="F64" s="139" t="str">
        <f aca="false">IFERROR(VLOOKUP("i"&amp;RIGHT(("00"&amp;(F$2+$A64)),3),Input!$B$3:$C$217,2,FALSE()),"")</f>
        <v/>
      </c>
      <c r="G64" s="139" t="str">
        <f aca="false">IFERROR(VLOOKUP("i"&amp;RIGHT(("00"&amp;(G$2+$A64)),3),Input!$B$3:$C$217,2,FALSE()),"")</f>
        <v/>
      </c>
      <c r="H64" s="139" t="str">
        <f aca="false">IFERROR(VLOOKUP("i"&amp;RIGHT(("00"&amp;(H$2+$A64)),3),Input!$B$3:$C$217,2,FALSE()),"")</f>
        <v/>
      </c>
      <c r="I64" s="139" t="str">
        <f aca="false">IFERROR(VLOOKUP("i"&amp;RIGHT(("00"&amp;(I$2+$A64)),3),Input!$B$3:$C$217,2,FALSE()),"")</f>
        <v/>
      </c>
      <c r="J64" s="139" t="str">
        <f aca="false">IFERROR(VLOOKUP("i"&amp;RIGHT(("00"&amp;(J$2+$A64)),3),Input!$B$3:$C$217,2,FALSE()),"")</f>
        <v/>
      </c>
      <c r="K64" s="139" t="str">
        <f aca="false">IFERROR(VLOOKUP("i"&amp;RIGHT(("00"&amp;(K$2+$A64)),3),Input!$B$3:$C$217,2,FALSE()),"")</f>
        <v/>
      </c>
    </row>
    <row r="65" customFormat="false" ht="11.25" hidden="false" customHeight="false" outlineLevel="0" collapsed="false">
      <c r="A65" s="129" t="n">
        <v>63</v>
      </c>
      <c r="B65" s="139" t="str">
        <f aca="false">IFERROR(VLOOKUP("i"&amp;RIGHT(("00"&amp;(B$2+$A65)),3),Input!$B$3:$C$217,2,FALSE()),"")</f>
        <v>ガス代</v>
      </c>
      <c r="C65" s="139" t="str">
        <f aca="false">IFERROR(VLOOKUP("i"&amp;RIGHT(("00"&amp;(C$2+$A65)),3),Input!$B$3:$C$217,2,FALSE()),"")</f>
        <v/>
      </c>
      <c r="D65" s="139" t="str">
        <f aca="false">IFERROR(VLOOKUP("i"&amp;RIGHT(("00"&amp;(D$2+$A65)),3),Input!$B$3:$C$217,2,FALSE()),"")</f>
        <v>冷房設定温度</v>
      </c>
      <c r="E65" s="139" t="str">
        <f aca="false">IFERROR(VLOOKUP("i"&amp;RIGHT(("00"&amp;(E$2+$A65)),3),Input!$B$3:$C$217,2,FALSE()),"")</f>
        <v/>
      </c>
      <c r="F65" s="139" t="str">
        <f aca="false">IFERROR(VLOOKUP("i"&amp;RIGHT(("00"&amp;(F$2+$A65)),3),Input!$B$3:$C$217,2,FALSE()),"")</f>
        <v/>
      </c>
      <c r="G65" s="139" t="str">
        <f aca="false">IFERROR(VLOOKUP("i"&amp;RIGHT(("00"&amp;(G$2+$A65)),3),Input!$B$3:$C$217,2,FALSE()),"")</f>
        <v/>
      </c>
      <c r="H65" s="139" t="str">
        <f aca="false">IFERROR(VLOOKUP("i"&amp;RIGHT(("00"&amp;(H$2+$A65)),3),Input!$B$3:$C$217,2,FALSE()),"")</f>
        <v/>
      </c>
      <c r="I65" s="139" t="str">
        <f aca="false">IFERROR(VLOOKUP("i"&amp;RIGHT(("00"&amp;(I$2+$A65)),3),Input!$B$3:$C$217,2,FALSE()),"")</f>
        <v/>
      </c>
      <c r="J65" s="139" t="str">
        <f aca="false">IFERROR(VLOOKUP("i"&amp;RIGHT(("00"&amp;(J$2+$A65)),3),Input!$B$3:$C$217,2,FALSE()),"")</f>
        <v/>
      </c>
      <c r="K65" s="139" t="str">
        <f aca="false">IFERROR(VLOOKUP("i"&amp;RIGHT(("00"&amp;(K$2+$A65)),3),Input!$B$3:$C$217,2,FALSE()),"")</f>
        <v/>
      </c>
    </row>
    <row r="66" customFormat="false" ht="11.25" hidden="false" customHeight="false" outlineLevel="0" collapsed="false">
      <c r="A66" s="129" t="n">
        <v>64</v>
      </c>
      <c r="B66" s="139" t="str">
        <f aca="false">IFERROR(VLOOKUP("i"&amp;RIGHT(("00"&amp;(B$2+$A66)),3),Input!$B$3:$C$217,2,FALSE()),"")</f>
        <v>灯油購入量</v>
      </c>
      <c r="C66" s="139" t="str">
        <f aca="false">IFERROR(VLOOKUP("i"&amp;RIGHT(("00"&amp;(C$2+$A66)),3),Input!$B$3:$C$217,2,FALSE()),"")</f>
        <v/>
      </c>
      <c r="D66" s="139" t="str">
        <f aca="false">IFERROR(VLOOKUP("i"&amp;RIGHT(("00"&amp;(D$2+$A66)),3),Input!$B$3:$C$217,2,FALSE()),"")</f>
        <v>冷房する期間（除湿含む）</v>
      </c>
      <c r="E66" s="139" t="str">
        <f aca="false">IFERROR(VLOOKUP("i"&amp;RIGHT(("00"&amp;(E$2+$A66)),3),Input!$B$3:$C$217,2,FALSE()),"")</f>
        <v/>
      </c>
      <c r="F66" s="139" t="str">
        <f aca="false">IFERROR(VLOOKUP("i"&amp;RIGHT(("00"&amp;(F$2+$A66)),3),Input!$B$3:$C$217,2,FALSE()),"")</f>
        <v/>
      </c>
      <c r="G66" s="139" t="str">
        <f aca="false">IFERROR(VLOOKUP("i"&amp;RIGHT(("00"&amp;(G$2+$A66)),3),Input!$B$3:$C$217,2,FALSE()),"")</f>
        <v/>
      </c>
      <c r="H66" s="139" t="str">
        <f aca="false">IFERROR(VLOOKUP("i"&amp;RIGHT(("00"&amp;(H$2+$A66)),3),Input!$B$3:$C$217,2,FALSE()),"")</f>
        <v/>
      </c>
      <c r="I66" s="139" t="str">
        <f aca="false">IFERROR(VLOOKUP("i"&amp;RIGHT(("00"&amp;(I$2+$A66)),3),Input!$B$3:$C$217,2,FALSE()),"")</f>
        <v/>
      </c>
      <c r="J66" s="139" t="str">
        <f aca="false">IFERROR(VLOOKUP("i"&amp;RIGHT(("00"&amp;(J$2+$A66)),3),Input!$B$3:$C$217,2,FALSE()),"")</f>
        <v/>
      </c>
      <c r="K66" s="139" t="str">
        <f aca="false">IFERROR(VLOOKUP("i"&amp;RIGHT(("00"&amp;(K$2+$A66)),3),Input!$B$3:$C$217,2,FALSE()),"")</f>
        <v/>
      </c>
    </row>
    <row r="67" customFormat="false" ht="11.25" hidden="false" customHeight="false" outlineLevel="0" collapsed="false">
      <c r="A67" s="129" t="n">
        <v>65</v>
      </c>
      <c r="B67" s="139" t="str">
        <f aca="false">IFERROR(VLOOKUP("i"&amp;RIGHT(("00"&amp;(B$2+$A67)),3),Input!$B$3:$C$217,2,FALSE()),"")</f>
        <v>練炭購入量</v>
      </c>
      <c r="C67" s="139" t="str">
        <f aca="false">IFERROR(VLOOKUP("i"&amp;RIGHT(("00"&amp;(C$2+$A67)),3),Input!$B$3:$C$217,2,FALSE()),"")</f>
        <v/>
      </c>
      <c r="D67" s="139" t="str">
        <f aca="false">IFERROR(VLOOKUP("i"&amp;RIGHT(("00"&amp;(D$2+$A67)),3),Input!$B$3:$C$217,2,FALSE()),"")</f>
        <v>部屋の暑さ</v>
      </c>
      <c r="E67" s="139" t="str">
        <f aca="false">IFERROR(VLOOKUP("i"&amp;RIGHT(("00"&amp;(E$2+$A67)),3),Input!$B$3:$C$217,2,FALSE()),"")</f>
        <v/>
      </c>
      <c r="F67" s="139" t="str">
        <f aca="false">IFERROR(VLOOKUP("i"&amp;RIGHT(("00"&amp;(F$2+$A67)),3),Input!$B$3:$C$217,2,FALSE()),"")</f>
        <v/>
      </c>
      <c r="G67" s="139" t="str">
        <f aca="false">IFERROR(VLOOKUP("i"&amp;RIGHT(("00"&amp;(G$2+$A67)),3),Input!$B$3:$C$217,2,FALSE()),"")</f>
        <v/>
      </c>
      <c r="H67" s="139" t="str">
        <f aca="false">IFERROR(VLOOKUP("i"&amp;RIGHT(("00"&amp;(H$2+$A67)),3),Input!$B$3:$C$217,2,FALSE()),"")</f>
        <v/>
      </c>
      <c r="I67" s="139" t="str">
        <f aca="false">IFERROR(VLOOKUP("i"&amp;RIGHT(("00"&amp;(I$2+$A67)),3),Input!$B$3:$C$217,2,FALSE()),"")</f>
        <v/>
      </c>
      <c r="J67" s="139" t="str">
        <f aca="false">IFERROR(VLOOKUP("i"&amp;RIGHT(("00"&amp;(J$2+$A67)),3),Input!$B$3:$C$217,2,FALSE()),"")</f>
        <v/>
      </c>
      <c r="K67" s="139" t="str">
        <f aca="false">IFERROR(VLOOKUP("i"&amp;RIGHT(("00"&amp;(K$2+$A67)),3),Input!$B$3:$C$217,2,FALSE()),"")</f>
        <v/>
      </c>
    </row>
    <row r="68" customFormat="false" ht="11.25" hidden="false" customHeight="false" outlineLevel="0" collapsed="false">
      <c r="A68" s="129" t="n">
        <v>66</v>
      </c>
      <c r="B68" s="139" t="str">
        <f aca="false">IFERROR(VLOOKUP("i"&amp;RIGHT(("00"&amp;(B$2+$A68)),3),Input!$B$3:$C$217,2,FALSE()),"")</f>
        <v>地域熱供給</v>
      </c>
      <c r="C68" s="139" t="str">
        <f aca="false">IFERROR(VLOOKUP("i"&amp;RIGHT(("00"&amp;(C$2+$A68)),3),Input!$B$3:$C$217,2,FALSE()),"")</f>
        <v/>
      </c>
      <c r="D68" s="139" t="str">
        <f aca="false">IFERROR(VLOOKUP("i"&amp;RIGHT(("00"&amp;(D$2+$A68)),3),Input!$B$3:$C$217,2,FALSE()),"")</f>
        <v>日射の流入の有無</v>
      </c>
      <c r="E68" s="139" t="str">
        <f aca="false">IFERROR(VLOOKUP("i"&amp;RIGHT(("00"&amp;(E$2+$A68)),3),Input!$B$3:$C$217,2,FALSE()),"")</f>
        <v/>
      </c>
      <c r="F68" s="139" t="str">
        <f aca="false">IFERROR(VLOOKUP("i"&amp;RIGHT(("00"&amp;(F$2+$A68)),3),Input!$B$3:$C$217,2,FALSE()),"")</f>
        <v/>
      </c>
      <c r="G68" s="139" t="str">
        <f aca="false">IFERROR(VLOOKUP("i"&amp;RIGHT(("00"&amp;(G$2+$A68)),3),Input!$B$3:$C$217,2,FALSE()),"")</f>
        <v/>
      </c>
      <c r="H68" s="139" t="str">
        <f aca="false">IFERROR(VLOOKUP("i"&amp;RIGHT(("00"&amp;(H$2+$A68)),3),Input!$B$3:$C$217,2,FALSE()),"")</f>
        <v/>
      </c>
      <c r="I68" s="139" t="str">
        <f aca="false">IFERROR(VLOOKUP("i"&amp;RIGHT(("00"&amp;(I$2+$A68)),3),Input!$B$3:$C$217,2,FALSE()),"")</f>
        <v/>
      </c>
      <c r="J68" s="139" t="str">
        <f aca="false">IFERROR(VLOOKUP("i"&amp;RIGHT(("00"&amp;(J$2+$A68)),3),Input!$B$3:$C$217,2,FALSE()),"")</f>
        <v/>
      </c>
      <c r="K68" s="139" t="str">
        <f aca="false">IFERROR(VLOOKUP("i"&amp;RIGHT(("00"&amp;(K$2+$A68)),3),Input!$B$3:$C$217,2,FALSE()),"")</f>
        <v/>
      </c>
    </row>
    <row r="69" customFormat="false" ht="11.25" hidden="false" customHeight="false" outlineLevel="0" collapsed="false">
      <c r="A69" s="129" t="n">
        <v>67</v>
      </c>
      <c r="B69" s="139" t="str">
        <f aca="false">IFERROR(VLOOKUP("i"&amp;RIGHT(("00"&amp;(B$2+$A69)),3),Input!$B$3:$C$217,2,FALSE()),"")</f>
        <v/>
      </c>
      <c r="C69" s="139" t="str">
        <f aca="false">IFERROR(VLOOKUP("i"&amp;RIGHT(("00"&amp;(C$2+$A69)),3),Input!$B$3:$C$217,2,FALSE()),"")</f>
        <v/>
      </c>
      <c r="D69" s="139" t="str">
        <f aca="false">IFERROR(VLOOKUP("i"&amp;RIGHT(("00"&amp;(D$2+$A69)),3),Input!$B$3:$C$217,2,FALSE()),"")</f>
        <v>日射カット</v>
      </c>
      <c r="E69" s="139" t="str">
        <f aca="false">IFERROR(VLOOKUP("i"&amp;RIGHT(("00"&amp;(E$2+$A69)),3),Input!$B$3:$C$217,2,FALSE()),"")</f>
        <v/>
      </c>
      <c r="F69" s="139" t="str">
        <f aca="false">IFERROR(VLOOKUP("i"&amp;RIGHT(("00"&amp;(F$2+$A69)),3),Input!$B$3:$C$217,2,FALSE()),"")</f>
        <v/>
      </c>
      <c r="G69" s="139" t="str">
        <f aca="false">IFERROR(VLOOKUP("i"&amp;RIGHT(("00"&amp;(G$2+$A69)),3),Input!$B$3:$C$217,2,FALSE()),"")</f>
        <v/>
      </c>
      <c r="H69" s="139" t="str">
        <f aca="false">IFERROR(VLOOKUP("i"&amp;RIGHT(("00"&amp;(H$2+$A69)),3),Input!$B$3:$C$217,2,FALSE()),"")</f>
        <v/>
      </c>
      <c r="I69" s="139" t="str">
        <f aca="false">IFERROR(VLOOKUP("i"&amp;RIGHT(("00"&amp;(I$2+$A69)),3),Input!$B$3:$C$217,2,FALSE()),"")</f>
        <v/>
      </c>
      <c r="J69" s="139" t="str">
        <f aca="false">IFERROR(VLOOKUP("i"&amp;RIGHT(("00"&amp;(J$2+$A69)),3),Input!$B$3:$C$217,2,FALSE()),"")</f>
        <v/>
      </c>
      <c r="K69" s="139" t="str">
        <f aca="false">IFERROR(VLOOKUP("i"&amp;RIGHT(("00"&amp;(K$2+$A69)),3),Input!$B$3:$C$217,2,FALSE()),"")</f>
        <v/>
      </c>
    </row>
    <row r="70" customFormat="false" ht="11.25" hidden="false" customHeight="false" outlineLevel="0" collapsed="false">
      <c r="A70" s="129" t="n">
        <v>68</v>
      </c>
      <c r="B70" s="139" t="str">
        <f aca="false">IFERROR(VLOOKUP("i"&amp;RIGHT(("00"&amp;(B$2+$A70)),3),Input!$B$3:$C$217,2,FALSE()),"")</f>
        <v/>
      </c>
      <c r="C70" s="139" t="str">
        <f aca="false">IFERROR(VLOOKUP("i"&amp;RIGHT(("00"&amp;(C$2+$A70)),3),Input!$B$3:$C$217,2,FALSE()),"")</f>
        <v/>
      </c>
      <c r="D70" s="139" t="str">
        <f aca="false">IFERROR(VLOOKUP("i"&amp;RIGHT(("00"&amp;(D$2+$A70)),3),Input!$B$3:$C$217,2,FALSE()),"")</f>
        <v>扇風機利用</v>
      </c>
      <c r="E70" s="139" t="str">
        <f aca="false">IFERROR(VLOOKUP("i"&amp;RIGHT(("00"&amp;(E$2+$A70)),3),Input!$B$3:$C$217,2,FALSE()),"")</f>
        <v/>
      </c>
      <c r="F70" s="139" t="str">
        <f aca="false">IFERROR(VLOOKUP("i"&amp;RIGHT(("00"&amp;(F$2+$A70)),3),Input!$B$3:$C$217,2,FALSE()),"")</f>
        <v/>
      </c>
      <c r="G70" s="139" t="str">
        <f aca="false">IFERROR(VLOOKUP("i"&amp;RIGHT(("00"&amp;(G$2+$A70)),3),Input!$B$3:$C$217,2,FALSE()),"")</f>
        <v/>
      </c>
      <c r="H70" s="139" t="str">
        <f aca="false">IFERROR(VLOOKUP("i"&amp;RIGHT(("00"&amp;(H$2+$A70)),3),Input!$B$3:$C$217,2,FALSE()),"")</f>
        <v/>
      </c>
      <c r="I70" s="139" t="str">
        <f aca="false">IFERROR(VLOOKUP("i"&amp;RIGHT(("00"&amp;(I$2+$A70)),3),Input!$B$3:$C$217,2,FALSE()),"")</f>
        <v/>
      </c>
      <c r="J70" s="139" t="str">
        <f aca="false">IFERROR(VLOOKUP("i"&amp;RIGHT(("00"&amp;(J$2+$A70)),3),Input!$B$3:$C$217,2,FALSE()),"")</f>
        <v/>
      </c>
      <c r="K70" s="139" t="str">
        <f aca="false">IFERROR(VLOOKUP("i"&amp;RIGHT(("00"&amp;(K$2+$A70)),3),Input!$B$3:$C$217,2,FALSE()),"")</f>
        <v/>
      </c>
    </row>
    <row r="71" customFormat="false" ht="11.25" hidden="false" customHeight="false" outlineLevel="0" collapsed="false">
      <c r="A71" s="129" t="n">
        <v>69</v>
      </c>
      <c r="B71" s="139" t="str">
        <f aca="false">IFERROR(VLOOKUP("i"&amp;RIGHT(("00"&amp;(B$2+$A71)),3),Input!$B$3:$C$217,2,FALSE()),"")</f>
        <v/>
      </c>
      <c r="C71" s="139" t="str">
        <f aca="false">IFERROR(VLOOKUP("i"&amp;RIGHT(("00"&amp;(C$2+$A71)),3),Input!$B$3:$C$217,2,FALSE()),"")</f>
        <v/>
      </c>
      <c r="D71" s="139" t="str">
        <f aca="false">IFERROR(VLOOKUP("i"&amp;RIGHT(("00"&amp;(D$2+$A71)),3),Input!$B$3:$C$217,2,FALSE()),"")</f>
        <v/>
      </c>
      <c r="E71" s="139" t="str">
        <f aca="false">IFERROR(VLOOKUP("i"&amp;RIGHT(("00"&amp;(E$2+$A71)),3),Input!$B$3:$C$217,2,FALSE()),"")</f>
        <v/>
      </c>
      <c r="F71" s="139" t="str">
        <f aca="false">IFERROR(VLOOKUP("i"&amp;RIGHT(("00"&amp;(F$2+$A71)),3),Input!$B$3:$C$217,2,FALSE()),"")</f>
        <v/>
      </c>
      <c r="G71" s="139" t="str">
        <f aca="false">IFERROR(VLOOKUP("i"&amp;RIGHT(("00"&amp;(G$2+$A71)),3),Input!$B$3:$C$217,2,FALSE()),"")</f>
        <v/>
      </c>
      <c r="H71" s="139" t="str">
        <f aca="false">IFERROR(VLOOKUP("i"&amp;RIGHT(("00"&amp;(H$2+$A71)),3),Input!$B$3:$C$217,2,FALSE()),"")</f>
        <v/>
      </c>
      <c r="I71" s="139" t="str">
        <f aca="false">IFERROR(VLOOKUP("i"&amp;RIGHT(("00"&amp;(I$2+$A71)),3),Input!$B$3:$C$217,2,FALSE()),"")</f>
        <v/>
      </c>
      <c r="J71" s="139" t="str">
        <f aca="false">IFERROR(VLOOKUP("i"&amp;RIGHT(("00"&amp;(J$2+$A71)),3),Input!$B$3:$C$217,2,FALSE()),"")</f>
        <v/>
      </c>
      <c r="K71" s="139" t="str">
        <f aca="false">IFERROR(VLOOKUP("i"&amp;RIGHT(("00"&amp;(K$2+$A71)),3),Input!$B$3:$C$217,2,FALSE()),"")</f>
        <v/>
      </c>
    </row>
    <row r="72" customFormat="false" ht="11.25" hidden="false" customHeight="false" outlineLevel="0" collapsed="false">
      <c r="A72" s="129" t="n">
        <v>70</v>
      </c>
      <c r="B72" s="139" t="str">
        <f aca="false">IFERROR(VLOOKUP("i"&amp;RIGHT(("00"&amp;(B$2+$A72)),3),Input!$B$3:$C$217,2,FALSE()),"")</f>
        <v/>
      </c>
      <c r="C72" s="139" t="str">
        <f aca="false">IFERROR(VLOOKUP("i"&amp;RIGHT(("00"&amp;(C$2+$A72)),3),Input!$B$3:$C$217,2,FALSE()),"")</f>
        <v/>
      </c>
      <c r="D72" s="139" t="str">
        <f aca="false">IFERROR(VLOOKUP("i"&amp;RIGHT(("00"&amp;(D$2+$A72)),3),Input!$B$3:$C$217,2,FALSE()),"")</f>
        <v/>
      </c>
      <c r="E72" s="139" t="str">
        <f aca="false">IFERROR(VLOOKUP("i"&amp;RIGHT(("00"&amp;(E$2+$A72)),3),Input!$B$3:$C$217,2,FALSE()),"")</f>
        <v/>
      </c>
      <c r="F72" s="139" t="str">
        <f aca="false">IFERROR(VLOOKUP("i"&amp;RIGHT(("00"&amp;(F$2+$A72)),3),Input!$B$3:$C$217,2,FALSE()),"")</f>
        <v/>
      </c>
      <c r="G72" s="139" t="str">
        <f aca="false">IFERROR(VLOOKUP("i"&amp;RIGHT(("00"&amp;(G$2+$A72)),3),Input!$B$3:$C$217,2,FALSE()),"")</f>
        <v/>
      </c>
      <c r="H72" s="139" t="str">
        <f aca="false">IFERROR(VLOOKUP("i"&amp;RIGHT(("00"&amp;(H$2+$A72)),3),Input!$B$3:$C$217,2,FALSE()),"")</f>
        <v/>
      </c>
      <c r="I72" s="139" t="str">
        <f aca="false">IFERROR(VLOOKUP("i"&amp;RIGHT(("00"&amp;(I$2+$A72)),3),Input!$B$3:$C$217,2,FALSE()),"")</f>
        <v/>
      </c>
      <c r="J72" s="139" t="str">
        <f aca="false">IFERROR(VLOOKUP("i"&amp;RIGHT(("00"&amp;(J$2+$A72)),3),Input!$B$3:$C$217,2,FALSE()),"")</f>
        <v/>
      </c>
      <c r="K72" s="139" t="str">
        <f aca="false">IFERROR(VLOOKUP("i"&amp;RIGHT(("00"&amp;(K$2+$A72)),3),Input!$B$3:$C$217,2,FALSE()),"")</f>
        <v/>
      </c>
    </row>
    <row r="73" customFormat="false" ht="11.25" hidden="false" customHeight="false" outlineLevel="0" collapsed="false">
      <c r="A73" s="129" t="n">
        <v>71</v>
      </c>
      <c r="B73" s="139" t="str">
        <f aca="false">IFERROR(VLOOKUP("i"&amp;RIGHT(("00"&amp;(B$2+$A73)),3),Input!$B$3:$C$217,2,FALSE()),"")</f>
        <v/>
      </c>
      <c r="C73" s="139" t="str">
        <f aca="false">IFERROR(VLOOKUP("i"&amp;RIGHT(("00"&amp;(C$2+$A73)),3),Input!$B$3:$C$217,2,FALSE()),"")</f>
        <v/>
      </c>
      <c r="D73" s="139" t="str">
        <f aca="false">IFERROR(VLOOKUP("i"&amp;RIGHT(("00"&amp;(D$2+$A73)),3),Input!$B$3:$C$217,2,FALSE()),"")</f>
        <v>冷房時間</v>
      </c>
      <c r="E73" s="139" t="str">
        <f aca="false">IFERROR(VLOOKUP("i"&amp;RIGHT(("00"&amp;(E$2+$A73)),3),Input!$B$3:$C$217,2,FALSE()),"")</f>
        <v/>
      </c>
      <c r="F73" s="139" t="str">
        <f aca="false">IFERROR(VLOOKUP("i"&amp;RIGHT(("00"&amp;(F$2+$A73)),3),Input!$B$3:$C$217,2,FALSE()),"")</f>
        <v/>
      </c>
      <c r="G73" s="139" t="str">
        <f aca="false">IFERROR(VLOOKUP("i"&amp;RIGHT(("00"&amp;(G$2+$A73)),3),Input!$B$3:$C$217,2,FALSE()),"")</f>
        <v/>
      </c>
      <c r="H73" s="139" t="str">
        <f aca="false">IFERROR(VLOOKUP("i"&amp;RIGHT(("00"&amp;(H$2+$A73)),3),Input!$B$3:$C$217,2,FALSE()),"")</f>
        <v/>
      </c>
      <c r="I73" s="139" t="str">
        <f aca="false">IFERROR(VLOOKUP("i"&amp;RIGHT(("00"&amp;(I$2+$A73)),3),Input!$B$3:$C$217,2,FALSE()),"")</f>
        <v/>
      </c>
      <c r="J73" s="139" t="str">
        <f aca="false">IFERROR(VLOOKUP("i"&amp;RIGHT(("00"&amp;(J$2+$A73)),3),Input!$B$3:$C$217,2,FALSE()),"")</f>
        <v/>
      </c>
      <c r="K73" s="139" t="str">
        <f aca="false">IFERROR(VLOOKUP("i"&amp;RIGHT(("00"&amp;(K$2+$A73)),3),Input!$B$3:$C$217,2,FALSE()),"")</f>
        <v/>
      </c>
    </row>
    <row r="74" customFormat="false" ht="11.25" hidden="false" customHeight="false" outlineLevel="0" collapsed="false">
      <c r="A74" s="129" t="n">
        <v>72</v>
      </c>
      <c r="B74" s="139" t="str">
        <f aca="false">IFERROR(VLOOKUP("i"&amp;RIGHT(("00"&amp;(B$2+$A74)),3),Input!$B$3:$C$217,2,FALSE()),"")</f>
        <v>ホームタンクの容量</v>
      </c>
      <c r="C74" s="139" t="str">
        <f aca="false">IFERROR(VLOOKUP("i"&amp;RIGHT(("00"&amp;(C$2+$A74)),3),Input!$B$3:$C$217,2,FALSE()),"")</f>
        <v/>
      </c>
      <c r="D74" s="139" t="str">
        <f aca="false">IFERROR(VLOOKUP("i"&amp;RIGHT(("00"&amp;(D$2+$A74)),3),Input!$B$3:$C$217,2,FALSE()),"")</f>
        <v>冷房時間帯</v>
      </c>
      <c r="E74" s="139" t="str">
        <f aca="false">IFERROR(VLOOKUP("i"&amp;RIGHT(("00"&amp;(E$2+$A74)),3),Input!$B$3:$C$217,2,FALSE()),"")</f>
        <v/>
      </c>
      <c r="F74" s="139" t="str">
        <f aca="false">IFERROR(VLOOKUP("i"&amp;RIGHT(("00"&amp;(F$2+$A74)),3),Input!$B$3:$C$217,2,FALSE()),"")</f>
        <v/>
      </c>
      <c r="G74" s="139" t="str">
        <f aca="false">IFERROR(VLOOKUP("i"&amp;RIGHT(("00"&amp;(G$2+$A74)),3),Input!$B$3:$C$217,2,FALSE()),"")</f>
        <v/>
      </c>
      <c r="H74" s="139" t="str">
        <f aca="false">IFERROR(VLOOKUP("i"&amp;RIGHT(("00"&amp;(H$2+$A74)),3),Input!$B$3:$C$217,2,FALSE()),"")</f>
        <v/>
      </c>
      <c r="I74" s="139" t="str">
        <f aca="false">IFERROR(VLOOKUP("i"&amp;RIGHT(("00"&amp;(I$2+$A74)),3),Input!$B$3:$C$217,2,FALSE()),"")</f>
        <v/>
      </c>
      <c r="J74" s="139" t="str">
        <f aca="false">IFERROR(VLOOKUP("i"&amp;RIGHT(("00"&amp;(J$2+$A74)),3),Input!$B$3:$C$217,2,FALSE()),"")</f>
        <v/>
      </c>
      <c r="K74" s="139" t="str">
        <f aca="false">IFERROR(VLOOKUP("i"&amp;RIGHT(("00"&amp;(K$2+$A74)),3),Input!$B$3:$C$217,2,FALSE()),"")</f>
        <v/>
      </c>
    </row>
    <row r="75" customFormat="false" ht="11.25" hidden="false" customHeight="false" outlineLevel="0" collapsed="false">
      <c r="A75" s="129" t="n">
        <v>73</v>
      </c>
      <c r="B75" s="139" t="str">
        <f aca="false">IFERROR(VLOOKUP("i"&amp;RIGHT(("00"&amp;(B$2+$A75)),3),Input!$B$3:$C$217,2,FALSE()),"")</f>
        <v>灯油ホームタンク回数</v>
      </c>
      <c r="C75" s="139" t="str">
        <f aca="false">IFERROR(VLOOKUP("i"&amp;RIGHT(("00"&amp;(C$2+$A75)),3),Input!$B$3:$C$217,2,FALSE()),"")</f>
        <v/>
      </c>
      <c r="D75" s="139" t="str">
        <f aca="false">IFERROR(VLOOKUP("i"&amp;RIGHT(("00"&amp;(D$2+$A75)),3),Input!$B$3:$C$217,2,FALSE()),"")</f>
        <v>冷房設定温度</v>
      </c>
      <c r="E75" s="139" t="str">
        <f aca="false">IFERROR(VLOOKUP("i"&amp;RIGHT(("00"&amp;(E$2+$A75)),3),Input!$B$3:$C$217,2,FALSE()),"")</f>
        <v/>
      </c>
      <c r="F75" s="139" t="str">
        <f aca="false">IFERROR(VLOOKUP("i"&amp;RIGHT(("00"&amp;(F$2+$A75)),3),Input!$B$3:$C$217,2,FALSE()),"")</f>
        <v/>
      </c>
      <c r="G75" s="139" t="str">
        <f aca="false">IFERROR(VLOOKUP("i"&amp;RIGHT(("00"&amp;(G$2+$A75)),3),Input!$B$3:$C$217,2,FALSE()),"")</f>
        <v/>
      </c>
      <c r="H75" s="139" t="str">
        <f aca="false">IFERROR(VLOOKUP("i"&amp;RIGHT(("00"&amp;(H$2+$A75)),3),Input!$B$3:$C$217,2,FALSE()),"")</f>
        <v/>
      </c>
      <c r="I75" s="139" t="str">
        <f aca="false">IFERROR(VLOOKUP("i"&amp;RIGHT(("00"&amp;(I$2+$A75)),3),Input!$B$3:$C$217,2,FALSE()),"")</f>
        <v/>
      </c>
      <c r="J75" s="139" t="str">
        <f aca="false">IFERROR(VLOOKUP("i"&amp;RIGHT(("00"&amp;(J$2+$A75)),3),Input!$B$3:$C$217,2,FALSE()),"")</f>
        <v/>
      </c>
      <c r="K75" s="139" t="str">
        <f aca="false">IFERROR(VLOOKUP("i"&amp;RIGHT(("00"&amp;(K$2+$A75)),3),Input!$B$3:$C$217,2,FALSE()),"")</f>
        <v/>
      </c>
    </row>
    <row r="76" customFormat="false" ht="11.25" hidden="false" customHeight="false" outlineLevel="0" collapsed="false">
      <c r="A76" s="129" t="n">
        <v>74</v>
      </c>
      <c r="B76" s="139" t="str">
        <f aca="false">IFERROR(VLOOKUP("i"&amp;RIGHT(("00"&amp;(B$2+$A76)),3),Input!$B$3:$C$217,2,FALSE()),"")</f>
        <v>上下水道代</v>
      </c>
      <c r="C76" s="139" t="str">
        <f aca="false">IFERROR(VLOOKUP("i"&amp;RIGHT(("00"&amp;(C$2+$A76)),3),Input!$B$3:$C$217,2,FALSE()),"")</f>
        <v/>
      </c>
      <c r="D76" s="139" t="str">
        <f aca="false">IFERROR(VLOOKUP("i"&amp;RIGHT(("00"&amp;(D$2+$A76)),3),Input!$B$3:$C$217,2,FALSE()),"")</f>
        <v>冷房する期間（除湿含む）</v>
      </c>
      <c r="E76" s="139" t="str">
        <f aca="false">IFERROR(VLOOKUP("i"&amp;RIGHT(("00"&amp;(E$2+$A76)),3),Input!$B$3:$C$217,2,FALSE()),"")</f>
        <v/>
      </c>
      <c r="F76" s="139" t="str">
        <f aca="false">IFERROR(VLOOKUP("i"&amp;RIGHT(("00"&amp;(F$2+$A76)),3),Input!$B$3:$C$217,2,FALSE()),"")</f>
        <v/>
      </c>
      <c r="G76" s="139" t="str">
        <f aca="false">IFERROR(VLOOKUP("i"&amp;RIGHT(("00"&amp;(G$2+$A76)),3),Input!$B$3:$C$217,2,FALSE()),"")</f>
        <v/>
      </c>
      <c r="H76" s="139" t="str">
        <f aca="false">IFERROR(VLOOKUP("i"&amp;RIGHT(("00"&amp;(H$2+$A76)),3),Input!$B$3:$C$217,2,FALSE()),"")</f>
        <v/>
      </c>
      <c r="I76" s="139" t="str">
        <f aca="false">IFERROR(VLOOKUP("i"&amp;RIGHT(("00"&amp;(I$2+$A76)),3),Input!$B$3:$C$217,2,FALSE()),"")</f>
        <v/>
      </c>
      <c r="J76" s="139" t="str">
        <f aca="false">IFERROR(VLOOKUP("i"&amp;RIGHT(("00"&amp;(J$2+$A76)),3),Input!$B$3:$C$217,2,FALSE()),"")</f>
        <v/>
      </c>
      <c r="K76" s="139" t="str">
        <f aca="false">IFERROR(VLOOKUP("i"&amp;RIGHT(("00"&amp;(K$2+$A76)),3),Input!$B$3:$C$217,2,FALSE()),"")</f>
        <v/>
      </c>
    </row>
    <row r="77" customFormat="false" ht="11.25" hidden="false" customHeight="false" outlineLevel="0" collapsed="false">
      <c r="A77" s="129" t="n">
        <v>75</v>
      </c>
      <c r="B77" s="139" t="str">
        <f aca="false">IFERROR(VLOOKUP("i"&amp;RIGHT(("00"&amp;(B$2+$A77)),3),Input!$B$3:$C$217,2,FALSE()),"")</f>
        <v>車燃料代</v>
      </c>
      <c r="C77" s="139" t="str">
        <f aca="false">IFERROR(VLOOKUP("i"&amp;RIGHT(("00"&amp;(C$2+$A77)),3),Input!$B$3:$C$217,2,FALSE()),"")</f>
        <v/>
      </c>
      <c r="D77" s="139" t="str">
        <f aca="false">IFERROR(VLOOKUP("i"&amp;RIGHT(("00"&amp;(D$2+$A77)),3),Input!$B$3:$C$217,2,FALSE()),"")</f>
        <v>部屋の暑さ</v>
      </c>
      <c r="E77" s="139" t="str">
        <f aca="false">IFERROR(VLOOKUP("i"&amp;RIGHT(("00"&amp;(E$2+$A77)),3),Input!$B$3:$C$217,2,FALSE()),"")</f>
        <v/>
      </c>
      <c r="F77" s="139" t="str">
        <f aca="false">IFERROR(VLOOKUP("i"&amp;RIGHT(("00"&amp;(F$2+$A77)),3),Input!$B$3:$C$217,2,FALSE()),"")</f>
        <v/>
      </c>
      <c r="G77" s="139" t="str">
        <f aca="false">IFERROR(VLOOKUP("i"&amp;RIGHT(("00"&amp;(G$2+$A77)),3),Input!$B$3:$C$217,2,FALSE()),"")</f>
        <v/>
      </c>
      <c r="H77" s="139" t="str">
        <f aca="false">IFERROR(VLOOKUP("i"&amp;RIGHT(("00"&amp;(H$2+$A77)),3),Input!$B$3:$C$217,2,FALSE()),"")</f>
        <v/>
      </c>
      <c r="I77" s="139" t="str">
        <f aca="false">IFERROR(VLOOKUP("i"&amp;RIGHT(("00"&amp;(I$2+$A77)),3),Input!$B$3:$C$217,2,FALSE()),"")</f>
        <v/>
      </c>
      <c r="J77" s="139" t="str">
        <f aca="false">IFERROR(VLOOKUP("i"&amp;RIGHT(("00"&amp;(J$2+$A77)),3),Input!$B$3:$C$217,2,FALSE()),"")</f>
        <v/>
      </c>
      <c r="K77" s="139" t="str">
        <f aca="false">IFERROR(VLOOKUP("i"&amp;RIGHT(("00"&amp;(K$2+$A77)),3),Input!$B$3:$C$217,2,FALSE()),"")</f>
        <v/>
      </c>
    </row>
    <row r="78" customFormat="false" ht="11.25" hidden="false" customHeight="false" outlineLevel="0" collapsed="false">
      <c r="A78" s="129" t="n">
        <v>76</v>
      </c>
      <c r="B78" s="139" t="str">
        <f aca="false">IFERROR(VLOOKUP("i"&amp;RIGHT(("00"&amp;(B$2+$A78)),3),Input!$B$3:$C$217,2,FALSE()),"")</f>
        <v/>
      </c>
      <c r="C78" s="139" t="str">
        <f aca="false">IFERROR(VLOOKUP("i"&amp;RIGHT(("00"&amp;(C$2+$A78)),3),Input!$B$3:$C$217,2,FALSE()),"")</f>
        <v/>
      </c>
      <c r="D78" s="139" t="str">
        <f aca="false">IFERROR(VLOOKUP("i"&amp;RIGHT(("00"&amp;(D$2+$A78)),3),Input!$B$3:$C$217,2,FALSE()),"")</f>
        <v>日射流入の有無</v>
      </c>
      <c r="E78" s="139" t="str">
        <f aca="false">IFERROR(VLOOKUP("i"&amp;RIGHT(("00"&amp;(E$2+$A78)),3),Input!$B$3:$C$217,2,FALSE()),"")</f>
        <v/>
      </c>
      <c r="F78" s="139" t="str">
        <f aca="false">IFERROR(VLOOKUP("i"&amp;RIGHT(("00"&amp;(F$2+$A78)),3),Input!$B$3:$C$217,2,FALSE()),"")</f>
        <v/>
      </c>
      <c r="G78" s="139" t="str">
        <f aca="false">IFERROR(VLOOKUP("i"&amp;RIGHT(("00"&amp;(G$2+$A78)),3),Input!$B$3:$C$217,2,FALSE()),"")</f>
        <v/>
      </c>
      <c r="H78" s="139" t="str">
        <f aca="false">IFERROR(VLOOKUP("i"&amp;RIGHT(("00"&amp;(H$2+$A78)),3),Input!$B$3:$C$217,2,FALSE()),"")</f>
        <v/>
      </c>
      <c r="I78" s="139" t="str">
        <f aca="false">IFERROR(VLOOKUP("i"&amp;RIGHT(("00"&amp;(I$2+$A78)),3),Input!$B$3:$C$217,2,FALSE()),"")</f>
        <v/>
      </c>
      <c r="J78" s="139" t="str">
        <f aca="false">IFERROR(VLOOKUP("i"&amp;RIGHT(("00"&amp;(J$2+$A78)),3),Input!$B$3:$C$217,2,FALSE()),"")</f>
        <v/>
      </c>
      <c r="K78" s="139" t="str">
        <f aca="false">IFERROR(VLOOKUP("i"&amp;RIGHT(("00"&amp;(K$2+$A78)),3),Input!$B$3:$C$217,2,FALSE()),"")</f>
        <v/>
      </c>
    </row>
    <row r="79" customFormat="false" ht="11.25" hidden="false" customHeight="false" outlineLevel="0" collapsed="false">
      <c r="A79" s="129" t="n">
        <v>77</v>
      </c>
      <c r="B79" s="139" t="str">
        <f aca="false">IFERROR(VLOOKUP("i"&amp;RIGHT(("00"&amp;(B$2+$A79)),3),Input!$B$3:$C$217,2,FALSE()),"")</f>
        <v/>
      </c>
      <c r="C79" s="139" t="str">
        <f aca="false">IFERROR(VLOOKUP("i"&amp;RIGHT(("00"&amp;(C$2+$A79)),3),Input!$B$3:$C$217,2,FALSE()),"")</f>
        <v/>
      </c>
      <c r="D79" s="139" t="str">
        <f aca="false">IFERROR(VLOOKUP("i"&amp;RIGHT(("00"&amp;(D$2+$A79)),3),Input!$B$3:$C$217,2,FALSE()),"")</f>
        <v>日射カット</v>
      </c>
      <c r="E79" s="139" t="str">
        <f aca="false">IFERROR(VLOOKUP("i"&amp;RIGHT(("00"&amp;(E$2+$A79)),3),Input!$B$3:$C$217,2,FALSE()),"")</f>
        <v/>
      </c>
      <c r="F79" s="139" t="str">
        <f aca="false">IFERROR(VLOOKUP("i"&amp;RIGHT(("00"&amp;(F$2+$A79)),3),Input!$B$3:$C$217,2,FALSE()),"")</f>
        <v/>
      </c>
      <c r="G79" s="139" t="str">
        <f aca="false">IFERROR(VLOOKUP("i"&amp;RIGHT(("00"&amp;(G$2+$A79)),3),Input!$B$3:$C$217,2,FALSE()),"")</f>
        <v/>
      </c>
      <c r="H79" s="139" t="str">
        <f aca="false">IFERROR(VLOOKUP("i"&amp;RIGHT(("00"&amp;(H$2+$A79)),3),Input!$B$3:$C$217,2,FALSE()),"")</f>
        <v/>
      </c>
      <c r="I79" s="139" t="str">
        <f aca="false">IFERROR(VLOOKUP("i"&amp;RIGHT(("00"&amp;(I$2+$A79)),3),Input!$B$3:$C$217,2,FALSE()),"")</f>
        <v/>
      </c>
      <c r="J79" s="139" t="str">
        <f aca="false">IFERROR(VLOOKUP("i"&amp;RIGHT(("00"&amp;(J$2+$A79)),3),Input!$B$3:$C$217,2,FALSE()),"")</f>
        <v/>
      </c>
      <c r="K79" s="139" t="str">
        <f aca="false">IFERROR(VLOOKUP("i"&amp;RIGHT(("00"&amp;(K$2+$A79)),3),Input!$B$3:$C$217,2,FALSE()),"")</f>
        <v/>
      </c>
    </row>
    <row r="80" customFormat="false" ht="11.25" hidden="false" customHeight="false" outlineLevel="0" collapsed="false">
      <c r="A80" s="129" t="n">
        <v>78</v>
      </c>
      <c r="B80" s="139" t="str">
        <f aca="false">IFERROR(VLOOKUP("i"&amp;RIGHT(("00"&amp;(B$2+$A80)),3),Input!$B$3:$C$217,2,FALSE()),"")</f>
        <v/>
      </c>
      <c r="C80" s="139" t="str">
        <f aca="false">IFERROR(VLOOKUP("i"&amp;RIGHT(("00"&amp;(C$2+$A80)),3),Input!$B$3:$C$217,2,FALSE()),"")</f>
        <v/>
      </c>
      <c r="D80" s="139" t="str">
        <f aca="false">IFERROR(VLOOKUP("i"&amp;RIGHT(("00"&amp;(D$2+$A80)),3),Input!$B$3:$C$217,2,FALSE()),"")</f>
        <v>扇風機利用</v>
      </c>
      <c r="E80" s="139" t="str">
        <f aca="false">IFERROR(VLOOKUP("i"&amp;RIGHT(("00"&amp;(E$2+$A80)),3),Input!$B$3:$C$217,2,FALSE()),"")</f>
        <v/>
      </c>
      <c r="F80" s="139" t="str">
        <f aca="false">IFERROR(VLOOKUP("i"&amp;RIGHT(("00"&amp;(F$2+$A80)),3),Input!$B$3:$C$217,2,FALSE()),"")</f>
        <v/>
      </c>
      <c r="G80" s="139" t="str">
        <f aca="false">IFERROR(VLOOKUP("i"&amp;RIGHT(("00"&amp;(G$2+$A80)),3),Input!$B$3:$C$217,2,FALSE()),"")</f>
        <v/>
      </c>
      <c r="H80" s="139" t="str">
        <f aca="false">IFERROR(VLOOKUP("i"&amp;RIGHT(("00"&amp;(H$2+$A80)),3),Input!$B$3:$C$217,2,FALSE()),"")</f>
        <v/>
      </c>
      <c r="I80" s="139" t="str">
        <f aca="false">IFERROR(VLOOKUP("i"&amp;RIGHT(("00"&amp;(I$2+$A80)),3),Input!$B$3:$C$217,2,FALSE()),"")</f>
        <v/>
      </c>
      <c r="J80" s="139" t="str">
        <f aca="false">IFERROR(VLOOKUP("i"&amp;RIGHT(("00"&amp;(J$2+$A80)),3),Input!$B$3:$C$217,2,FALSE()),"")</f>
        <v/>
      </c>
      <c r="K80" s="139" t="str">
        <f aca="false">IFERROR(VLOOKUP("i"&amp;RIGHT(("00"&amp;(K$2+$A80)),3),Input!$B$3:$C$217,2,FALSE()),"")</f>
        <v/>
      </c>
    </row>
    <row r="81" customFormat="false" ht="11.25" hidden="false" customHeight="false" outlineLevel="0" collapsed="false">
      <c r="A81" s="129" t="n">
        <v>79</v>
      </c>
      <c r="B81" s="139" t="str">
        <f aca="false">IFERROR(VLOOKUP("i"&amp;RIGHT(("00"&amp;(B$2+$A81)),3),Input!$B$3:$C$217,2,FALSE()),"")</f>
        <v/>
      </c>
      <c r="C81" s="139" t="str">
        <f aca="false">IFERROR(VLOOKUP("i"&amp;RIGHT(("00"&amp;(C$2+$A81)),3),Input!$B$3:$C$217,2,FALSE()),"")</f>
        <v/>
      </c>
      <c r="D81" s="139" t="str">
        <f aca="false">IFERROR(VLOOKUP("i"&amp;RIGHT(("00"&amp;(D$2+$A81)),3),Input!$B$3:$C$217,2,FALSE()),"")</f>
        <v/>
      </c>
      <c r="E81" s="139" t="str">
        <f aca="false">IFERROR(VLOOKUP("i"&amp;RIGHT(("00"&amp;(E$2+$A81)),3),Input!$B$3:$C$217,2,FALSE()),"")</f>
        <v/>
      </c>
      <c r="F81" s="139" t="str">
        <f aca="false">IFERROR(VLOOKUP("i"&amp;RIGHT(("00"&amp;(F$2+$A81)),3),Input!$B$3:$C$217,2,FALSE()),"")</f>
        <v/>
      </c>
      <c r="G81" s="139" t="str">
        <f aca="false">IFERROR(VLOOKUP("i"&amp;RIGHT(("00"&amp;(G$2+$A81)),3),Input!$B$3:$C$217,2,FALSE()),"")</f>
        <v/>
      </c>
      <c r="H81" s="139" t="str">
        <f aca="false">IFERROR(VLOOKUP("i"&amp;RIGHT(("00"&amp;(H$2+$A81)),3),Input!$B$3:$C$217,2,FALSE()),"")</f>
        <v/>
      </c>
      <c r="I81" s="139" t="str">
        <f aca="false">IFERROR(VLOOKUP("i"&amp;RIGHT(("00"&amp;(I$2+$A81)),3),Input!$B$3:$C$217,2,FALSE()),"")</f>
        <v/>
      </c>
      <c r="J81" s="139" t="str">
        <f aca="false">IFERROR(VLOOKUP("i"&amp;RIGHT(("00"&amp;(J$2+$A81)),3),Input!$B$3:$C$217,2,FALSE()),"")</f>
        <v/>
      </c>
      <c r="K81" s="139" t="str">
        <f aca="false">IFERROR(VLOOKUP("i"&amp;RIGHT(("00"&amp;(K$2+$A81)),3),Input!$B$3:$C$217,2,FALSE()),"")</f>
        <v/>
      </c>
    </row>
    <row r="82" customFormat="false" ht="11.25" hidden="false" customHeight="false" outlineLevel="0" collapsed="false">
      <c r="A82" s="129" t="n">
        <v>80</v>
      </c>
      <c r="B82" s="139" t="str">
        <f aca="false">IFERROR(VLOOKUP("i"&amp;RIGHT(("00"&amp;(B$2+$A82)),3),Input!$B$3:$C$217,2,FALSE()),"")</f>
        <v/>
      </c>
      <c r="C82" s="139" t="str">
        <f aca="false">IFERROR(VLOOKUP("i"&amp;RIGHT(("00"&amp;(C$2+$A82)),3),Input!$B$3:$C$217,2,FALSE()),"")</f>
        <v/>
      </c>
      <c r="D82" s="139" t="str">
        <f aca="false">IFERROR(VLOOKUP("i"&amp;RIGHT(("00"&amp;(D$2+$A82)),3),Input!$B$3:$C$217,2,FALSE()),"")</f>
        <v/>
      </c>
      <c r="E82" s="139" t="str">
        <f aca="false">IFERROR(VLOOKUP("i"&amp;RIGHT(("00"&amp;(E$2+$A82)),3),Input!$B$3:$C$217,2,FALSE()),"")</f>
        <v/>
      </c>
      <c r="F82" s="139" t="str">
        <f aca="false">IFERROR(VLOOKUP("i"&amp;RIGHT(("00"&amp;(F$2+$A82)),3),Input!$B$3:$C$217,2,FALSE()),"")</f>
        <v/>
      </c>
      <c r="G82" s="139" t="str">
        <f aca="false">IFERROR(VLOOKUP("i"&amp;RIGHT(("00"&amp;(G$2+$A82)),3),Input!$B$3:$C$217,2,FALSE()),"")</f>
        <v/>
      </c>
      <c r="H82" s="139" t="str">
        <f aca="false">IFERROR(VLOOKUP("i"&amp;RIGHT(("00"&amp;(H$2+$A82)),3),Input!$B$3:$C$217,2,FALSE()),"")</f>
        <v/>
      </c>
      <c r="I82" s="139" t="str">
        <f aca="false">IFERROR(VLOOKUP("i"&amp;RIGHT(("00"&amp;(I$2+$A82)),3),Input!$B$3:$C$217,2,FALSE()),"")</f>
        <v/>
      </c>
      <c r="J82" s="139" t="str">
        <f aca="false">IFERROR(VLOOKUP("i"&amp;RIGHT(("00"&amp;(J$2+$A82)),3),Input!$B$3:$C$217,2,FALSE()),"")</f>
        <v/>
      </c>
      <c r="K82" s="139" t="str">
        <f aca="false">IFERROR(VLOOKUP("i"&amp;RIGHT(("00"&amp;(K$2+$A82)),3),Input!$B$3:$C$217,2,FALSE()),"")</f>
        <v/>
      </c>
    </row>
    <row r="83" customFormat="false" ht="11.25" hidden="false" customHeight="false" outlineLevel="0" collapsed="false">
      <c r="A83" s="129" t="n">
        <v>81</v>
      </c>
      <c r="B83" s="139" t="str">
        <f aca="false">IFERROR(VLOOKUP("i"&amp;RIGHT(("00"&amp;(B$2+$A83)),3),Input!$B$3:$C$217,2,FALSE()),"")</f>
        <v>電力会社</v>
      </c>
      <c r="C83" s="139" t="str">
        <f aca="false">IFERROR(VLOOKUP("i"&amp;RIGHT(("00"&amp;(C$2+$A83)),3),Input!$B$3:$C$217,2,FALSE()),"")</f>
        <v/>
      </c>
      <c r="D83" s="139" t="str">
        <f aca="false">IFERROR(VLOOKUP("i"&amp;RIGHT(("00"&amp;(D$2+$A83)),3),Input!$B$3:$C$217,2,FALSE()),"")</f>
        <v>セントラルヒーティング</v>
      </c>
      <c r="E83" s="139" t="str">
        <f aca="false">IFERROR(VLOOKUP("i"&amp;RIGHT(("00"&amp;(E$2+$A83)),3),Input!$B$3:$C$217,2,FALSE()),"")</f>
        <v/>
      </c>
      <c r="F83" s="139" t="str">
        <f aca="false">IFERROR(VLOOKUP("i"&amp;RIGHT(("00"&amp;(F$2+$A83)),3),Input!$B$3:$C$217,2,FALSE()),"")</f>
        <v/>
      </c>
      <c r="G83" s="139" t="str">
        <f aca="false">IFERROR(VLOOKUP("i"&amp;RIGHT(("00"&amp;(G$2+$A83)),3),Input!$B$3:$C$217,2,FALSE()),"")</f>
        <v/>
      </c>
      <c r="H83" s="139" t="str">
        <f aca="false">IFERROR(VLOOKUP("i"&amp;RIGHT(("00"&amp;(H$2+$A83)),3),Input!$B$3:$C$217,2,FALSE()),"")</f>
        <v/>
      </c>
      <c r="I83" s="139" t="str">
        <f aca="false">IFERROR(VLOOKUP("i"&amp;RIGHT(("00"&amp;(I$2+$A83)),3),Input!$B$3:$C$217,2,FALSE()),"")</f>
        <v/>
      </c>
      <c r="J83" s="139" t="str">
        <f aca="false">IFERROR(VLOOKUP("i"&amp;RIGHT(("00"&amp;(J$2+$A83)),3),Input!$B$3:$C$217,2,FALSE()),"")</f>
        <v/>
      </c>
      <c r="K83" s="139" t="str">
        <f aca="false">IFERROR(VLOOKUP("i"&amp;RIGHT(("00"&amp;(K$2+$A83)),3),Input!$B$3:$C$217,2,FALSE()),"")</f>
        <v/>
      </c>
    </row>
    <row r="84" customFormat="false" ht="11.25" hidden="false" customHeight="false" outlineLevel="0" collapsed="false">
      <c r="A84" s="129" t="n">
        <v>82</v>
      </c>
      <c r="B84" s="139" t="str">
        <f aca="false">IFERROR(VLOOKUP("i"&amp;RIGHT(("00"&amp;(B$2+$A84)),3),Input!$B$3:$C$217,2,FALSE()),"")</f>
        <v>電気契約</v>
      </c>
      <c r="C84" s="139" t="str">
        <f aca="false">IFERROR(VLOOKUP("i"&amp;RIGHT(("00"&amp;(C$2+$A84)),3),Input!$B$3:$C$217,2,FALSE()),"")</f>
        <v/>
      </c>
      <c r="D84" s="139" t="str">
        <f aca="false">IFERROR(VLOOKUP("i"&amp;RIGHT(("00"&amp;(D$2+$A84)),3),Input!$B$3:$C$217,2,FALSE()),"")</f>
        <v>セントラル熱源</v>
      </c>
      <c r="E84" s="139" t="str">
        <f aca="false">IFERROR(VLOOKUP("i"&amp;RIGHT(("00"&amp;(E$2+$A84)),3),Input!$B$3:$C$217,2,FALSE()),"")</f>
        <v/>
      </c>
      <c r="F84" s="139" t="str">
        <f aca="false">IFERROR(VLOOKUP("i"&amp;RIGHT(("00"&amp;(F$2+$A84)),3),Input!$B$3:$C$217,2,FALSE()),"")</f>
        <v/>
      </c>
      <c r="G84" s="139" t="str">
        <f aca="false">IFERROR(VLOOKUP("i"&amp;RIGHT(("00"&amp;(G$2+$A84)),3),Input!$B$3:$C$217,2,FALSE()),"")</f>
        <v/>
      </c>
      <c r="H84" s="139" t="str">
        <f aca="false">IFERROR(VLOOKUP("i"&amp;RIGHT(("00"&amp;(H$2+$A84)),3),Input!$B$3:$C$217,2,FALSE()),"")</f>
        <v/>
      </c>
      <c r="I84" s="139" t="str">
        <f aca="false">IFERROR(VLOOKUP("i"&amp;RIGHT(("00"&amp;(I$2+$A84)),3),Input!$B$3:$C$217,2,FALSE()),"")</f>
        <v/>
      </c>
      <c r="J84" s="139" t="str">
        <f aca="false">IFERROR(VLOOKUP("i"&amp;RIGHT(("00"&amp;(J$2+$A84)),3),Input!$B$3:$C$217,2,FALSE()),"")</f>
        <v/>
      </c>
      <c r="K84" s="139" t="str">
        <f aca="false">IFERROR(VLOOKUP("i"&amp;RIGHT(("00"&amp;(K$2+$A84)),3),Input!$B$3:$C$217,2,FALSE()),"")</f>
        <v/>
      </c>
    </row>
    <row r="85" customFormat="false" ht="11.25" hidden="false" customHeight="false" outlineLevel="0" collapsed="false">
      <c r="A85" s="129" t="n">
        <v>83</v>
      </c>
      <c r="B85" s="139" t="str">
        <f aca="false">IFERROR(VLOOKUP("i"&amp;RIGHT(("00"&amp;(B$2+$A85)),3),Input!$B$3:$C$217,2,FALSE()),"")</f>
        <v>ガス種類</v>
      </c>
      <c r="C85" s="139" t="str">
        <f aca="false">IFERROR(VLOOKUP("i"&amp;RIGHT(("00"&amp;(C$2+$A85)),3),Input!$B$3:$C$217,2,FALSE()),"")</f>
        <v/>
      </c>
      <c r="D85" s="139" t="str">
        <f aca="false">IFERROR(VLOOKUP("i"&amp;RIGHT(("00"&amp;(D$2+$A85)),3),Input!$B$3:$C$217,2,FALSE()),"")</f>
        <v>セントラル専用熱源</v>
      </c>
      <c r="E85" s="139" t="str">
        <f aca="false">IFERROR(VLOOKUP("i"&amp;RIGHT(("00"&amp;(E$2+$A85)),3),Input!$B$3:$C$217,2,FALSE()),"")</f>
        <v/>
      </c>
      <c r="F85" s="139" t="str">
        <f aca="false">IFERROR(VLOOKUP("i"&amp;RIGHT(("00"&amp;(F$2+$A85)),3),Input!$B$3:$C$217,2,FALSE()),"")</f>
        <v/>
      </c>
      <c r="G85" s="139" t="str">
        <f aca="false">IFERROR(VLOOKUP("i"&amp;RIGHT(("00"&amp;(G$2+$A85)),3),Input!$B$3:$C$217,2,FALSE()),"")</f>
        <v/>
      </c>
      <c r="H85" s="139" t="str">
        <f aca="false">IFERROR(VLOOKUP("i"&amp;RIGHT(("00"&amp;(H$2+$A85)),3),Input!$B$3:$C$217,2,FALSE()),"")</f>
        <v/>
      </c>
      <c r="I85" s="139" t="str">
        <f aca="false">IFERROR(VLOOKUP("i"&amp;RIGHT(("00"&amp;(I$2+$A85)),3),Input!$B$3:$C$217,2,FALSE()),"")</f>
        <v/>
      </c>
      <c r="J85" s="139" t="str">
        <f aca="false">IFERROR(VLOOKUP("i"&amp;RIGHT(("00"&amp;(J$2+$A85)),3),Input!$B$3:$C$217,2,FALSE()),"")</f>
        <v/>
      </c>
      <c r="K85" s="139" t="str">
        <f aca="false">IFERROR(VLOOKUP("i"&amp;RIGHT(("00"&amp;(K$2+$A85)),3),Input!$B$3:$C$217,2,FALSE()),"")</f>
        <v/>
      </c>
    </row>
    <row r="86" customFormat="false" ht="11.25" hidden="false" customHeight="false" outlineLevel="0" collapsed="false">
      <c r="A86" s="129" t="n">
        <v>84</v>
      </c>
      <c r="B86" s="139" t="str">
        <f aca="false">IFERROR(VLOOKUP("i"&amp;RIGHT(("00"&amp;(B$2+$A86)),3),Input!$B$3:$C$217,2,FALSE()),"")</f>
        <v/>
      </c>
      <c r="C86" s="139" t="str">
        <f aca="false">IFERROR(VLOOKUP("i"&amp;RIGHT(("00"&amp;(C$2+$A86)),3),Input!$B$3:$C$217,2,FALSE()),"")</f>
        <v/>
      </c>
      <c r="D86" s="139" t="str">
        <f aca="false">IFERROR(VLOOKUP("i"&amp;RIGHT(("00"&amp;(D$2+$A86)),3),Input!$B$3:$C$217,2,FALSE()),"")</f>
        <v>セントラル暖房期間</v>
      </c>
      <c r="E86" s="139" t="str">
        <f aca="false">IFERROR(VLOOKUP("i"&amp;RIGHT(("00"&amp;(E$2+$A86)),3),Input!$B$3:$C$217,2,FALSE()),"")</f>
        <v/>
      </c>
      <c r="F86" s="139" t="str">
        <f aca="false">IFERROR(VLOOKUP("i"&amp;RIGHT(("00"&amp;(F$2+$A86)),3),Input!$B$3:$C$217,2,FALSE()),"")</f>
        <v/>
      </c>
      <c r="G86" s="139" t="str">
        <f aca="false">IFERROR(VLOOKUP("i"&amp;RIGHT(("00"&amp;(G$2+$A86)),3),Input!$B$3:$C$217,2,FALSE()),"")</f>
        <v/>
      </c>
      <c r="H86" s="139" t="str">
        <f aca="false">IFERROR(VLOOKUP("i"&amp;RIGHT(("00"&amp;(H$2+$A86)),3),Input!$B$3:$C$217,2,FALSE()),"")</f>
        <v/>
      </c>
      <c r="I86" s="139" t="str">
        <f aca="false">IFERROR(VLOOKUP("i"&amp;RIGHT(("00"&amp;(I$2+$A86)),3),Input!$B$3:$C$217,2,FALSE()),"")</f>
        <v/>
      </c>
      <c r="J86" s="139" t="str">
        <f aca="false">IFERROR(VLOOKUP("i"&amp;RIGHT(("00"&amp;(J$2+$A86)),3),Input!$B$3:$C$217,2,FALSE()),"")</f>
        <v/>
      </c>
      <c r="K86" s="139" t="str">
        <f aca="false">IFERROR(VLOOKUP("i"&amp;RIGHT(("00"&amp;(K$2+$A86)),3),Input!$B$3:$C$217,2,FALSE()),"")</f>
        <v/>
      </c>
    </row>
    <row r="87" customFormat="false" ht="11.25" hidden="false" customHeight="false" outlineLevel="0" collapsed="false">
      <c r="A87" s="129" t="n">
        <v>85</v>
      </c>
      <c r="B87" s="139" t="str">
        <f aca="false">IFERROR(VLOOKUP("i"&amp;RIGHT(("00"&amp;(B$2+$A87)),3),Input!$B$3:$C$217,2,FALSE()),"")</f>
        <v/>
      </c>
      <c r="C87" s="139" t="str">
        <f aca="false">IFERROR(VLOOKUP("i"&amp;RIGHT(("00"&amp;(C$2+$A87)),3),Input!$B$3:$C$217,2,FALSE()),"")</f>
        <v/>
      </c>
      <c r="D87" s="139" t="str">
        <f aca="false">IFERROR(VLOOKUP("i"&amp;RIGHT(("00"&amp;(D$2+$A87)),3),Input!$B$3:$C$217,2,FALSE()),"")</f>
        <v>熱交換換気</v>
      </c>
      <c r="E87" s="139" t="str">
        <f aca="false">IFERROR(VLOOKUP("i"&amp;RIGHT(("00"&amp;(E$2+$A87)),3),Input!$B$3:$C$217,2,FALSE()),"")</f>
        <v/>
      </c>
      <c r="F87" s="139" t="str">
        <f aca="false">IFERROR(VLOOKUP("i"&amp;RIGHT(("00"&amp;(F$2+$A87)),3),Input!$B$3:$C$217,2,FALSE()),"")</f>
        <v/>
      </c>
      <c r="G87" s="139" t="str">
        <f aca="false">IFERROR(VLOOKUP("i"&amp;RIGHT(("00"&amp;(G$2+$A87)),3),Input!$B$3:$C$217,2,FALSE()),"")</f>
        <v/>
      </c>
      <c r="H87" s="139" t="str">
        <f aca="false">IFERROR(VLOOKUP("i"&amp;RIGHT(("00"&amp;(H$2+$A87)),3),Input!$B$3:$C$217,2,FALSE()),"")</f>
        <v/>
      </c>
      <c r="I87" s="139" t="str">
        <f aca="false">IFERROR(VLOOKUP("i"&amp;RIGHT(("00"&amp;(I$2+$A87)),3),Input!$B$3:$C$217,2,FALSE()),"")</f>
        <v/>
      </c>
      <c r="J87" s="139" t="str">
        <f aca="false">IFERROR(VLOOKUP("i"&amp;RIGHT(("00"&amp;(J$2+$A87)),3),Input!$B$3:$C$217,2,FALSE()),"")</f>
        <v/>
      </c>
      <c r="K87" s="139" t="str">
        <f aca="false">IFERROR(VLOOKUP("i"&amp;RIGHT(("00"&amp;(K$2+$A87)),3),Input!$B$3:$C$217,2,FALSE()),"")</f>
        <v/>
      </c>
    </row>
    <row r="88" customFormat="false" ht="11.25" hidden="false" customHeight="false" outlineLevel="0" collapsed="false">
      <c r="A88" s="129" t="n">
        <v>86</v>
      </c>
      <c r="B88" s="139" t="str">
        <f aca="false">IFERROR(VLOOKUP("i"&amp;RIGHT(("00"&amp;(B$2+$A88)),3),Input!$B$3:$C$217,2,FALSE()),"")</f>
        <v/>
      </c>
      <c r="C88" s="139" t="str">
        <f aca="false">IFERROR(VLOOKUP("i"&amp;RIGHT(("00"&amp;(C$2+$A88)),3),Input!$B$3:$C$217,2,FALSE()),"")</f>
        <v/>
      </c>
      <c r="D88" s="139" t="str">
        <f aca="false">IFERROR(VLOOKUP("i"&amp;RIGHT(("00"&amp;(D$2+$A88)),3),Input!$B$3:$C$217,2,FALSE()),"")</f>
        <v>ロードヒーティング</v>
      </c>
      <c r="E88" s="139" t="str">
        <f aca="false">IFERROR(VLOOKUP("i"&amp;RIGHT(("00"&amp;(E$2+$A88)),3),Input!$B$3:$C$217,2,FALSE()),"")</f>
        <v/>
      </c>
      <c r="F88" s="139" t="str">
        <f aca="false">IFERROR(VLOOKUP("i"&amp;RIGHT(("00"&amp;(F$2+$A88)),3),Input!$B$3:$C$217,2,FALSE()),"")</f>
        <v/>
      </c>
      <c r="G88" s="139" t="str">
        <f aca="false">IFERROR(VLOOKUP("i"&amp;RIGHT(("00"&amp;(G$2+$A88)),3),Input!$B$3:$C$217,2,FALSE()),"")</f>
        <v/>
      </c>
      <c r="H88" s="139" t="str">
        <f aca="false">IFERROR(VLOOKUP("i"&amp;RIGHT(("00"&amp;(H$2+$A88)),3),Input!$B$3:$C$217,2,FALSE()),"")</f>
        <v/>
      </c>
      <c r="I88" s="139" t="str">
        <f aca="false">IFERROR(VLOOKUP("i"&amp;RIGHT(("00"&amp;(I$2+$A88)),3),Input!$B$3:$C$217,2,FALSE()),"")</f>
        <v/>
      </c>
      <c r="J88" s="139" t="str">
        <f aca="false">IFERROR(VLOOKUP("i"&amp;RIGHT(("00"&amp;(J$2+$A88)),3),Input!$B$3:$C$217,2,FALSE()),"")</f>
        <v/>
      </c>
      <c r="K88" s="139" t="str">
        <f aca="false">IFERROR(VLOOKUP("i"&amp;RIGHT(("00"&amp;(K$2+$A88)),3),Input!$B$3:$C$217,2,FALSE()),"")</f>
        <v/>
      </c>
    </row>
    <row r="89" customFormat="false" ht="11.25" hidden="false" customHeight="false" outlineLevel="0" collapsed="false">
      <c r="A89" s="129" t="n">
        <v>87</v>
      </c>
      <c r="B89" s="139" t="str">
        <f aca="false">IFERROR(VLOOKUP("i"&amp;RIGHT(("00"&amp;(B$2+$A89)),3),Input!$B$3:$C$217,2,FALSE()),"")</f>
        <v/>
      </c>
      <c r="C89" s="139" t="str">
        <f aca="false">IFERROR(VLOOKUP("i"&amp;RIGHT(("00"&amp;(C$2+$A89)),3),Input!$B$3:$C$217,2,FALSE()),"")</f>
        <v/>
      </c>
      <c r="D89" s="139" t="str">
        <f aca="false">IFERROR(VLOOKUP("i"&amp;RIGHT(("00"&amp;(D$2+$A89)),3),Input!$B$3:$C$217,2,FALSE()),"")</f>
        <v>ロードヒーティング熱源</v>
      </c>
      <c r="E89" s="139" t="str">
        <f aca="false">IFERROR(VLOOKUP("i"&amp;RIGHT(("00"&amp;(E$2+$A89)),3),Input!$B$3:$C$217,2,FALSE()),"")</f>
        <v/>
      </c>
      <c r="F89" s="139" t="str">
        <f aca="false">IFERROR(VLOOKUP("i"&amp;RIGHT(("00"&amp;(F$2+$A89)),3),Input!$B$3:$C$217,2,FALSE()),"")</f>
        <v/>
      </c>
      <c r="G89" s="139" t="str">
        <f aca="false">IFERROR(VLOOKUP("i"&amp;RIGHT(("00"&amp;(G$2+$A89)),3),Input!$B$3:$C$217,2,FALSE()),"")</f>
        <v/>
      </c>
      <c r="H89" s="139" t="str">
        <f aca="false">IFERROR(VLOOKUP("i"&amp;RIGHT(("00"&amp;(H$2+$A89)),3),Input!$B$3:$C$217,2,FALSE()),"")</f>
        <v/>
      </c>
      <c r="I89" s="139" t="str">
        <f aca="false">IFERROR(VLOOKUP("i"&amp;RIGHT(("00"&amp;(I$2+$A89)),3),Input!$B$3:$C$217,2,FALSE()),"")</f>
        <v/>
      </c>
      <c r="J89" s="139" t="str">
        <f aca="false">IFERROR(VLOOKUP("i"&amp;RIGHT(("00"&amp;(J$2+$A89)),3),Input!$B$3:$C$217,2,FALSE()),"")</f>
        <v/>
      </c>
      <c r="K89" s="139" t="str">
        <f aca="false">IFERROR(VLOOKUP("i"&amp;RIGHT(("00"&amp;(K$2+$A89)),3),Input!$B$3:$C$217,2,FALSE()),"")</f>
        <v/>
      </c>
    </row>
    <row r="90" customFormat="false" ht="11.25" hidden="false" customHeight="false" outlineLevel="0" collapsed="false">
      <c r="A90" s="129" t="n">
        <v>88</v>
      </c>
      <c r="B90" s="139" t="str">
        <f aca="false">IFERROR(VLOOKUP("i"&amp;RIGHT(("00"&amp;(B$2+$A90)),3),Input!$B$3:$C$217,2,FALSE()),"")</f>
        <v/>
      </c>
      <c r="C90" s="139" t="str">
        <f aca="false">IFERROR(VLOOKUP("i"&amp;RIGHT(("00"&amp;(C$2+$A90)),3),Input!$B$3:$C$217,2,FALSE()),"")</f>
        <v/>
      </c>
      <c r="D90" s="139" t="str">
        <f aca="false">IFERROR(VLOOKUP("i"&amp;RIGHT(("00"&amp;(D$2+$A90)),3),Input!$B$3:$C$217,2,FALSE()),"")</f>
        <v>ロードヒーティング面積</v>
      </c>
      <c r="E90" s="139" t="str">
        <f aca="false">IFERROR(VLOOKUP("i"&amp;RIGHT(("00"&amp;(E$2+$A90)),3),Input!$B$3:$C$217,2,FALSE()),"")</f>
        <v/>
      </c>
      <c r="F90" s="139" t="str">
        <f aca="false">IFERROR(VLOOKUP("i"&amp;RIGHT(("00"&amp;(F$2+$A90)),3),Input!$B$3:$C$217,2,FALSE()),"")</f>
        <v/>
      </c>
      <c r="G90" s="139" t="str">
        <f aca="false">IFERROR(VLOOKUP("i"&amp;RIGHT(("00"&amp;(G$2+$A90)),3),Input!$B$3:$C$217,2,FALSE()),"")</f>
        <v/>
      </c>
      <c r="H90" s="139" t="str">
        <f aca="false">IFERROR(VLOOKUP("i"&amp;RIGHT(("00"&amp;(H$2+$A90)),3),Input!$B$3:$C$217,2,FALSE()),"")</f>
        <v/>
      </c>
      <c r="I90" s="139" t="str">
        <f aca="false">IFERROR(VLOOKUP("i"&amp;RIGHT(("00"&amp;(I$2+$A90)),3),Input!$B$3:$C$217,2,FALSE()),"")</f>
        <v/>
      </c>
      <c r="J90" s="139" t="str">
        <f aca="false">IFERROR(VLOOKUP("i"&amp;RIGHT(("00"&amp;(J$2+$A90)),3),Input!$B$3:$C$217,2,FALSE()),"")</f>
        <v/>
      </c>
      <c r="K90" s="139" t="str">
        <f aca="false">IFERROR(VLOOKUP("i"&amp;RIGHT(("00"&amp;(K$2+$A90)),3),Input!$B$3:$C$217,2,FALSE()),"")</f>
        <v/>
      </c>
    </row>
    <row r="91" customFormat="false" ht="11.25" hidden="false" customHeight="false" outlineLevel="0" collapsed="false">
      <c r="A91" s="129" t="n">
        <v>89</v>
      </c>
      <c r="B91" s="139" t="str">
        <f aca="false">IFERROR(VLOOKUP("i"&amp;RIGHT(("00"&amp;(B$2+$A91)),3),Input!$B$3:$C$217,2,FALSE()),"")</f>
        <v/>
      </c>
      <c r="C91" s="139" t="str">
        <f aca="false">IFERROR(VLOOKUP("i"&amp;RIGHT(("00"&amp;(C$2+$A91)),3),Input!$B$3:$C$217,2,FALSE()),"")</f>
        <v/>
      </c>
      <c r="D91" s="139" t="str">
        <f aca="false">IFERROR(VLOOKUP("i"&amp;RIGHT(("00"&amp;(D$2+$A91)),3),Input!$B$3:$C$217,2,FALSE()),"")</f>
        <v>ロードヒーティング利用頻度</v>
      </c>
      <c r="E91" s="139" t="str">
        <f aca="false">IFERROR(VLOOKUP("i"&amp;RIGHT(("00"&amp;(E$2+$A91)),3),Input!$B$3:$C$217,2,FALSE()),"")</f>
        <v/>
      </c>
      <c r="F91" s="139" t="str">
        <f aca="false">IFERROR(VLOOKUP("i"&amp;RIGHT(("00"&amp;(F$2+$A91)),3),Input!$B$3:$C$217,2,FALSE()),"")</f>
        <v/>
      </c>
      <c r="G91" s="139" t="str">
        <f aca="false">IFERROR(VLOOKUP("i"&amp;RIGHT(("00"&amp;(G$2+$A91)),3),Input!$B$3:$C$217,2,FALSE()),"")</f>
        <v/>
      </c>
      <c r="H91" s="139" t="str">
        <f aca="false">IFERROR(VLOOKUP("i"&amp;RIGHT(("00"&amp;(H$2+$A91)),3),Input!$B$3:$C$217,2,FALSE()),"")</f>
        <v/>
      </c>
      <c r="I91" s="139" t="str">
        <f aca="false">IFERROR(VLOOKUP("i"&amp;RIGHT(("00"&amp;(I$2+$A91)),3),Input!$B$3:$C$217,2,FALSE()),"")</f>
        <v/>
      </c>
      <c r="J91" s="139" t="str">
        <f aca="false">IFERROR(VLOOKUP("i"&amp;RIGHT(("00"&amp;(J$2+$A91)),3),Input!$B$3:$C$217,2,FALSE()),"")</f>
        <v/>
      </c>
      <c r="K91" s="139" t="str">
        <f aca="false">IFERROR(VLOOKUP("i"&amp;RIGHT(("00"&amp;(K$2+$A91)),3),Input!$B$3:$C$217,2,FALSE()),"")</f>
        <v/>
      </c>
    </row>
    <row r="92" customFormat="false" ht="11.25" hidden="false" customHeight="false" outlineLevel="0" collapsed="false">
      <c r="A92" s="129" t="n">
        <v>90</v>
      </c>
      <c r="B92" s="139" t="str">
        <f aca="false">IFERROR(VLOOKUP("i"&amp;RIGHT(("00"&amp;(B$2+$A92)),3),Input!$B$3:$C$217,2,FALSE()),"")</f>
        <v/>
      </c>
      <c r="C92" s="139" t="str">
        <f aca="false">IFERROR(VLOOKUP("i"&amp;RIGHT(("00"&amp;(C$2+$A92)),3),Input!$B$3:$C$217,2,FALSE()),"")</f>
        <v/>
      </c>
      <c r="D92" s="139" t="str">
        <f aca="false">IFERROR(VLOOKUP("i"&amp;RIGHT(("00"&amp;(D$2+$A92)),3),Input!$B$3:$C$217,2,FALSE()),"")</f>
        <v>ルーフヒーティングの利用</v>
      </c>
      <c r="E92" s="139" t="str">
        <f aca="false">IFERROR(VLOOKUP("i"&amp;RIGHT(("00"&amp;(E$2+$A92)),3),Input!$B$3:$C$217,2,FALSE()),"")</f>
        <v/>
      </c>
      <c r="F92" s="139" t="str">
        <f aca="false">IFERROR(VLOOKUP("i"&amp;RIGHT(("00"&amp;(F$2+$A92)),3),Input!$B$3:$C$217,2,FALSE()),"")</f>
        <v/>
      </c>
      <c r="G92" s="139" t="str">
        <f aca="false">IFERROR(VLOOKUP("i"&amp;RIGHT(("00"&amp;(G$2+$A92)),3),Input!$B$3:$C$217,2,FALSE()),"")</f>
        <v/>
      </c>
      <c r="H92" s="139" t="str">
        <f aca="false">IFERROR(VLOOKUP("i"&amp;RIGHT(("00"&amp;(H$2+$A92)),3),Input!$B$3:$C$217,2,FALSE()),"")</f>
        <v/>
      </c>
      <c r="I92" s="139" t="str">
        <f aca="false">IFERROR(VLOOKUP("i"&amp;RIGHT(("00"&amp;(I$2+$A92)),3),Input!$B$3:$C$217,2,FALSE()),"")</f>
        <v/>
      </c>
      <c r="J92" s="139" t="str">
        <f aca="false">IFERROR(VLOOKUP("i"&amp;RIGHT(("00"&amp;(J$2+$A92)),3),Input!$B$3:$C$217,2,FALSE()),"")</f>
        <v/>
      </c>
      <c r="K92" s="139" t="str">
        <f aca="false">IFERROR(VLOOKUP("i"&amp;RIGHT(("00"&amp;(K$2+$A92)),3),Input!$B$3:$C$217,2,FALSE()),"")</f>
        <v/>
      </c>
    </row>
    <row r="93" customFormat="false" ht="11.25" hidden="false" customHeight="false" outlineLevel="0" collapsed="false">
      <c r="A93" s="129" t="n">
        <v>91</v>
      </c>
      <c r="B93" s="139" t="str">
        <f aca="false">IFERROR(VLOOKUP("i"&amp;RIGHT(("00"&amp;(B$2+$A93)),3),Input!$B$3:$C$217,2,FALSE()),"")</f>
        <v>電気代</v>
      </c>
      <c r="C93" s="139" t="str">
        <f aca="false">IFERROR(VLOOKUP("i"&amp;RIGHT(("00"&amp;(C$2+$A93)),3),Input!$B$3:$C$217,2,FALSE()),"")</f>
        <v/>
      </c>
      <c r="D93" s="139" t="str">
        <f aca="false">IFERROR(VLOOKUP("i"&amp;RIGHT(("00"&amp;(D$2+$A93)),3),Input!$B$3:$C$217,2,FALSE()),"")</f>
        <v>ルーフヒーティングの対象面積</v>
      </c>
      <c r="E93" s="139" t="str">
        <f aca="false">IFERROR(VLOOKUP("i"&amp;RIGHT(("00"&amp;(E$2+$A93)),3),Input!$B$3:$C$217,2,FALSE()),"")</f>
        <v/>
      </c>
      <c r="F93" s="139" t="str">
        <f aca="false">IFERROR(VLOOKUP("i"&amp;RIGHT(("00"&amp;(F$2+$A93)),3),Input!$B$3:$C$217,2,FALSE()),"")</f>
        <v/>
      </c>
      <c r="G93" s="139" t="str">
        <f aca="false">IFERROR(VLOOKUP("i"&amp;RIGHT(("00"&amp;(G$2+$A93)),3),Input!$B$3:$C$217,2,FALSE()),"")</f>
        <v/>
      </c>
      <c r="H93" s="139" t="str">
        <f aca="false">IFERROR(VLOOKUP("i"&amp;RIGHT(("00"&amp;(H$2+$A93)),3),Input!$B$3:$C$217,2,FALSE()),"")</f>
        <v/>
      </c>
      <c r="I93" s="139" t="str">
        <f aca="false">IFERROR(VLOOKUP("i"&amp;RIGHT(("00"&amp;(I$2+$A93)),3),Input!$B$3:$C$217,2,FALSE()),"")</f>
        <v/>
      </c>
      <c r="J93" s="139" t="str">
        <f aca="false">IFERROR(VLOOKUP("i"&amp;RIGHT(("00"&amp;(J$2+$A93)),3),Input!$B$3:$C$217,2,FALSE()),"")</f>
        <v/>
      </c>
      <c r="K93" s="139" t="str">
        <f aca="false">IFERROR(VLOOKUP("i"&amp;RIGHT(("00"&amp;(K$2+$A93)),3),Input!$B$3:$C$217,2,FALSE()),"")</f>
        <v/>
      </c>
    </row>
    <row r="94" customFormat="false" ht="11.25" hidden="false" customHeight="false" outlineLevel="0" collapsed="false">
      <c r="A94" s="129" t="n">
        <v>92</v>
      </c>
      <c r="B94" s="139" t="str">
        <f aca="false">IFERROR(VLOOKUP("i"&amp;RIGHT(("00"&amp;(B$2+$A94)),3),Input!$B$3:$C$217,2,FALSE()),"")</f>
        <v>売電金額</v>
      </c>
      <c r="C94" s="139" t="str">
        <f aca="false">IFERROR(VLOOKUP("i"&amp;RIGHT(("00"&amp;(C$2+$A94)),3),Input!$B$3:$C$217,2,FALSE()),"")</f>
        <v/>
      </c>
      <c r="D94" s="139" t="str">
        <f aca="false">IFERROR(VLOOKUP("i"&amp;RIGHT(("00"&amp;(D$2+$A94)),3),Input!$B$3:$C$217,2,FALSE()),"")</f>
        <v>ルーフヒーティングの熱源</v>
      </c>
      <c r="E94" s="139" t="str">
        <f aca="false">IFERROR(VLOOKUP("i"&amp;RIGHT(("00"&amp;(E$2+$A94)),3),Input!$B$3:$C$217,2,FALSE()),"")</f>
        <v/>
      </c>
      <c r="F94" s="139" t="str">
        <f aca="false">IFERROR(VLOOKUP("i"&amp;RIGHT(("00"&amp;(F$2+$A94)),3),Input!$B$3:$C$217,2,FALSE()),"")</f>
        <v/>
      </c>
      <c r="G94" s="139" t="str">
        <f aca="false">IFERROR(VLOOKUP("i"&amp;RIGHT(("00"&amp;(G$2+$A94)),3),Input!$B$3:$C$217,2,FALSE()),"")</f>
        <v/>
      </c>
      <c r="H94" s="139" t="str">
        <f aca="false">IFERROR(VLOOKUP("i"&amp;RIGHT(("00"&amp;(H$2+$A94)),3),Input!$B$3:$C$217,2,FALSE()),"")</f>
        <v/>
      </c>
      <c r="I94" s="139" t="str">
        <f aca="false">IFERROR(VLOOKUP("i"&amp;RIGHT(("00"&amp;(I$2+$A94)),3),Input!$B$3:$C$217,2,FALSE()),"")</f>
        <v/>
      </c>
      <c r="J94" s="139" t="str">
        <f aca="false">IFERROR(VLOOKUP("i"&amp;RIGHT(("00"&amp;(J$2+$A94)),3),Input!$B$3:$C$217,2,FALSE()),"")</f>
        <v/>
      </c>
      <c r="K94" s="139" t="str">
        <f aca="false">IFERROR(VLOOKUP("i"&amp;RIGHT(("00"&amp;(K$2+$A94)),3),Input!$B$3:$C$217,2,FALSE()),"")</f>
        <v/>
      </c>
    </row>
    <row r="95" customFormat="false" ht="11.25" hidden="false" customHeight="false" outlineLevel="0" collapsed="false">
      <c r="A95" s="129" t="n">
        <v>93</v>
      </c>
      <c r="B95" s="139" t="str">
        <f aca="false">IFERROR(VLOOKUP("i"&amp;RIGHT(("00"&amp;(B$2+$A95)),3),Input!$B$3:$C$217,2,FALSE()),"")</f>
        <v>ガス代</v>
      </c>
      <c r="C95" s="139" t="str">
        <f aca="false">IFERROR(VLOOKUP("i"&amp;RIGHT(("00"&amp;(C$2+$A95)),3),Input!$B$3:$C$217,2,FALSE()),"")</f>
        <v/>
      </c>
      <c r="D95" s="139" t="str">
        <f aca="false">IFERROR(VLOOKUP("i"&amp;RIGHT(("00"&amp;(D$2+$A95)),3),Input!$B$3:$C$217,2,FALSE()),"")</f>
        <v>ルーフヒーティングの利用頻度</v>
      </c>
      <c r="E95" s="139" t="str">
        <f aca="false">IFERROR(VLOOKUP("i"&amp;RIGHT(("00"&amp;(E$2+$A95)),3),Input!$B$3:$C$217,2,FALSE()),"")</f>
        <v/>
      </c>
      <c r="F95" s="139" t="str">
        <f aca="false">IFERROR(VLOOKUP("i"&amp;RIGHT(("00"&amp;(F$2+$A95)),3),Input!$B$3:$C$217,2,FALSE()),"")</f>
        <v/>
      </c>
      <c r="G95" s="139" t="str">
        <f aca="false">IFERROR(VLOOKUP("i"&amp;RIGHT(("00"&amp;(G$2+$A95)),3),Input!$B$3:$C$217,2,FALSE()),"")</f>
        <v/>
      </c>
      <c r="H95" s="139" t="str">
        <f aca="false">IFERROR(VLOOKUP("i"&amp;RIGHT(("00"&amp;(H$2+$A95)),3),Input!$B$3:$C$217,2,FALSE()),"")</f>
        <v/>
      </c>
      <c r="I95" s="139" t="str">
        <f aca="false">IFERROR(VLOOKUP("i"&amp;RIGHT(("00"&amp;(I$2+$A95)),3),Input!$B$3:$C$217,2,FALSE()),"")</f>
        <v/>
      </c>
      <c r="J95" s="139" t="str">
        <f aca="false">IFERROR(VLOOKUP("i"&amp;RIGHT(("00"&amp;(J$2+$A95)),3),Input!$B$3:$C$217,2,FALSE()),"")</f>
        <v/>
      </c>
      <c r="K95" s="139" t="str">
        <f aca="false">IFERROR(VLOOKUP("i"&amp;RIGHT(("00"&amp;(K$2+$A95)),3),Input!$B$3:$C$217,2,FALSE()),"")</f>
        <v/>
      </c>
    </row>
    <row r="96" customFormat="false" ht="11.25" hidden="false" customHeight="false" outlineLevel="0" collapsed="false">
      <c r="A96" s="129" t="n">
        <v>94</v>
      </c>
      <c r="B96" s="139" t="str">
        <f aca="false">IFERROR(VLOOKUP("i"&amp;RIGHT(("00"&amp;(B$2+$A96)),3),Input!$B$3:$C$217,2,FALSE()),"")</f>
        <v>灯油購入量</v>
      </c>
      <c r="C96" s="139" t="str">
        <f aca="false">IFERROR(VLOOKUP("i"&amp;RIGHT(("00"&amp;(C$2+$A96)),3),Input!$B$3:$C$217,2,FALSE()),"")</f>
        <v/>
      </c>
      <c r="D96" s="139" t="str">
        <f aca="false">IFERROR(VLOOKUP("i"&amp;RIGHT(("00"&amp;(D$2+$A96)),3),Input!$B$3:$C$217,2,FALSE()),"")</f>
        <v>融雪槽の利用</v>
      </c>
      <c r="E96" s="139" t="str">
        <f aca="false">IFERROR(VLOOKUP("i"&amp;RIGHT(("00"&amp;(E$2+$A96)),3),Input!$B$3:$C$217,2,FALSE()),"")</f>
        <v/>
      </c>
      <c r="F96" s="139" t="str">
        <f aca="false">IFERROR(VLOOKUP("i"&amp;RIGHT(("00"&amp;(F$2+$A96)),3),Input!$B$3:$C$217,2,FALSE()),"")</f>
        <v/>
      </c>
      <c r="G96" s="139" t="str">
        <f aca="false">IFERROR(VLOOKUP("i"&amp;RIGHT(("00"&amp;(G$2+$A96)),3),Input!$B$3:$C$217,2,FALSE()),"")</f>
        <v/>
      </c>
      <c r="H96" s="139" t="str">
        <f aca="false">IFERROR(VLOOKUP("i"&amp;RIGHT(("00"&amp;(H$2+$A96)),3),Input!$B$3:$C$217,2,FALSE()),"")</f>
        <v/>
      </c>
      <c r="I96" s="139" t="str">
        <f aca="false">IFERROR(VLOOKUP("i"&amp;RIGHT(("00"&amp;(I$2+$A96)),3),Input!$B$3:$C$217,2,FALSE()),"")</f>
        <v/>
      </c>
      <c r="J96" s="139" t="str">
        <f aca="false">IFERROR(VLOOKUP("i"&amp;RIGHT(("00"&amp;(J$2+$A96)),3),Input!$B$3:$C$217,2,FALSE()),"")</f>
        <v/>
      </c>
      <c r="K96" s="139" t="str">
        <f aca="false">IFERROR(VLOOKUP("i"&amp;RIGHT(("00"&amp;(K$2+$A96)),3),Input!$B$3:$C$217,2,FALSE()),"")</f>
        <v/>
      </c>
    </row>
    <row r="97" customFormat="false" ht="11.25" hidden="false" customHeight="false" outlineLevel="0" collapsed="false">
      <c r="A97" s="129" t="n">
        <v>95</v>
      </c>
      <c r="B97" s="139" t="str">
        <f aca="false">IFERROR(VLOOKUP("i"&amp;RIGHT(("00"&amp;(B$2+$A97)),3),Input!$B$3:$C$217,2,FALSE()),"")</f>
        <v/>
      </c>
      <c r="C97" s="139" t="str">
        <f aca="false">IFERROR(VLOOKUP("i"&amp;RIGHT(("00"&amp;(C$2+$A97)),3),Input!$B$3:$C$217,2,FALSE()),"")</f>
        <v/>
      </c>
      <c r="D97" s="139" t="str">
        <f aca="false">IFERROR(VLOOKUP("i"&amp;RIGHT(("00"&amp;(D$2+$A97)),3),Input!$B$3:$C$217,2,FALSE()),"")</f>
        <v>融雪槽の熱源</v>
      </c>
      <c r="E97" s="139" t="str">
        <f aca="false">IFERROR(VLOOKUP("i"&amp;RIGHT(("00"&amp;(E$2+$A97)),3),Input!$B$3:$C$217,2,FALSE()),"")</f>
        <v/>
      </c>
      <c r="F97" s="139" t="str">
        <f aca="false">IFERROR(VLOOKUP("i"&amp;RIGHT(("00"&amp;(F$2+$A97)),3),Input!$B$3:$C$217,2,FALSE()),"")</f>
        <v/>
      </c>
      <c r="G97" s="139" t="str">
        <f aca="false">IFERROR(VLOOKUP("i"&amp;RIGHT(("00"&amp;(G$2+$A97)),3),Input!$B$3:$C$217,2,FALSE()),"")</f>
        <v/>
      </c>
      <c r="H97" s="139" t="str">
        <f aca="false">IFERROR(VLOOKUP("i"&amp;RIGHT(("00"&amp;(H$2+$A97)),3),Input!$B$3:$C$217,2,FALSE()),"")</f>
        <v/>
      </c>
      <c r="I97" s="139" t="str">
        <f aca="false">IFERROR(VLOOKUP("i"&amp;RIGHT(("00"&amp;(I$2+$A97)),3),Input!$B$3:$C$217,2,FALSE()),"")</f>
        <v/>
      </c>
      <c r="J97" s="139" t="str">
        <f aca="false">IFERROR(VLOOKUP("i"&amp;RIGHT(("00"&amp;(J$2+$A97)),3),Input!$B$3:$C$217,2,FALSE()),"")</f>
        <v/>
      </c>
      <c r="K97" s="139" t="str">
        <f aca="false">IFERROR(VLOOKUP("i"&amp;RIGHT(("00"&amp;(K$2+$A97)),3),Input!$B$3:$C$217,2,FALSE()),"")</f>
        <v/>
      </c>
    </row>
    <row r="98" customFormat="false" ht="11.25" hidden="false" customHeight="false" outlineLevel="0" collapsed="false">
      <c r="A98" s="129" t="n">
        <v>96</v>
      </c>
      <c r="B98" s="139" t="str">
        <f aca="false">IFERROR(VLOOKUP("i"&amp;RIGHT(("00"&amp;(B$2+$A98)),3),Input!$B$3:$C$217,2,FALSE()),"")</f>
        <v/>
      </c>
      <c r="C98" s="139" t="str">
        <f aca="false">IFERROR(VLOOKUP("i"&amp;RIGHT(("00"&amp;(C$2+$A98)),3),Input!$B$3:$C$217,2,FALSE()),"")</f>
        <v/>
      </c>
      <c r="D98" s="139" t="str">
        <f aca="false">IFERROR(VLOOKUP("i"&amp;RIGHT(("00"&amp;(D$2+$A98)),3),Input!$B$3:$C$217,2,FALSE()),"")</f>
        <v/>
      </c>
      <c r="E98" s="139" t="str">
        <f aca="false">IFERROR(VLOOKUP("i"&amp;RIGHT(("00"&amp;(E$2+$A98)),3),Input!$B$3:$C$217,2,FALSE()),"")</f>
        <v/>
      </c>
      <c r="F98" s="139" t="str">
        <f aca="false">IFERROR(VLOOKUP("i"&amp;RIGHT(("00"&amp;(F$2+$A98)),3),Input!$B$3:$C$217,2,FALSE()),"")</f>
        <v/>
      </c>
      <c r="G98" s="139" t="str">
        <f aca="false">IFERROR(VLOOKUP("i"&amp;RIGHT(("00"&amp;(G$2+$A98)),3),Input!$B$3:$C$217,2,FALSE()),"")</f>
        <v/>
      </c>
      <c r="H98" s="139" t="str">
        <f aca="false">IFERROR(VLOOKUP("i"&amp;RIGHT(("00"&amp;(H$2+$A98)),3),Input!$B$3:$C$217,2,FALSE()),"")</f>
        <v/>
      </c>
      <c r="I98" s="139" t="str">
        <f aca="false">IFERROR(VLOOKUP("i"&amp;RIGHT(("00"&amp;(I$2+$A98)),3),Input!$B$3:$C$217,2,FALSE()),"")</f>
        <v/>
      </c>
      <c r="J98" s="139" t="str">
        <f aca="false">IFERROR(VLOOKUP("i"&amp;RIGHT(("00"&amp;(J$2+$A98)),3),Input!$B$3:$C$217,2,FALSE()),"")</f>
        <v/>
      </c>
      <c r="K98" s="139" t="str">
        <f aca="false">IFERROR(VLOOKUP("i"&amp;RIGHT(("00"&amp;(K$2+$A98)),3),Input!$B$3:$C$217,2,FALSE()),"")</f>
        <v/>
      </c>
    </row>
    <row r="99" customFormat="false" ht="11.25" hidden="false" customHeight="false" outlineLevel="0" collapsed="false">
      <c r="A99" s="129" t="n">
        <v>97</v>
      </c>
      <c r="B99" s="139" t="str">
        <f aca="false">IFERROR(VLOOKUP("i"&amp;RIGHT(("00"&amp;(B$2+$A99)),3),Input!$B$3:$C$217,2,FALSE()),"")</f>
        <v/>
      </c>
      <c r="C99" s="139" t="str">
        <f aca="false">IFERROR(VLOOKUP("i"&amp;RIGHT(("00"&amp;(C$2+$A99)),3),Input!$B$3:$C$217,2,FALSE()),"")</f>
        <v/>
      </c>
      <c r="D99" s="139" t="str">
        <f aca="false">IFERROR(VLOOKUP("i"&amp;RIGHT(("00"&amp;(D$2+$A99)),3),Input!$B$3:$C$217,2,FALSE()),"")</f>
        <v/>
      </c>
      <c r="E99" s="139" t="str">
        <f aca="false">IFERROR(VLOOKUP("i"&amp;RIGHT(("00"&amp;(E$2+$A99)),3),Input!$B$3:$C$217,2,FALSE()),"")</f>
        <v/>
      </c>
      <c r="F99" s="139" t="str">
        <f aca="false">IFERROR(VLOOKUP("i"&amp;RIGHT(("00"&amp;(F$2+$A99)),3),Input!$B$3:$C$217,2,FALSE()),"")</f>
        <v/>
      </c>
      <c r="G99" s="139" t="str">
        <f aca="false">IFERROR(VLOOKUP("i"&amp;RIGHT(("00"&amp;(G$2+$A99)),3),Input!$B$3:$C$217,2,FALSE()),"")</f>
        <v/>
      </c>
      <c r="H99" s="139" t="str">
        <f aca="false">IFERROR(VLOOKUP("i"&amp;RIGHT(("00"&amp;(H$2+$A99)),3),Input!$B$3:$C$217,2,FALSE()),"")</f>
        <v/>
      </c>
      <c r="I99" s="139" t="str">
        <f aca="false">IFERROR(VLOOKUP("i"&amp;RIGHT(("00"&amp;(I$2+$A99)),3),Input!$B$3:$C$217,2,FALSE()),"")</f>
        <v/>
      </c>
      <c r="J99" s="139" t="str">
        <f aca="false">IFERROR(VLOOKUP("i"&amp;RIGHT(("00"&amp;(J$2+$A99)),3),Input!$B$3:$C$217,2,FALSE()),"")</f>
        <v/>
      </c>
      <c r="K99" s="139" t="str">
        <f aca="false">IFERROR(VLOOKUP("i"&amp;RIGHT(("00"&amp;(K$2+$A99)),3),Input!$B$3:$C$217,2,FALSE()),"")</f>
        <v/>
      </c>
    </row>
    <row r="100" customFormat="false" ht="11.25" hidden="false" customHeight="false" outlineLevel="0" collapsed="false">
      <c r="A100" s="129" t="n">
        <v>98</v>
      </c>
      <c r="B100" s="139" t="str">
        <f aca="false">IFERROR(VLOOKUP("i"&amp;RIGHT(("00"&amp;(B$2+$A100)),3),Input!$B$3:$C$217,2,FALSE()),"")</f>
        <v/>
      </c>
      <c r="C100" s="139" t="str">
        <f aca="false">IFERROR(VLOOKUP("i"&amp;RIGHT(("00"&amp;(C$2+$A100)),3),Input!$B$3:$C$217,2,FALSE()),"")</f>
        <v/>
      </c>
      <c r="D100" s="139" t="str">
        <f aca="false">IFERROR(VLOOKUP("i"&amp;RIGHT(("00"&amp;(D$2+$A100)),3),Input!$B$3:$C$217,2,FALSE()),"")</f>
        <v/>
      </c>
      <c r="E100" s="139" t="str">
        <f aca="false">IFERROR(VLOOKUP("i"&amp;RIGHT(("00"&amp;(E$2+$A100)),3),Input!$B$3:$C$217,2,FALSE()),"")</f>
        <v/>
      </c>
      <c r="F100" s="139" t="str">
        <f aca="false">IFERROR(VLOOKUP("i"&amp;RIGHT(("00"&amp;(F$2+$A100)),3),Input!$B$3:$C$217,2,FALSE()),"")</f>
        <v/>
      </c>
      <c r="G100" s="139" t="str">
        <f aca="false">IFERROR(VLOOKUP("i"&amp;RIGHT(("00"&amp;(G$2+$A100)),3),Input!$B$3:$C$217,2,FALSE()),"")</f>
        <v/>
      </c>
      <c r="H100" s="139" t="str">
        <f aca="false">IFERROR(VLOOKUP("i"&amp;RIGHT(("00"&amp;(H$2+$A100)),3),Input!$B$3:$C$217,2,FALSE()),"")</f>
        <v/>
      </c>
      <c r="I100" s="139" t="str">
        <f aca="false">IFERROR(VLOOKUP("i"&amp;RIGHT(("00"&amp;(I$2+$A100)),3),Input!$B$3:$C$217,2,FALSE()),"")</f>
        <v/>
      </c>
      <c r="J100" s="139" t="str">
        <f aca="false">IFERROR(VLOOKUP("i"&amp;RIGHT(("00"&amp;(J$2+$A100)),3),Input!$B$3:$C$217,2,FALSE()),"")</f>
        <v/>
      </c>
      <c r="K100" s="139" t="str">
        <f aca="false">IFERROR(VLOOKUP("i"&amp;RIGHT(("00"&amp;(K$2+$A100)),3),Input!$B$3:$C$217,2,FALSE()),"")</f>
        <v/>
      </c>
    </row>
    <row r="101" customFormat="false" ht="11.25" hidden="false" customHeight="false" outlineLevel="0" collapsed="false">
      <c r="A101" s="129" t="n">
        <v>99</v>
      </c>
      <c r="B101" s="139" t="str">
        <f aca="false">IFERROR(VLOOKUP("i"&amp;RIGHT(("00"&amp;(B$2+$A101)),3),Input!$B$3:$C$217,2,FALSE()),"")</f>
        <v/>
      </c>
      <c r="C101" s="139" t="str">
        <f aca="false">IFERROR(VLOOKUP("i"&amp;RIGHT(("00"&amp;(C$2+$A101)),3),Input!$B$3:$C$217,2,FALSE()),"")</f>
        <v/>
      </c>
      <c r="D101" s="139" t="str">
        <f aca="false">IFERROR(VLOOKUP("i"&amp;RIGHT(("00"&amp;(D$2+$A101)),3),Input!$B$3:$C$217,2,FALSE()),"")</f>
        <v/>
      </c>
      <c r="E101" s="139" t="str">
        <f aca="false">IFERROR(VLOOKUP("i"&amp;RIGHT(("00"&amp;(E$2+$A101)),3),Input!$B$3:$C$217,2,FALSE()),"")</f>
        <v/>
      </c>
      <c r="F101" s="139" t="str">
        <f aca="false">IFERROR(VLOOKUP("i"&amp;RIGHT(("00"&amp;(F$2+$A101)),3),Input!$B$3:$C$217,2,FALSE()),"")</f>
        <v/>
      </c>
      <c r="G101" s="139" t="str">
        <f aca="false">IFERROR(VLOOKUP("i"&amp;RIGHT(("00"&amp;(G$2+$A101)),3),Input!$B$3:$C$217,2,FALSE()),"")</f>
        <v/>
      </c>
      <c r="H101" s="139" t="str">
        <f aca="false">IFERROR(VLOOKUP("i"&amp;RIGHT(("00"&amp;(H$2+$A101)),3),Input!$B$3:$C$217,2,FALSE()),"")</f>
        <v/>
      </c>
      <c r="I101" s="139" t="str">
        <f aca="false">IFERROR(VLOOKUP("i"&amp;RIGHT(("00"&amp;(I$2+$A101)),3),Input!$B$3:$C$217,2,FALSE()),"")</f>
        <v/>
      </c>
      <c r="J101" s="139" t="str">
        <f aca="false">IFERROR(VLOOKUP("i"&amp;RIGHT(("00"&amp;(J$2+$A101)),3),Input!$B$3:$C$217,2,FALSE()),"")</f>
        <v/>
      </c>
      <c r="K101" s="139" t="str">
        <f aca="false">IFERROR(VLOOKUP("i"&amp;RIGHT(("00"&amp;(K$2+$A101)),3),Input!$B$3:$C$217,2,FALSE()),"")</f>
        <v/>
      </c>
    </row>
    <row r="102" customFormat="false" ht="11.25" hidden="false" customHeight="false" outlineLevel="0" collapsed="false">
      <c r="A102" s="129" t="n">
        <v>100</v>
      </c>
      <c r="B102" s="139" t="str">
        <f aca="false">IFERROR(VLOOKUP("i"&amp;RIGHT(("00"&amp;(B$2+$A102)),3),Input!$B$3:$C$217,2,FALSE()),"")</f>
        <v/>
      </c>
      <c r="C102" s="139" t="str">
        <f aca="false">IFERROR(VLOOKUP("i"&amp;RIGHT(("00"&amp;(C$2+$A102)),3),Input!$B$3:$C$217,2,FALSE()),"")</f>
        <v/>
      </c>
      <c r="D102" s="139" t="str">
        <f aca="false">IFERROR(VLOOKUP("i"&amp;RIGHT(("00"&amp;(D$2+$A102)),3),Input!$B$3:$C$217,2,FALSE()),"")</f>
        <v/>
      </c>
      <c r="E102" s="139" t="str">
        <f aca="false">IFERROR(VLOOKUP("i"&amp;RIGHT(("00"&amp;(E$2+$A102)),3),Input!$B$3:$C$217,2,FALSE()),"")</f>
        <v/>
      </c>
      <c r="F102" s="139" t="str">
        <f aca="false">IFERROR(VLOOKUP("i"&amp;RIGHT(("00"&amp;(F$2+$A102)),3),Input!$B$3:$C$217,2,FALSE()),"")</f>
        <v/>
      </c>
      <c r="G102" s="139" t="str">
        <f aca="false">IFERROR(VLOOKUP("i"&amp;RIGHT(("00"&amp;(G$2+$A102)),3),Input!$B$3:$C$217,2,FALSE()),"")</f>
        <v/>
      </c>
      <c r="H102" s="139" t="str">
        <f aca="false">IFERROR(VLOOKUP("i"&amp;RIGHT(("00"&amp;(H$2+$A102)),3),Input!$B$3:$C$217,2,FALSE()),"")</f>
        <v/>
      </c>
      <c r="I102" s="139" t="str">
        <f aca="false">IFERROR(VLOOKUP("i"&amp;RIGHT(("00"&amp;(I$2+$A102)),3),Input!$B$3:$C$217,2,FALSE()),"")</f>
        <v/>
      </c>
      <c r="J102" s="139" t="str">
        <f aca="false">IFERROR(VLOOKUP("i"&amp;RIGHT(("00"&amp;(J$2+$A102)),3),Input!$B$3:$C$217,2,FALSE()),"")</f>
        <v/>
      </c>
      <c r="K102" s="139" t="str">
        <f aca="false">IFERROR(VLOOKUP("i"&amp;RIGHT(("00"&amp;(K$2+$A102)),3),Input!$B$3:$C$217,2,FALSE()),"")</f>
        <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3.5" customHeight="false" zeroHeight="false" outlineLevelRow="0" outlineLevelCol="0"/>
  <cols>
    <col collapsed="false" customWidth="true" hidden="false" outlineLevel="0" max="2" min="2" style="1" width="11.12"/>
    <col collapsed="false" customWidth="true" hidden="false" outlineLevel="0" max="4" min="4" style="1" width="13.63"/>
    <col collapsed="false" customWidth="true" hidden="false" outlineLevel="0" max="6" min="6" style="1" width="13.88"/>
    <col collapsed="false" customWidth="true" hidden="false" outlineLevel="0" max="8" min="8" style="1" width="11.75"/>
  </cols>
  <sheetData>
    <row r="1" customFormat="false" ht="13.8" hidden="false" customHeight="false" outlineLevel="0" collapsed="false">
      <c r="A1" s="1" t="s">
        <v>2597</v>
      </c>
      <c r="H1" s="140" t="s">
        <v>2598</v>
      </c>
    </row>
    <row r="2" customFormat="false" ht="13.8" hidden="false" customHeight="false" outlineLevel="0" collapsed="false">
      <c r="H2" s="140"/>
    </row>
    <row r="3" customFormat="false" ht="13.8" hidden="false" customHeight="false" outlineLevel="0" collapsed="false">
      <c r="B3" s="1" t="s">
        <v>2599</v>
      </c>
      <c r="D3" s="1" t="s">
        <v>2600</v>
      </c>
    </row>
    <row r="4" customFormat="false" ht="13.8" hidden="false" customHeight="false" outlineLevel="0" collapsed="false">
      <c r="E4" s="1" t="s">
        <v>2601</v>
      </c>
      <c r="P4" s="1" t="s">
        <v>2602</v>
      </c>
    </row>
    <row r="5" customFormat="false" ht="13.8" hidden="false" customHeight="false" outlineLevel="0" collapsed="false">
      <c r="B5" s="141" t="s">
        <v>2603</v>
      </c>
      <c r="D5" s="141" t="s">
        <v>2604</v>
      </c>
      <c r="F5" s="142" t="s">
        <v>2605</v>
      </c>
      <c r="H5" s="142" t="s">
        <v>2606</v>
      </c>
      <c r="P5" s="1" t="s">
        <v>2607</v>
      </c>
    </row>
    <row r="6" customFormat="false" ht="13.8" hidden="false" customHeight="false" outlineLevel="0" collapsed="false">
      <c r="E6" s="1" t="s">
        <v>2601</v>
      </c>
      <c r="P6" s="1" t="s">
        <v>2608</v>
      </c>
    </row>
    <row r="7" customFormat="false" ht="13.8" hidden="false" customHeight="false" outlineLevel="0" collapsed="false">
      <c r="D7" s="8" t="s">
        <v>2609</v>
      </c>
      <c r="F7" s="142" t="s">
        <v>2610</v>
      </c>
      <c r="H7" s="1" t="s">
        <v>2611</v>
      </c>
      <c r="P7" s="1" t="s">
        <v>2612</v>
      </c>
    </row>
    <row r="8" customFormat="false" ht="13.8" hidden="false" customHeight="false" outlineLevel="0" collapsed="false">
      <c r="P8" s="1" t="s">
        <v>2613</v>
      </c>
    </row>
    <row r="9" customFormat="false" ht="13.8" hidden="false" customHeight="false" outlineLevel="0" collapsed="false">
      <c r="E9" s="1" t="s">
        <v>2614</v>
      </c>
      <c r="P9" s="1" t="s">
        <v>2615</v>
      </c>
    </row>
    <row r="10" customFormat="false" ht="13.8" hidden="false" customHeight="false" outlineLevel="0" collapsed="false"/>
    <row r="11" customFormat="false" ht="13.8" hidden="false" customHeight="false" outlineLevel="0" collapsed="false">
      <c r="D11" s="8" t="s">
        <v>2616</v>
      </c>
      <c r="F11" s="142" t="s">
        <v>2617</v>
      </c>
      <c r="M11" s="143" t="s">
        <v>99</v>
      </c>
    </row>
    <row r="12" customFormat="false" ht="13.8" hidden="false" customHeight="false" outlineLevel="0" collapsed="false">
      <c r="M12" s="1" t="s">
        <v>2618</v>
      </c>
    </row>
    <row r="13" customFormat="false" ht="13.8" hidden="false" customHeight="false" outlineLevel="0" collapsed="false">
      <c r="D13" s="8" t="s">
        <v>2619</v>
      </c>
      <c r="F13" s="142" t="s">
        <v>2620</v>
      </c>
      <c r="M13" s="1" t="s">
        <v>2621</v>
      </c>
    </row>
    <row r="14" customFormat="false" ht="13.8" hidden="false" customHeight="false" outlineLevel="0" collapsed="false"/>
    <row r="15" customFormat="false" ht="13.8" hidden="false" customHeight="false" outlineLevel="0" collapsed="false">
      <c r="D15" s="8" t="s">
        <v>2622</v>
      </c>
      <c r="F15" s="142" t="s">
        <v>2623</v>
      </c>
      <c r="G15" s="1" t="s">
        <v>2624</v>
      </c>
      <c r="M15" s="1" t="s">
        <v>2625</v>
      </c>
    </row>
    <row r="16" customFormat="false" ht="13.8" hidden="false" customHeight="false" outlineLevel="0" collapsed="false"/>
    <row r="17" customFormat="false" ht="13.8" hidden="false" customHeight="false" outlineLevel="0" collapsed="false">
      <c r="D17" s="141" t="s">
        <v>2626</v>
      </c>
      <c r="F17" s="141" t="s">
        <v>2627</v>
      </c>
      <c r="G17" s="1" t="s">
        <v>2628</v>
      </c>
    </row>
    <row r="18" customFormat="false" ht="13.8" hidden="false" customHeight="false" outlineLevel="0" collapsed="false">
      <c r="H18" s="1" t="s">
        <v>2629</v>
      </c>
    </row>
    <row r="19" customFormat="false" ht="13.8" hidden="false" customHeight="false" outlineLevel="0" collapsed="false">
      <c r="F19" s="141" t="s">
        <v>2630</v>
      </c>
    </row>
    <row r="20" customFormat="false" ht="13.8" hidden="false" customHeight="false" outlineLevel="0" collapsed="false"/>
    <row r="21" customFormat="false" ht="13.8" hidden="false" customHeight="false" outlineLevel="0" collapsed="false">
      <c r="F21" s="141" t="s">
        <v>2631</v>
      </c>
    </row>
    <row r="22" customFormat="false" ht="13.8" hidden="false" customHeight="false" outlineLevel="0" collapsed="false"/>
    <row r="23" customFormat="false" ht="13.8" hidden="false" customHeight="false" outlineLevel="0" collapsed="false">
      <c r="D23" s="8" t="s">
        <v>2632</v>
      </c>
      <c r="F23" s="141" t="s">
        <v>2633</v>
      </c>
    </row>
    <row r="24" customFormat="false" ht="13.8" hidden="false" customHeight="false" outlineLevel="0" collapsed="false"/>
    <row r="25" customFormat="false" ht="13.8" hidden="false" customHeight="false" outlineLevel="0" collapsed="false">
      <c r="F25" s="141" t="s">
        <v>2634</v>
      </c>
      <c r="H25" s="1" t="s">
        <v>2635</v>
      </c>
    </row>
    <row r="26" customFormat="false" ht="13.8" hidden="false" customHeight="false" outlineLevel="0" collapsed="false"/>
    <row r="27" customFormat="false" ht="13.8" hidden="false" customHeight="false" outlineLevel="0" collapsed="false">
      <c r="D27" s="141" t="s">
        <v>2636</v>
      </c>
    </row>
    <row r="28" customFormat="false" ht="13.8" hidden="false" customHeight="false" outlineLevel="0" collapsed="false"/>
    <row r="29" customFormat="false" ht="13.8" hidden="false" customHeight="false" outlineLevel="0" collapsed="false">
      <c r="D29" s="8" t="s">
        <v>2637</v>
      </c>
      <c r="F29" s="141" t="s">
        <v>2638</v>
      </c>
    </row>
    <row r="30" customFormat="false" ht="13.8" hidden="false" customHeight="false" outlineLevel="0" collapsed="false"/>
    <row r="31" customFormat="false" ht="13.8" hidden="false" customHeight="false" outlineLevel="0" collapsed="false">
      <c r="F31" s="141" t="s">
        <v>2639</v>
      </c>
    </row>
    <row r="32" customFormat="false" ht="13.8" hidden="false" customHeight="false" outlineLevel="0" collapsed="false"/>
    <row r="33" customFormat="false" ht="13.8" hidden="false" customHeight="false" outlineLevel="0" collapsed="false">
      <c r="F33" s="141" t="s">
        <v>2640</v>
      </c>
    </row>
    <row r="34" customFormat="false" ht="13.8" hidden="false" customHeight="false" outlineLevel="0" collapsed="false"/>
    <row r="35" customFormat="false" ht="13.8" hidden="false" customHeight="false" outlineLevel="0" collapsed="false">
      <c r="F35" s="141" t="s">
        <v>2641</v>
      </c>
    </row>
    <row r="36" customFormat="false" ht="13.8" hidden="false" customHeight="false" outlineLevel="0" collapsed="false"/>
    <row r="37" customFormat="false" ht="13.8" hidden="false" customHeight="false" outlineLevel="0" collapsed="false"/>
    <row r="38" customFormat="false" ht="13.8" hidden="false" customHeight="false" outlineLevel="0" collapsed="false">
      <c r="D38" s="141" t="s">
        <v>2642</v>
      </c>
      <c r="F38" s="142" t="s">
        <v>2643</v>
      </c>
      <c r="G38" s="1" t="s">
        <v>2644</v>
      </c>
    </row>
    <row r="39" customFormat="false" ht="13.8" hidden="false" customHeight="false" outlineLevel="0" collapsed="false">
      <c r="G39" s="1" t="s">
        <v>2611</v>
      </c>
    </row>
    <row r="40" customFormat="false" ht="13.8" hidden="false" customHeight="false" outlineLevel="0" collapsed="false">
      <c r="F40" s="142" t="s">
        <v>2645</v>
      </c>
    </row>
    <row r="41" customFormat="false" ht="13.8" hidden="false" customHeight="false" outlineLevel="0" collapsed="false">
      <c r="E41" s="1" t="s">
        <v>2646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3.5" customHeight="false" zeroHeight="false" outlineLevelRow="0" outlineLevelCol="0"/>
  <cols>
    <col collapsed="false" customWidth="true" hidden="false" outlineLevel="0" max="2" min="1" style="1" width="2.12"/>
    <col collapsed="false" customWidth="true" hidden="false" outlineLevel="0" max="3" min="3" style="1" width="11.38"/>
    <col collapsed="false" customWidth="true" hidden="false" outlineLevel="0" max="5" min="5" style="1" width="10.5"/>
    <col collapsed="false" customWidth="true" hidden="false" outlineLevel="0" max="6" min="6" style="1" width="8.37"/>
    <col collapsed="false" customWidth="true" hidden="false" outlineLevel="0" max="7" min="7" style="1" width="10.5"/>
    <col collapsed="false" customWidth="true" hidden="false" outlineLevel="0" max="8" min="8" style="1" width="6.63"/>
    <col collapsed="false" customWidth="true" hidden="false" outlineLevel="0" max="9" min="9" style="1" width="8"/>
    <col collapsed="false" customWidth="true" hidden="false" outlineLevel="0" max="16" min="10" style="1" width="6.63"/>
  </cols>
  <sheetData>
    <row r="1" customFormat="false" ht="13.5" hidden="false" customHeight="false" outlineLevel="0" collapsed="false">
      <c r="D1" s="1" t="s">
        <v>2647</v>
      </c>
    </row>
    <row r="2" customFormat="false" ht="13.5" hidden="false" customHeight="false" outlineLevel="0" collapsed="false">
      <c r="I2" s="1" t="s">
        <v>2648</v>
      </c>
      <c r="K2" s="1" t="s">
        <v>2649</v>
      </c>
    </row>
    <row r="3" customFormat="false" ht="13.5" hidden="false" customHeight="false" outlineLevel="0" collapsed="false">
      <c r="I3" s="1" t="s">
        <v>2650</v>
      </c>
      <c r="M3" s="1" t="s">
        <v>2651</v>
      </c>
    </row>
    <row r="6" customFormat="false" ht="13.5" hidden="false" customHeight="false" outlineLevel="0" collapsed="false">
      <c r="A6" s="25"/>
      <c r="B6" s="25"/>
      <c r="C6" s="144" t="s">
        <v>2652</v>
      </c>
      <c r="E6" s="1" t="s">
        <v>2653</v>
      </c>
      <c r="J6" s="1" t="s">
        <v>2654</v>
      </c>
      <c r="K6" s="1" t="s">
        <v>2547</v>
      </c>
      <c r="L6" s="1" t="s">
        <v>2655</v>
      </c>
      <c r="M6" s="1" t="s">
        <v>2656</v>
      </c>
      <c r="N6" s="1" t="s">
        <v>2657</v>
      </c>
      <c r="O6" s="1" t="s">
        <v>2658</v>
      </c>
      <c r="P6" s="1" t="s">
        <v>2659</v>
      </c>
    </row>
    <row r="7" s="20" customFormat="true" ht="23.85" hidden="false" customHeight="false" outlineLevel="0" collapsed="false">
      <c r="E7" s="20" t="s">
        <v>2660</v>
      </c>
      <c r="F7" s="20" t="s">
        <v>2661</v>
      </c>
      <c r="G7" s="20" t="s">
        <v>2662</v>
      </c>
      <c r="H7" s="20" t="s">
        <v>2663</v>
      </c>
      <c r="I7" s="20" t="s">
        <v>2664</v>
      </c>
      <c r="J7" s="20" t="s">
        <v>2665</v>
      </c>
      <c r="K7" s="20" t="s">
        <v>2666</v>
      </c>
      <c r="L7" s="20" t="s">
        <v>2667</v>
      </c>
      <c r="M7" s="20" t="s">
        <v>2668</v>
      </c>
      <c r="N7" s="20" t="s">
        <v>2669</v>
      </c>
      <c r="O7" s="20" t="s">
        <v>2670</v>
      </c>
      <c r="P7" s="20" t="s">
        <v>2671</v>
      </c>
    </row>
    <row r="8" s="26" customFormat="true" ht="13.5" hidden="false" customHeight="false" outlineLevel="0" collapsed="false">
      <c r="C8" s="26" t="str">
        <f aca="false">IF(消費量クラス!$R$1="AS","","$this-&gt;")&amp;"defEquipment['"&amp;E8&amp;"'] = [ '"&amp;E8&amp;"', '"&amp;F8&amp;"', '"&amp;H8&amp;"', '"&amp;I8&amp;"']; "&amp;"defEquipmentSize['"&amp;E8&amp;"'] = new Array();"</f>
        <v>defEquipment['TV'] = [ 'TV', 'テレビ', 'インチ', 'kWh/年']; defEquipmentSize['TV'] = new Array();</v>
      </c>
      <c r="E8" s="26" t="s">
        <v>81</v>
      </c>
      <c r="F8" s="26" t="s">
        <v>79</v>
      </c>
      <c r="G8" s="26" t="s">
        <v>2623</v>
      </c>
      <c r="H8" s="26" t="s">
        <v>1789</v>
      </c>
      <c r="I8" s="26" t="s">
        <v>2672</v>
      </c>
      <c r="R8" s="26" t="s">
        <v>2673</v>
      </c>
      <c r="T8" s="26" t="s">
        <v>2674</v>
      </c>
    </row>
    <row r="9" customFormat="false" ht="13.5" hidden="false" customHeight="false" outlineLevel="0" collapsed="false">
      <c r="C9" s="1" t="str">
        <f aca="false">IF(消費量クラス!$R$1="AS","","$this-&gt;")&amp;"defEquipment['"&amp;E9&amp;"'] = [ '"&amp;E9&amp;"', '"&amp;F9&amp;"', '"&amp;H9&amp;"', '"&amp;I9&amp;"']; "&amp;"defEquipmentSize['"&amp;E9&amp;"'] = new Array();"</f>
        <v>defEquipment['TV'] = [ 'TV', '', '', '']; defEquipmentSize['TV'] = new Array();</v>
      </c>
      <c r="E9" s="1" t="s">
        <v>81</v>
      </c>
      <c r="J9" s="25" t="n">
        <f aca="false">IF(J8="",0,J8+1)</f>
        <v>0</v>
      </c>
      <c r="K9" s="25" t="n">
        <v>20</v>
      </c>
      <c r="L9" s="25" t="n">
        <v>100</v>
      </c>
      <c r="M9" s="25" t="n">
        <v>40</v>
      </c>
      <c r="N9" s="25"/>
      <c r="O9" s="25" t="n">
        <v>60</v>
      </c>
      <c r="P9" s="25"/>
      <c r="R9" s="1" t="s">
        <v>2675</v>
      </c>
      <c r="S9" s="1" t="str">
        <f aca="false">F7</f>
        <v>機器名</v>
      </c>
      <c r="T9" s="1" t="s">
        <v>2675</v>
      </c>
      <c r="U9" s="1" t="str">
        <f aca="false">K7</f>
        <v>ランク・サイズ</v>
      </c>
    </row>
    <row r="10" customFormat="false" ht="13.5" hidden="false" customHeight="false" outlineLevel="0" collapsed="false">
      <c r="C10" s="1" t="str">
        <f aca="false">IF(消費量クラス!$R$1="AS","","$this-&gt;")&amp;"defEquipment['"&amp;E10&amp;"'] = [ '"&amp;E10&amp;"', '"&amp;F10&amp;"', '"&amp;H10&amp;"', '"&amp;I10&amp;"']; "&amp;"defEquipmentSize['"&amp;E10&amp;"'] = new Array();"</f>
        <v>defEquipment['TV'] = [ 'TV', '', '', '']; defEquipmentSize['TV'] = new Array();</v>
      </c>
      <c r="E10" s="1" t="s">
        <v>81</v>
      </c>
      <c r="J10" s="25" t="n">
        <f aca="false">IF(J9="",0,J9+1)</f>
        <v>1</v>
      </c>
      <c r="K10" s="25" t="n">
        <v>30</v>
      </c>
      <c r="L10" s="25" t="n">
        <v>160</v>
      </c>
      <c r="M10" s="25" t="n">
        <v>60</v>
      </c>
      <c r="N10" s="25"/>
      <c r="O10" s="25" t="n">
        <v>100</v>
      </c>
      <c r="P10" s="25"/>
      <c r="R10" s="1" t="s">
        <v>2676</v>
      </c>
      <c r="S10" s="1" t="str">
        <f aca="false">G7</f>
        <v>所属消費クラス</v>
      </c>
      <c r="T10" s="1" t="s">
        <v>2676</v>
      </c>
      <c r="U10" s="1" t="str">
        <f aca="false">L7</f>
        <v>過去性能</v>
      </c>
    </row>
    <row r="11" customFormat="false" ht="13.5" hidden="false" customHeight="false" outlineLevel="0" collapsed="false">
      <c r="C11" s="1" t="str">
        <f aca="false">IF(消費量クラス!$R$1="AS","","$this-&gt;")&amp;"defEquipment['"&amp;E11&amp;"'] = [ '"&amp;E11&amp;"', '"&amp;F11&amp;"', '"&amp;H11&amp;"', '"&amp;I11&amp;"']; "&amp;"defEquipmentSize['"&amp;E11&amp;"'] = new Array();"</f>
        <v>defEquipment['TV'] = [ 'TV', '', '', '']; defEquipmentSize['TV'] = new Array();</v>
      </c>
      <c r="E11" s="1" t="s">
        <v>81</v>
      </c>
      <c r="J11" s="25" t="n">
        <f aca="false">IF(J10="",0,J10+1)</f>
        <v>2</v>
      </c>
      <c r="K11" s="25" t="n">
        <v>40</v>
      </c>
      <c r="L11" s="25" t="n">
        <v>250</v>
      </c>
      <c r="M11" s="25" t="n">
        <v>100</v>
      </c>
      <c r="N11" s="25"/>
      <c r="O11" s="25" t="n">
        <v>150</v>
      </c>
      <c r="P11" s="25"/>
      <c r="R11" s="1" t="s">
        <v>2677</v>
      </c>
      <c r="S11" s="1" t="str">
        <f aca="false">H7</f>
        <v>ランク単位</v>
      </c>
      <c r="T11" s="1" t="s">
        <v>2677</v>
      </c>
      <c r="U11" s="1" t="str">
        <f aca="false">M7</f>
        <v>省エネ型性能</v>
      </c>
    </row>
    <row r="12" customFormat="false" ht="13.5" hidden="false" customHeight="false" outlineLevel="0" collapsed="false">
      <c r="C12" s="1" t="str">
        <f aca="false">IF(消費量クラス!$R$1="AS","","$this-&gt;")&amp;"defEquipment['"&amp;E12&amp;"'] = [ '"&amp;E12&amp;"', '"&amp;F12&amp;"', '"&amp;H12&amp;"', '"&amp;I12&amp;"']; "&amp;"defEquipmentSize['"&amp;E12&amp;"'] = new Array();"</f>
        <v>defEquipment['TV'] = [ 'TV', '', '', '']; defEquipmentSize['TV'] = new Array();</v>
      </c>
      <c r="E12" s="1" t="s">
        <v>81</v>
      </c>
      <c r="J12" s="25" t="n">
        <f aca="false">IF(J11="",0,J11+1)</f>
        <v>3</v>
      </c>
      <c r="K12" s="25" t="n">
        <v>50</v>
      </c>
      <c r="L12" s="25" t="n">
        <v>400</v>
      </c>
      <c r="M12" s="25" t="n">
        <v>150</v>
      </c>
      <c r="N12" s="25"/>
      <c r="O12" s="25" t="n">
        <v>250</v>
      </c>
      <c r="P12" s="25"/>
      <c r="R12" s="1" t="s">
        <v>2678</v>
      </c>
      <c r="S12" s="1" t="str">
        <f aca="false">I7</f>
        <v>性能単位</v>
      </c>
      <c r="T12" s="1" t="s">
        <v>2678</v>
      </c>
      <c r="U12" s="1" t="str">
        <f aca="false">N7</f>
        <v>省エネ型価格</v>
      </c>
    </row>
    <row r="13" s="26" customFormat="true" ht="13.5" hidden="false" customHeight="false" outlineLevel="0" collapsed="false">
      <c r="C13" s="26" t="str">
        <f aca="false">IF(消費量クラス!$R$1="AS","","$this-&gt;")&amp;"defEquipment['"&amp;E13&amp;"'] = [ '"&amp;E13&amp;"', '"&amp;F13&amp;"', '"&amp;H13&amp;"', '"&amp;I13&amp;"']; "&amp;"defEquipmentSize['"&amp;E13&amp;"'] = new Array();"</f>
        <v>defEquipment['LI_FB'] = [ 'LI_FB', '電球型蛍光灯', '型', 'W']; defEquipmentSize['LI_FB'] = new Array();</v>
      </c>
      <c r="E13" s="26" t="s">
        <v>2679</v>
      </c>
      <c r="F13" s="26" t="s">
        <v>2680</v>
      </c>
      <c r="G13" s="26" t="s">
        <v>2620</v>
      </c>
      <c r="H13" s="26" t="s">
        <v>2681</v>
      </c>
      <c r="I13" s="26" t="s">
        <v>1724</v>
      </c>
      <c r="R13" s="26" t="s">
        <v>2682</v>
      </c>
      <c r="T13" s="26" t="s">
        <v>2682</v>
      </c>
      <c r="U13" s="26" t="str">
        <f aca="false">O7</f>
        <v>標準性能</v>
      </c>
    </row>
    <row r="14" customFormat="false" ht="13.5" hidden="false" customHeight="false" outlineLevel="0" collapsed="false">
      <c r="C14" s="1" t="str">
        <f aca="false">IF(消費量クラス!$R$1="AS","","$this-&gt;")&amp;"defEquipment['"&amp;E14&amp;"'] = [ '"&amp;E14&amp;"', '"&amp;F14&amp;"', '"&amp;H14&amp;"', '"&amp;I14&amp;"']; "&amp;"defEquipmentSize['"&amp;E14&amp;"'] = new Array();"</f>
        <v>defEquipment['LI_FB'] = [ 'LI_FB', '', '', '']; defEquipmentSize['LI_FB'] = new Array();</v>
      </c>
      <c r="E14" s="1" t="s">
        <v>2679</v>
      </c>
      <c r="J14" s="25" t="n">
        <f aca="false">IF(J13="",0,J13+1)</f>
        <v>0</v>
      </c>
      <c r="K14" s="25" t="n">
        <v>20</v>
      </c>
      <c r="L14" s="25"/>
      <c r="M14" s="25" t="n">
        <v>6</v>
      </c>
      <c r="N14" s="25" t="n">
        <v>1000</v>
      </c>
      <c r="O14" s="25"/>
      <c r="P14" s="25"/>
      <c r="R14" s="1" t="s">
        <v>2683</v>
      </c>
      <c r="T14" s="1" t="s">
        <v>2683</v>
      </c>
      <c r="U14" s="1" t="str">
        <f aca="false">P7</f>
        <v>標準価格</v>
      </c>
    </row>
    <row r="15" customFormat="false" ht="13.5" hidden="false" customHeight="false" outlineLevel="0" collapsed="false">
      <c r="C15" s="1" t="str">
        <f aca="false">IF(消費量クラス!$R$1="AS","","$this-&gt;")&amp;"defEquipment['"&amp;E15&amp;"'] = [ '"&amp;E15&amp;"', '"&amp;F15&amp;"', '"&amp;H15&amp;"', '"&amp;I15&amp;"']; "&amp;"defEquipmentSize['"&amp;E15&amp;"'] = new Array();"</f>
        <v>defEquipment['LI_FB'] = [ 'LI_FB', '', '', '']; defEquipmentSize['LI_FB'] = new Array();</v>
      </c>
      <c r="E15" s="1" t="s">
        <v>2679</v>
      </c>
      <c r="J15" s="25" t="n">
        <f aca="false">IF(J14="",0,J14+1)</f>
        <v>1</v>
      </c>
      <c r="K15" s="25" t="n">
        <v>40</v>
      </c>
      <c r="L15" s="25"/>
      <c r="M15" s="25" t="n">
        <v>12</v>
      </c>
      <c r="N15" s="25" t="n">
        <v>1000</v>
      </c>
      <c r="O15" s="25"/>
      <c r="P15" s="25"/>
    </row>
    <row r="16" customFormat="false" ht="13.5" hidden="false" customHeight="false" outlineLevel="0" collapsed="false">
      <c r="C16" s="1" t="str">
        <f aca="false">IF(消費量クラス!$R$1="AS","","$this-&gt;")&amp;"defEquipment['"&amp;E16&amp;"'] = [ '"&amp;E16&amp;"', '"&amp;F16&amp;"', '"&amp;H16&amp;"', '"&amp;I16&amp;"']; "&amp;"defEquipmentSize['"&amp;E16&amp;"'] = new Array();"</f>
        <v>defEquipment['LI_FB'] = [ 'LI_FB', '', '', '']; defEquipmentSize['LI_FB'] = new Array();</v>
      </c>
      <c r="E16" s="1" t="s">
        <v>2679</v>
      </c>
      <c r="J16" s="25" t="n">
        <f aca="false">IF(J15="",0,J15+1)</f>
        <v>2</v>
      </c>
      <c r="K16" s="25" t="n">
        <v>60</v>
      </c>
      <c r="L16" s="25"/>
      <c r="M16" s="25" t="n">
        <v>17</v>
      </c>
      <c r="N16" s="25" t="n">
        <v>1000</v>
      </c>
      <c r="O16" s="25"/>
      <c r="P16" s="25"/>
    </row>
    <row r="17" customFormat="false" ht="13.5" hidden="false" customHeight="false" outlineLevel="0" collapsed="false">
      <c r="C17" s="1" t="str">
        <f aca="false">IF(消費量クラス!$R$1="AS","","$this-&gt;")&amp;"defEquipment['"&amp;E17&amp;"'] = [ '"&amp;E17&amp;"', '"&amp;F17&amp;"', '"&amp;H17&amp;"', '"&amp;I17&amp;"']; "&amp;"defEquipmentSize['"&amp;E17&amp;"'] = new Array();"</f>
        <v>defEquipment['LI_FB'] = [ 'LI_FB', '', '', '']; defEquipmentSize['LI_FB'] = new Array();</v>
      </c>
      <c r="E17" s="1" t="s">
        <v>2679</v>
      </c>
      <c r="J17" s="25" t="n">
        <f aca="false">IF(J16="",0,J16+1)</f>
        <v>3</v>
      </c>
      <c r="K17" s="25" t="n">
        <v>100</v>
      </c>
      <c r="L17" s="25"/>
      <c r="M17" s="25" t="n">
        <v>23</v>
      </c>
      <c r="N17" s="25" t="n">
        <v>1500</v>
      </c>
      <c r="O17" s="25"/>
      <c r="P17" s="25"/>
    </row>
    <row r="18" s="26" customFormat="true" ht="13.5" hidden="false" customHeight="false" outlineLevel="0" collapsed="false">
      <c r="C18" s="26" t="str">
        <f aca="false">IF(消費量クラス!$R$1="AS","","$this-&gt;")&amp;"defEquipment['"&amp;E18&amp;"'] = [ '"&amp;E18&amp;"', '"&amp;F18&amp;"', '"&amp;H18&amp;"', '"&amp;I18&amp;"']; "&amp;"defEquipmentSize['"&amp;E18&amp;"'] = new Array();"</f>
        <v>defEquipment['LI_LED'] = [ 'LI_LED', 'LED電球', '型', 'W']; defEquipmentSize['LI_LED'] = new Array();</v>
      </c>
      <c r="E18" s="26" t="s">
        <v>2684</v>
      </c>
      <c r="F18" s="26" t="s">
        <v>834</v>
      </c>
      <c r="G18" s="26" t="s">
        <v>2620</v>
      </c>
      <c r="H18" s="26" t="s">
        <v>2681</v>
      </c>
      <c r="I18" s="26" t="s">
        <v>1724</v>
      </c>
    </row>
    <row r="19" customFormat="false" ht="13.5" hidden="false" customHeight="false" outlineLevel="0" collapsed="false">
      <c r="C19" s="1" t="str">
        <f aca="false">IF(消費量クラス!$R$1="AS","","$this-&gt;")&amp;"defEquipment['"&amp;E19&amp;"'] = [ '"&amp;E19&amp;"', '"&amp;F19&amp;"', '"&amp;H19&amp;"', '"&amp;I19&amp;"']; "&amp;"defEquipmentSize['"&amp;E19&amp;"'] = new Array();"</f>
        <v>defEquipment['LI_LED'] = [ 'LI_LED', '', '', '']; defEquipmentSize['LI_LED'] = new Array();</v>
      </c>
      <c r="E19" s="1" t="s">
        <v>2684</v>
      </c>
      <c r="J19" s="25" t="n">
        <f aca="false">IF(J18="",0,J18+1)</f>
        <v>0</v>
      </c>
      <c r="K19" s="25" t="n">
        <v>20</v>
      </c>
      <c r="L19" s="25"/>
      <c r="M19" s="25" t="n">
        <v>6</v>
      </c>
      <c r="N19" s="25" t="n">
        <v>1000</v>
      </c>
      <c r="O19" s="25"/>
      <c r="P19" s="25"/>
    </row>
    <row r="20" customFormat="false" ht="13.5" hidden="false" customHeight="false" outlineLevel="0" collapsed="false">
      <c r="C20" s="1" t="str">
        <f aca="false">IF(消費量クラス!$R$1="AS","","$this-&gt;")&amp;"defEquipment['"&amp;E20&amp;"'] = [ '"&amp;E20&amp;"', '"&amp;F20&amp;"', '"&amp;H20&amp;"', '"&amp;I20&amp;"']; "&amp;"defEquipmentSize['"&amp;E20&amp;"'] = new Array();"</f>
        <v>defEquipment['LI_LED'] = [ 'LI_LED', '', '', '']; defEquipmentSize['LI_LED'] = new Array();</v>
      </c>
      <c r="E20" s="1" t="s">
        <v>2684</v>
      </c>
      <c r="J20" s="25" t="n">
        <f aca="false">IF(J19="",0,J19+1)</f>
        <v>1</v>
      </c>
      <c r="K20" s="25" t="n">
        <v>40</v>
      </c>
      <c r="L20" s="25"/>
      <c r="M20" s="25" t="n">
        <v>10</v>
      </c>
      <c r="N20" s="25" t="n">
        <v>1500</v>
      </c>
      <c r="O20" s="25"/>
      <c r="P20" s="25"/>
    </row>
    <row r="21" customFormat="false" ht="13.5" hidden="false" customHeight="false" outlineLevel="0" collapsed="false">
      <c r="C21" s="1" t="str">
        <f aca="false">IF(消費量クラス!$R$1="AS","","$this-&gt;")&amp;"defEquipment['"&amp;E21&amp;"'] = [ '"&amp;E21&amp;"', '"&amp;F21&amp;"', '"&amp;H21&amp;"', '"&amp;I21&amp;"']; "&amp;"defEquipmentSize['"&amp;E21&amp;"'] = new Array();"</f>
        <v>defEquipment['LI_LED'] = [ 'LI_LED', '', '', '']; defEquipmentSize['LI_LED'] = new Array();</v>
      </c>
      <c r="E21" s="1" t="s">
        <v>2684</v>
      </c>
      <c r="J21" s="25" t="n">
        <f aca="false">IF(J20="",0,J20+1)</f>
        <v>2</v>
      </c>
      <c r="K21" s="25" t="n">
        <v>60</v>
      </c>
      <c r="L21" s="25"/>
      <c r="M21" s="25" t="n">
        <v>13</v>
      </c>
      <c r="N21" s="25" t="n">
        <v>2000</v>
      </c>
      <c r="O21" s="25"/>
      <c r="P21" s="25"/>
    </row>
    <row r="23" customFormat="false" ht="13.5" hidden="false" customHeight="false" outlineLevel="0" collapsed="false">
      <c r="B23" s="1" t="s">
        <v>2685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1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3.5" customHeight="false" zeroHeight="false" outlineLevelRow="0" outlineLevelCol="0"/>
  <cols>
    <col collapsed="false" customWidth="true" hidden="false" outlineLevel="0" max="4" min="3" style="1" width="10.62"/>
    <col collapsed="false" customWidth="true" hidden="false" outlineLevel="0" max="5" min="5" style="1" width="10.88"/>
  </cols>
  <sheetData>
    <row r="2" customFormat="false" ht="13.5" hidden="false" customHeight="false" outlineLevel="0" collapsed="false">
      <c r="A2" s="1" t="s">
        <v>2686</v>
      </c>
    </row>
    <row r="3" customFormat="false" ht="13.5" hidden="false" customHeight="false" outlineLevel="0" collapsed="false">
      <c r="B3" s="1" t="s">
        <v>2687</v>
      </c>
      <c r="C3" s="1" t="s">
        <v>2688</v>
      </c>
      <c r="F3" s="1" t="s">
        <v>2689</v>
      </c>
    </row>
    <row r="4" customFormat="false" ht="13.5" hidden="false" customHeight="false" outlineLevel="0" collapsed="false">
      <c r="C4" s="1" t="s">
        <v>2690</v>
      </c>
      <c r="F4" s="1" t="s">
        <v>2691</v>
      </c>
    </row>
    <row r="5" customFormat="false" ht="13.5" hidden="false" customHeight="false" outlineLevel="0" collapsed="false">
      <c r="E5" s="1" t="s">
        <v>2692</v>
      </c>
    </row>
    <row r="7" customFormat="false" ht="13.5" hidden="false" customHeight="false" outlineLevel="0" collapsed="false">
      <c r="B7" s="1" t="s">
        <v>2693</v>
      </c>
      <c r="C7" s="1" t="s">
        <v>2694</v>
      </c>
      <c r="F7" s="1" t="s">
        <v>2695</v>
      </c>
    </row>
    <row r="8" customFormat="false" ht="13.5" hidden="false" customHeight="false" outlineLevel="0" collapsed="false">
      <c r="C8" s="1" t="s">
        <v>2696</v>
      </c>
      <c r="F8" s="1" t="s">
        <v>2697</v>
      </c>
    </row>
    <row r="9" customFormat="false" ht="13.5" hidden="false" customHeight="false" outlineLevel="0" collapsed="false">
      <c r="E9" s="1" t="s">
        <v>2698</v>
      </c>
    </row>
    <row r="11" customFormat="false" ht="13.5" hidden="false" customHeight="false" outlineLevel="0" collapsed="false">
      <c r="B11" s="1" t="s">
        <v>2699</v>
      </c>
      <c r="C11" s="1" t="s">
        <v>2700</v>
      </c>
      <c r="F11" s="1" t="s">
        <v>2701</v>
      </c>
    </row>
    <row r="12" customFormat="false" ht="13.5" hidden="false" customHeight="false" outlineLevel="0" collapsed="false">
      <c r="E12" s="1" t="s">
        <v>2702</v>
      </c>
    </row>
    <row r="13" customFormat="false" ht="13.5" hidden="false" customHeight="false" outlineLevel="0" collapsed="false">
      <c r="E13" s="1" t="s">
        <v>2703</v>
      </c>
    </row>
    <row r="14" customFormat="false" ht="13.5" hidden="false" customHeight="false" outlineLevel="0" collapsed="false">
      <c r="C14" s="1" t="s">
        <v>2704</v>
      </c>
      <c r="F14" s="1" t="s">
        <v>2705</v>
      </c>
    </row>
    <row r="15" customFormat="false" ht="13.5" hidden="false" customHeight="false" outlineLevel="0" collapsed="false">
      <c r="C15" s="1" t="s">
        <v>2706</v>
      </c>
      <c r="F15" s="1" t="s">
        <v>2707</v>
      </c>
    </row>
    <row r="16" customFormat="false" ht="13.5" hidden="false" customHeight="false" outlineLevel="0" collapsed="false">
      <c r="E16" s="1" t="s">
        <v>2708</v>
      </c>
    </row>
    <row r="18" customFormat="false" ht="13.5" hidden="false" customHeight="false" outlineLevel="0" collapsed="false">
      <c r="B18" s="1" t="s">
        <v>2709</v>
      </c>
      <c r="C18" s="1" t="s">
        <v>2710</v>
      </c>
      <c r="F18" s="1" t="s">
        <v>2711</v>
      </c>
    </row>
    <row r="19" customFormat="false" ht="13.5" hidden="false" customHeight="false" outlineLevel="0" collapsed="false">
      <c r="C19" s="1" t="s">
        <v>2712</v>
      </c>
      <c r="F19" s="1" t="s">
        <v>2713</v>
      </c>
    </row>
    <row r="20" customFormat="false" ht="13.5" hidden="false" customHeight="false" outlineLevel="0" collapsed="false">
      <c r="F20" s="1" t="s">
        <v>2714</v>
      </c>
    </row>
    <row r="22" customFormat="false" ht="13.5" hidden="false" customHeight="false" outlineLevel="0" collapsed="false">
      <c r="A22" s="1" t="s">
        <v>2715</v>
      </c>
    </row>
    <row r="23" customFormat="false" ht="13.5" hidden="false" customHeight="false" outlineLevel="0" collapsed="false">
      <c r="B23" s="1" t="s">
        <v>2716</v>
      </c>
      <c r="C23" s="1" t="s">
        <v>2717</v>
      </c>
      <c r="F23" s="1" t="s">
        <v>2718</v>
      </c>
    </row>
    <row r="24" customFormat="false" ht="13.5" hidden="false" customHeight="false" outlineLevel="0" collapsed="false">
      <c r="E24" s="1" t="s">
        <v>2719</v>
      </c>
    </row>
    <row r="25" customFormat="false" ht="13.5" hidden="false" customHeight="false" outlineLevel="0" collapsed="false">
      <c r="E25" s="1" t="s">
        <v>2720</v>
      </c>
    </row>
    <row r="27" customFormat="false" ht="13.5" hidden="false" customHeight="false" outlineLevel="0" collapsed="false">
      <c r="C27" s="1" t="s">
        <v>2721</v>
      </c>
      <c r="D27" s="1" t="s">
        <v>2722</v>
      </c>
      <c r="F27" s="1" t="s">
        <v>2723</v>
      </c>
    </row>
    <row r="28" customFormat="false" ht="13.5" hidden="false" customHeight="false" outlineLevel="0" collapsed="false">
      <c r="D28" s="1" t="s">
        <v>2724</v>
      </c>
      <c r="F28" s="1" t="s">
        <v>2725</v>
      </c>
    </row>
    <row r="29" customFormat="false" ht="13.5" hidden="false" customHeight="false" outlineLevel="0" collapsed="false">
      <c r="E29" s="1" t="s">
        <v>2726</v>
      </c>
      <c r="F29" s="1" t="s">
        <v>2727</v>
      </c>
    </row>
    <row r="30" customFormat="false" ht="13.5" hidden="false" customHeight="false" outlineLevel="0" collapsed="false">
      <c r="E30" s="1" t="s">
        <v>2728</v>
      </c>
      <c r="F30" s="1" t="s">
        <v>2729</v>
      </c>
    </row>
    <row r="31" customFormat="false" ht="13.5" hidden="false" customHeight="false" outlineLevel="0" collapsed="false">
      <c r="D31" s="1" t="s">
        <v>2730</v>
      </c>
      <c r="F31" s="1" t="s">
        <v>2731</v>
      </c>
    </row>
    <row r="32" customFormat="false" ht="13.5" hidden="false" customHeight="false" outlineLevel="0" collapsed="false">
      <c r="D32" s="1" t="s">
        <v>2732</v>
      </c>
      <c r="F32" s="1" t="s">
        <v>2733</v>
      </c>
    </row>
    <row r="33" customFormat="false" ht="13.5" hidden="false" customHeight="false" outlineLevel="0" collapsed="false">
      <c r="D33" s="1" t="s">
        <v>2734</v>
      </c>
      <c r="F33" s="1" t="s">
        <v>2735</v>
      </c>
    </row>
    <row r="34" customFormat="false" ht="13.5" hidden="false" customHeight="false" outlineLevel="0" collapsed="false">
      <c r="D34" s="1" t="s">
        <v>2726</v>
      </c>
      <c r="F34" s="1" t="s">
        <v>2736</v>
      </c>
    </row>
    <row r="35" customFormat="false" ht="13.5" hidden="false" customHeight="false" outlineLevel="0" collapsed="false">
      <c r="D35" s="1" t="s">
        <v>2737</v>
      </c>
      <c r="F35" s="1" t="s">
        <v>2738</v>
      </c>
    </row>
    <row r="39" customFormat="false" ht="13.5" hidden="false" customHeight="false" outlineLevel="0" collapsed="false">
      <c r="B39" s="1" t="s">
        <v>2739</v>
      </c>
      <c r="C39" s="1" t="s">
        <v>2740</v>
      </c>
      <c r="F39" s="1" t="s">
        <v>2741</v>
      </c>
    </row>
    <row r="40" customFormat="false" ht="13.5" hidden="false" customHeight="false" outlineLevel="0" collapsed="false">
      <c r="E40" s="1" t="s">
        <v>2692</v>
      </c>
    </row>
    <row r="42" customFormat="false" ht="13.5" hidden="false" customHeight="false" outlineLevel="0" collapsed="false">
      <c r="C42" s="1" t="s">
        <v>2721</v>
      </c>
      <c r="D42" s="1" t="s">
        <v>2742</v>
      </c>
      <c r="F42" s="1" t="s">
        <v>2743</v>
      </c>
      <c r="G42" s="1" t="s">
        <v>2744</v>
      </c>
    </row>
    <row r="44" customFormat="false" ht="13.5" hidden="false" customHeight="false" outlineLevel="0" collapsed="false">
      <c r="D44" s="1" t="s">
        <v>2745</v>
      </c>
      <c r="F44" s="1" t="s">
        <v>2746</v>
      </c>
    </row>
    <row r="45" customFormat="false" ht="13.5" hidden="false" customHeight="false" outlineLevel="0" collapsed="false">
      <c r="E45" s="1" t="s">
        <v>2747</v>
      </c>
      <c r="G45" s="1" t="s">
        <v>2748</v>
      </c>
    </row>
    <row r="46" customFormat="false" ht="13.5" hidden="false" customHeight="false" outlineLevel="0" collapsed="false">
      <c r="F46" s="1" t="s">
        <v>2749</v>
      </c>
      <c r="G46" s="1" t="s">
        <v>2750</v>
      </c>
    </row>
    <row r="47" customFormat="false" ht="13.5" hidden="false" customHeight="false" outlineLevel="0" collapsed="false">
      <c r="F47" s="1" t="s">
        <v>2751</v>
      </c>
      <c r="G47" s="1" t="s">
        <v>2262</v>
      </c>
    </row>
    <row r="48" customFormat="false" ht="13.5" hidden="false" customHeight="false" outlineLevel="0" collapsed="false">
      <c r="F48" s="1" t="s">
        <v>2192</v>
      </c>
      <c r="G48" s="1" t="s">
        <v>2070</v>
      </c>
    </row>
    <row r="49" customFormat="false" ht="13.5" hidden="false" customHeight="false" outlineLevel="0" collapsed="false">
      <c r="E49" s="1" t="s">
        <v>2752</v>
      </c>
      <c r="G49" s="1" t="s">
        <v>2753</v>
      </c>
    </row>
    <row r="51" customFormat="false" ht="13.5" hidden="false" customHeight="false" outlineLevel="0" collapsed="false">
      <c r="D51" s="1" t="s">
        <v>2754</v>
      </c>
      <c r="F51" s="1" t="s">
        <v>2755</v>
      </c>
    </row>
    <row r="52" customFormat="false" ht="13.5" hidden="false" customHeight="false" outlineLevel="0" collapsed="false">
      <c r="E52" s="1" t="s">
        <v>2756</v>
      </c>
      <c r="G52" s="1" t="s">
        <v>2757</v>
      </c>
    </row>
    <row r="53" customFormat="false" ht="13.5" hidden="false" customHeight="false" outlineLevel="0" collapsed="false">
      <c r="E53" s="1" t="s">
        <v>2758</v>
      </c>
      <c r="G53" s="1" t="s">
        <v>2759</v>
      </c>
    </row>
    <row r="54" customFormat="false" ht="13.5" hidden="false" customHeight="false" outlineLevel="0" collapsed="false">
      <c r="E54" s="1" t="s">
        <v>2760</v>
      </c>
      <c r="G54" s="1" t="s">
        <v>2761</v>
      </c>
    </row>
    <row r="55" customFormat="false" ht="13.5" hidden="false" customHeight="false" outlineLevel="0" collapsed="false">
      <c r="E55" s="1" t="s">
        <v>2762</v>
      </c>
      <c r="G55" s="1" t="s">
        <v>2763</v>
      </c>
    </row>
    <row r="56" customFormat="false" ht="13.5" hidden="false" customHeight="false" outlineLevel="0" collapsed="false">
      <c r="E56" s="1" t="s">
        <v>2764</v>
      </c>
      <c r="G56" s="1" t="s">
        <v>2765</v>
      </c>
    </row>
    <row r="57" customFormat="false" ht="13.5" hidden="false" customHeight="false" outlineLevel="0" collapsed="false">
      <c r="E57" s="1" t="s">
        <v>2766</v>
      </c>
      <c r="G57" s="1" t="s">
        <v>2767</v>
      </c>
    </row>
    <row r="58" customFormat="false" ht="13.5" hidden="false" customHeight="false" outlineLevel="0" collapsed="false">
      <c r="E58" s="1" t="s">
        <v>2768</v>
      </c>
      <c r="G58" s="1" t="s">
        <v>2769</v>
      </c>
    </row>
    <row r="59" customFormat="false" ht="13.5" hidden="false" customHeight="false" outlineLevel="0" collapsed="false">
      <c r="E59" s="1" t="s">
        <v>2770</v>
      </c>
      <c r="G59" s="1" t="s">
        <v>2771</v>
      </c>
    </row>
    <row r="60" customFormat="false" ht="13.5" hidden="false" customHeight="false" outlineLevel="0" collapsed="false">
      <c r="E60" s="1" t="s">
        <v>2772</v>
      </c>
      <c r="G60" s="1" t="s">
        <v>2773</v>
      </c>
    </row>
    <row r="61" customFormat="false" ht="13.5" hidden="false" customHeight="false" outlineLevel="0" collapsed="false">
      <c r="E61" s="1" t="s">
        <v>2774</v>
      </c>
      <c r="G61" s="1" t="s">
        <v>2775</v>
      </c>
    </row>
    <row r="62" customFormat="false" ht="13.5" hidden="false" customHeight="false" outlineLevel="0" collapsed="false">
      <c r="E62" s="1" t="s">
        <v>2776</v>
      </c>
      <c r="G62" s="1" t="s">
        <v>2777</v>
      </c>
    </row>
    <row r="64" customFormat="false" ht="13.5" hidden="false" customHeight="false" outlineLevel="0" collapsed="false">
      <c r="D64" s="1" t="s">
        <v>2778</v>
      </c>
      <c r="F64" s="1" t="s">
        <v>2779</v>
      </c>
    </row>
    <row r="65" customFormat="false" ht="13.5" hidden="false" customHeight="false" outlineLevel="0" collapsed="false">
      <c r="E65" s="1" t="s">
        <v>217</v>
      </c>
      <c r="G65" s="1" t="s">
        <v>2736</v>
      </c>
    </row>
    <row r="66" customFormat="false" ht="13.5" hidden="false" customHeight="false" outlineLevel="0" collapsed="false">
      <c r="E66" s="1" t="s">
        <v>2726</v>
      </c>
      <c r="G66" s="1" t="s">
        <v>2780</v>
      </c>
    </row>
    <row r="67" customFormat="false" ht="13.5" hidden="false" customHeight="false" outlineLevel="0" collapsed="false">
      <c r="E67" s="1" t="s">
        <v>2781</v>
      </c>
    </row>
    <row r="68" customFormat="false" ht="13.5" hidden="false" customHeight="false" outlineLevel="0" collapsed="false">
      <c r="E68" s="1" t="s">
        <v>2782</v>
      </c>
      <c r="G68" s="1" t="s">
        <v>2783</v>
      </c>
    </row>
    <row r="69" customFormat="false" ht="13.5" hidden="false" customHeight="false" outlineLevel="0" collapsed="false">
      <c r="E69" s="1" t="s">
        <v>2784</v>
      </c>
      <c r="G69" s="1" t="s">
        <v>2783</v>
      </c>
    </row>
    <row r="70" customFormat="false" ht="13.5" hidden="false" customHeight="false" outlineLevel="0" collapsed="false">
      <c r="E70" s="1" t="s">
        <v>2785</v>
      </c>
    </row>
    <row r="71" customFormat="false" ht="13.5" hidden="false" customHeight="false" outlineLevel="0" collapsed="false">
      <c r="E71" s="1" t="s">
        <v>2153</v>
      </c>
      <c r="G71" s="1" t="s">
        <v>2786</v>
      </c>
    </row>
    <row r="72" customFormat="false" ht="13.5" hidden="false" customHeight="false" outlineLevel="0" collapsed="false">
      <c r="E72" s="1" t="s">
        <v>2787</v>
      </c>
      <c r="G72" s="1" t="s">
        <v>2788</v>
      </c>
    </row>
    <row r="73" customFormat="false" ht="13.5" hidden="false" customHeight="false" outlineLevel="0" collapsed="false">
      <c r="E73" s="1" t="s">
        <v>2789</v>
      </c>
    </row>
    <row r="74" customFormat="false" ht="13.5" hidden="false" customHeight="false" outlineLevel="0" collapsed="false">
      <c r="E74" s="1" t="s">
        <v>2790</v>
      </c>
    </row>
    <row r="75" customFormat="false" ht="13.5" hidden="false" customHeight="false" outlineLevel="0" collapsed="false">
      <c r="E75" s="1" t="s">
        <v>2791</v>
      </c>
    </row>
    <row r="76" customFormat="false" ht="13.5" hidden="false" customHeight="false" outlineLevel="0" collapsed="false">
      <c r="E76" s="1" t="s">
        <v>2792</v>
      </c>
    </row>
    <row r="77" customFormat="false" ht="13.5" hidden="false" customHeight="false" outlineLevel="0" collapsed="false">
      <c r="E77" s="1" t="s">
        <v>2793</v>
      </c>
    </row>
    <row r="78" customFormat="false" ht="13.5" hidden="false" customHeight="false" outlineLevel="0" collapsed="false">
      <c r="E78" s="1" t="s">
        <v>2794</v>
      </c>
    </row>
    <row r="80" customFormat="false" ht="13.5" hidden="false" customHeight="false" outlineLevel="0" collapsed="false">
      <c r="D80" s="1" t="s">
        <v>2795</v>
      </c>
      <c r="F80" s="1" t="s">
        <v>2796</v>
      </c>
    </row>
    <row r="81" customFormat="false" ht="13.5" hidden="false" customHeight="false" outlineLevel="0" collapsed="false">
      <c r="E81" s="1" t="s">
        <v>2797</v>
      </c>
      <c r="G81" s="1" t="s">
        <v>2798</v>
      </c>
    </row>
    <row r="82" customFormat="false" ht="13.5" hidden="false" customHeight="false" outlineLevel="0" collapsed="false">
      <c r="E82" s="1" t="s">
        <v>217</v>
      </c>
      <c r="G82" s="1" t="s">
        <v>2799</v>
      </c>
    </row>
    <row r="83" customFormat="false" ht="13.5" hidden="false" customHeight="false" outlineLevel="0" collapsed="false">
      <c r="E83" s="1" t="s">
        <v>2800</v>
      </c>
      <c r="G83" s="1" t="s">
        <v>2801</v>
      </c>
    </row>
    <row r="84" customFormat="false" ht="13.5" hidden="false" customHeight="false" outlineLevel="0" collapsed="false">
      <c r="E84" s="1" t="s">
        <v>2726</v>
      </c>
      <c r="G84" s="1" t="s">
        <v>2802</v>
      </c>
    </row>
    <row r="85" customFormat="false" ht="13.5" hidden="false" customHeight="false" outlineLevel="0" collapsed="false">
      <c r="E85" s="1" t="s">
        <v>2803</v>
      </c>
      <c r="G85" s="1" t="s">
        <v>2804</v>
      </c>
    </row>
    <row r="86" customFormat="false" ht="13.5" hidden="false" customHeight="false" outlineLevel="0" collapsed="false">
      <c r="E86" s="1" t="s">
        <v>2805</v>
      </c>
      <c r="G86" s="1" t="s">
        <v>2806</v>
      </c>
    </row>
    <row r="87" customFormat="false" ht="13.5" hidden="false" customHeight="false" outlineLevel="0" collapsed="false">
      <c r="E87" s="1" t="s">
        <v>2807</v>
      </c>
      <c r="G87" s="1" t="s">
        <v>2806</v>
      </c>
    </row>
    <row r="88" customFormat="false" ht="13.5" hidden="false" customHeight="false" outlineLevel="0" collapsed="false">
      <c r="E88" s="1" t="s">
        <v>2808</v>
      </c>
      <c r="G88" s="1" t="s">
        <v>2809</v>
      </c>
    </row>
    <row r="89" customFormat="false" ht="13.5" hidden="false" customHeight="false" outlineLevel="0" collapsed="false">
      <c r="E89" s="1" t="s">
        <v>2810</v>
      </c>
      <c r="G89" s="1" t="s">
        <v>2811</v>
      </c>
    </row>
    <row r="90" customFormat="false" ht="13.5" hidden="false" customHeight="false" outlineLevel="0" collapsed="false">
      <c r="E90" s="1" t="s">
        <v>2812</v>
      </c>
      <c r="G90" s="1" t="s">
        <v>2813</v>
      </c>
    </row>
    <row r="91" customFormat="false" ht="13.5" hidden="false" customHeight="false" outlineLevel="0" collapsed="false">
      <c r="E91" s="1" t="s">
        <v>2814</v>
      </c>
    </row>
    <row r="92" customFormat="false" ht="13.5" hidden="false" customHeight="false" outlineLevel="0" collapsed="false">
      <c r="E92" s="1" t="s">
        <v>2815</v>
      </c>
      <c r="G92" s="1" t="s">
        <v>2816</v>
      </c>
    </row>
    <row r="94" customFormat="false" ht="13.5" hidden="false" customHeight="false" outlineLevel="0" collapsed="false">
      <c r="D94" s="1" t="s">
        <v>2817</v>
      </c>
      <c r="G94" s="1" t="s">
        <v>2717</v>
      </c>
    </row>
    <row r="96" customFormat="false" ht="13.5" hidden="false" customHeight="false" outlineLevel="0" collapsed="false">
      <c r="C96" s="1" t="s">
        <v>2744</v>
      </c>
      <c r="F96" s="1" t="s">
        <v>2818</v>
      </c>
    </row>
    <row r="97" customFormat="false" ht="13.5" hidden="false" customHeight="false" outlineLevel="0" collapsed="false">
      <c r="E97" s="1" t="s">
        <v>2819</v>
      </c>
    </row>
    <row r="98" customFormat="false" ht="13.5" hidden="false" customHeight="false" outlineLevel="0" collapsed="false">
      <c r="E98" s="1" t="s">
        <v>2820</v>
      </c>
    </row>
    <row r="100" customFormat="false" ht="13.5" hidden="false" customHeight="false" outlineLevel="0" collapsed="false">
      <c r="C100" s="1" t="s">
        <v>2721</v>
      </c>
      <c r="D100" s="1" t="s">
        <v>2747</v>
      </c>
      <c r="F100" s="1" t="s">
        <v>2748</v>
      </c>
    </row>
    <row r="101" customFormat="false" ht="13.5" hidden="false" customHeight="false" outlineLevel="0" collapsed="false">
      <c r="E101" s="1" t="s">
        <v>159</v>
      </c>
      <c r="F101" s="1" t="s">
        <v>2821</v>
      </c>
    </row>
    <row r="102" customFormat="false" ht="13.5" hidden="false" customHeight="false" outlineLevel="0" collapsed="false">
      <c r="E102" s="1" t="s">
        <v>2749</v>
      </c>
      <c r="F102" s="1" t="s">
        <v>2125</v>
      </c>
    </row>
    <row r="103" customFormat="false" ht="13.5" hidden="false" customHeight="false" outlineLevel="0" collapsed="false">
      <c r="E103" s="1" t="s">
        <v>2822</v>
      </c>
      <c r="F103" s="1" t="s">
        <v>2823</v>
      </c>
    </row>
    <row r="104" customFormat="false" ht="13.5" hidden="false" customHeight="false" outlineLevel="0" collapsed="false">
      <c r="E104" s="1" t="s">
        <v>2824</v>
      </c>
      <c r="F104" s="1" t="s">
        <v>2825</v>
      </c>
    </row>
    <row r="105" customFormat="false" ht="13.5" hidden="false" customHeight="false" outlineLevel="0" collapsed="false">
      <c r="D105" s="1" t="s">
        <v>2826</v>
      </c>
      <c r="F105" s="1" t="s">
        <v>2827</v>
      </c>
    </row>
    <row r="106" customFormat="false" ht="13.5" hidden="false" customHeight="false" outlineLevel="0" collapsed="false">
      <c r="D106" s="1" t="s">
        <v>2752</v>
      </c>
      <c r="F106" s="1" t="s">
        <v>2753</v>
      </c>
    </row>
    <row r="107" customFormat="false" ht="13.5" hidden="false" customHeight="false" outlineLevel="0" collapsed="false">
      <c r="D107" s="1" t="s">
        <v>2828</v>
      </c>
    </row>
    <row r="108" customFormat="false" ht="13.5" hidden="false" customHeight="false" outlineLevel="0" collapsed="false">
      <c r="E108" s="1" t="s">
        <v>222</v>
      </c>
      <c r="F108" s="1" t="s">
        <v>211</v>
      </c>
    </row>
    <row r="109" customFormat="false" ht="13.5" hidden="false" customHeight="false" outlineLevel="0" collapsed="false">
      <c r="E109" s="1" t="s">
        <v>29</v>
      </c>
      <c r="F109" s="1" t="s">
        <v>2829</v>
      </c>
    </row>
    <row r="110" customFormat="false" ht="13.5" hidden="false" customHeight="false" outlineLevel="0" collapsed="false">
      <c r="E110" s="1" t="s">
        <v>217</v>
      </c>
      <c r="F110" s="1" t="s">
        <v>2125</v>
      </c>
    </row>
    <row r="111" customFormat="false" ht="13.5" hidden="false" customHeight="false" outlineLevel="0" collapsed="false">
      <c r="D111" s="1" t="s">
        <v>2830</v>
      </c>
      <c r="F111" s="1" t="s">
        <v>2831</v>
      </c>
    </row>
    <row r="112" customFormat="false" ht="13.5" hidden="false" customHeight="false" outlineLevel="0" collapsed="false">
      <c r="D112" s="1" t="s">
        <v>2832</v>
      </c>
      <c r="F112" s="1" t="s">
        <v>2833</v>
      </c>
    </row>
    <row r="113" customFormat="false" ht="13.5" hidden="false" customHeight="false" outlineLevel="0" collapsed="false">
      <c r="D113" s="1" t="s">
        <v>2834</v>
      </c>
      <c r="F113" s="1" t="s">
        <v>205</v>
      </c>
    </row>
    <row r="116" customFormat="false" ht="13.5" hidden="false" customHeight="false" outlineLevel="0" collapsed="false">
      <c r="B116" s="1" t="s">
        <v>2435</v>
      </c>
      <c r="C116" s="1" t="s">
        <v>2835</v>
      </c>
      <c r="F116" s="1" t="s">
        <v>2836</v>
      </c>
    </row>
    <row r="118" customFormat="false" ht="13.5" hidden="false" customHeight="false" outlineLevel="0" collapsed="false">
      <c r="C118" s="1" t="s">
        <v>2721</v>
      </c>
      <c r="D118" s="1" t="s">
        <v>2837</v>
      </c>
      <c r="F118" s="1" t="s">
        <v>2838</v>
      </c>
    </row>
    <row r="119" customFormat="false" ht="13.5" hidden="false" customHeight="false" outlineLevel="0" collapsed="false">
      <c r="F119" s="1" t="s">
        <v>2839</v>
      </c>
    </row>
    <row r="120" customFormat="false" ht="13.5" hidden="false" customHeight="false" outlineLevel="0" collapsed="false">
      <c r="F120" s="1" t="s">
        <v>2840</v>
      </c>
    </row>
    <row r="121" customFormat="false" ht="13.5" hidden="false" customHeight="false" outlineLevel="0" collapsed="false">
      <c r="D121" s="1" t="s">
        <v>2841</v>
      </c>
      <c r="F121" s="1" t="s">
        <v>205</v>
      </c>
    </row>
    <row r="123" customFormat="false" ht="13.5" hidden="false" customHeight="false" outlineLevel="0" collapsed="false">
      <c r="C123" s="1" t="s">
        <v>2842</v>
      </c>
      <c r="F123" s="1" t="s">
        <v>2843</v>
      </c>
    </row>
    <row r="125" customFormat="false" ht="13.5" hidden="false" customHeight="false" outlineLevel="0" collapsed="false">
      <c r="C125" s="1" t="s">
        <v>2721</v>
      </c>
      <c r="D125" s="1" t="s">
        <v>2844</v>
      </c>
      <c r="F125" s="1" t="s">
        <v>2845</v>
      </c>
    </row>
    <row r="127" customFormat="false" ht="13.5" hidden="false" customHeight="false" outlineLevel="0" collapsed="false">
      <c r="C127" s="1" t="s">
        <v>2846</v>
      </c>
      <c r="F127" s="1" t="s">
        <v>2847</v>
      </c>
    </row>
    <row r="129" customFormat="false" ht="13.5" hidden="false" customHeight="false" outlineLevel="0" collapsed="false">
      <c r="D129" s="1" t="s">
        <v>2848</v>
      </c>
      <c r="F129" s="1" t="s">
        <v>2849</v>
      </c>
    </row>
    <row r="130" customFormat="false" ht="13.5" hidden="false" customHeight="false" outlineLevel="0" collapsed="false">
      <c r="E130" s="1" t="s">
        <v>2545</v>
      </c>
      <c r="G130" s="1" t="s">
        <v>2850</v>
      </c>
    </row>
    <row r="131" customFormat="false" ht="13.5" hidden="false" customHeight="false" outlineLevel="0" collapsed="false">
      <c r="E131" s="1" t="s">
        <v>2851</v>
      </c>
      <c r="G131" s="1" t="s">
        <v>2852</v>
      </c>
    </row>
    <row r="132" customFormat="false" ht="13.5" hidden="false" customHeight="false" outlineLevel="0" collapsed="false">
      <c r="E132" s="1" t="s">
        <v>2853</v>
      </c>
      <c r="G132" s="1" t="s">
        <v>2854</v>
      </c>
    </row>
    <row r="133" customFormat="false" ht="13.5" hidden="false" customHeight="false" outlineLevel="0" collapsed="false">
      <c r="D133" s="1" t="s">
        <v>2855</v>
      </c>
      <c r="F133" s="1" t="s">
        <v>2856</v>
      </c>
    </row>
    <row r="134" customFormat="false" ht="13.5" hidden="false" customHeight="false" outlineLevel="0" collapsed="false">
      <c r="E134" s="1" t="s">
        <v>2545</v>
      </c>
      <c r="G134" s="1" t="s">
        <v>2850</v>
      </c>
    </row>
    <row r="135" customFormat="false" ht="13.5" hidden="false" customHeight="false" outlineLevel="0" collapsed="false">
      <c r="E135" s="1" t="s">
        <v>2851</v>
      </c>
      <c r="G135" s="1" t="s">
        <v>2852</v>
      </c>
    </row>
    <row r="136" customFormat="false" ht="13.5" hidden="false" customHeight="false" outlineLevel="0" collapsed="false">
      <c r="E136" s="1" t="s">
        <v>2853</v>
      </c>
      <c r="G136" s="1" t="s">
        <v>2854</v>
      </c>
    </row>
    <row r="137" customFormat="false" ht="13.5" hidden="false" customHeight="false" outlineLevel="0" collapsed="false">
      <c r="D137" s="1" t="s">
        <v>2857</v>
      </c>
      <c r="F137" s="1" t="s">
        <v>2858</v>
      </c>
    </row>
    <row r="139" customFormat="false" ht="13.5" hidden="false" customHeight="false" outlineLevel="0" collapsed="false">
      <c r="B139" s="1" t="s">
        <v>2859</v>
      </c>
      <c r="C139" s="1" t="s">
        <v>2860</v>
      </c>
      <c r="F139" s="1" t="s">
        <v>2861</v>
      </c>
    </row>
    <row r="140" customFormat="false" ht="13.5" hidden="false" customHeight="false" outlineLevel="0" collapsed="false">
      <c r="E140" s="1" t="s">
        <v>2862</v>
      </c>
    </row>
    <row r="142" customFormat="false" ht="13.5" hidden="false" customHeight="false" outlineLevel="0" collapsed="false">
      <c r="C142" s="1" t="s">
        <v>2721</v>
      </c>
      <c r="D142" s="1" t="s">
        <v>217</v>
      </c>
    </row>
    <row r="143" customFormat="false" ht="13.5" hidden="false" customHeight="false" outlineLevel="0" collapsed="false">
      <c r="D143" s="1" t="s">
        <v>481</v>
      </c>
    </row>
    <row r="144" customFormat="false" ht="13.5" hidden="false" customHeight="false" outlineLevel="0" collapsed="false">
      <c r="D144" s="1" t="s">
        <v>2863</v>
      </c>
    </row>
    <row r="145" customFormat="false" ht="13.5" hidden="false" customHeight="false" outlineLevel="0" collapsed="false">
      <c r="D145" s="1" t="s">
        <v>2797</v>
      </c>
    </row>
    <row r="146" customFormat="false" ht="13.5" hidden="false" customHeight="false" outlineLevel="0" collapsed="false">
      <c r="D146" s="1" t="s">
        <v>2864</v>
      </c>
    </row>
    <row r="147" customFormat="false" ht="13.5" hidden="false" customHeight="false" outlineLevel="0" collapsed="false">
      <c r="D147" s="1" t="s">
        <v>489</v>
      </c>
    </row>
    <row r="148" customFormat="false" ht="13.5" hidden="false" customHeight="false" outlineLevel="0" collapsed="false">
      <c r="D148" s="1" t="s">
        <v>493</v>
      </c>
    </row>
    <row r="149" customFormat="false" ht="13.5" hidden="false" customHeight="false" outlineLevel="0" collapsed="false">
      <c r="D149" s="1" t="s">
        <v>2865</v>
      </c>
      <c r="E149" s="1" t="s">
        <v>2866</v>
      </c>
    </row>
    <row r="150" customFormat="false" ht="13.5" hidden="false" customHeight="false" outlineLevel="0" collapsed="false">
      <c r="D150" s="1" t="s">
        <v>2787</v>
      </c>
      <c r="E150" s="1" t="s">
        <v>2867</v>
      </c>
    </row>
    <row r="151" customFormat="false" ht="13.5" hidden="false" customHeight="false" outlineLevel="0" collapsed="false">
      <c r="D151" s="1" t="s">
        <v>2800</v>
      </c>
    </row>
    <row r="153" customFormat="false" ht="13.5" hidden="false" customHeight="false" outlineLevel="0" collapsed="false">
      <c r="D153" s="1" t="s">
        <v>2153</v>
      </c>
    </row>
    <row r="154" customFormat="false" ht="13.5" hidden="false" customHeight="false" outlineLevel="0" collapsed="false">
      <c r="D154" s="1" t="s">
        <v>2868</v>
      </c>
    </row>
    <row r="155" customFormat="false" ht="13.5" hidden="false" customHeight="false" outlineLevel="0" collapsed="false">
      <c r="D155" s="1" t="s">
        <v>2808</v>
      </c>
    </row>
    <row r="157" customFormat="false" ht="13.5" hidden="false" customHeight="false" outlineLevel="0" collapsed="false">
      <c r="D157" s="1" t="s">
        <v>2869</v>
      </c>
    </row>
    <row r="159" customFormat="false" ht="13.5" hidden="false" customHeight="false" outlineLevel="0" collapsed="false">
      <c r="D159" s="1" t="s">
        <v>2751</v>
      </c>
    </row>
    <row r="160" customFormat="false" ht="13.5" hidden="false" customHeight="false" outlineLevel="0" collapsed="false">
      <c r="D160" s="1" t="s">
        <v>2870</v>
      </c>
    </row>
    <row r="161" customFormat="false" ht="13.5" hidden="false" customHeight="false" outlineLevel="0" collapsed="false">
      <c r="D161" s="1" t="s">
        <v>2810</v>
      </c>
    </row>
    <row r="162" customFormat="false" ht="13.5" hidden="false" customHeight="false" outlineLevel="0" collapsed="false">
      <c r="D162" s="1" t="s">
        <v>2871</v>
      </c>
    </row>
    <row r="163" customFormat="false" ht="13.5" hidden="false" customHeight="false" outlineLevel="0" collapsed="false">
      <c r="D163" s="1" t="s">
        <v>2872</v>
      </c>
    </row>
    <row r="164" customFormat="false" ht="13.5" hidden="false" customHeight="false" outlineLevel="0" collapsed="false">
      <c r="D164" s="1" t="s">
        <v>2873</v>
      </c>
    </row>
    <row r="165" customFormat="false" ht="13.5" hidden="false" customHeight="false" outlineLevel="0" collapsed="false">
      <c r="D165" s="1" t="s">
        <v>2874</v>
      </c>
    </row>
    <row r="166" customFormat="false" ht="13.5" hidden="false" customHeight="false" outlineLevel="0" collapsed="false">
      <c r="D166" s="1" t="s">
        <v>2875</v>
      </c>
    </row>
    <row r="167" customFormat="false" ht="13.5" hidden="false" customHeight="false" outlineLevel="0" collapsed="false">
      <c r="D167" s="1" t="s">
        <v>2876</v>
      </c>
    </row>
    <row r="168" customFormat="false" ht="13.5" hidden="false" customHeight="false" outlineLevel="0" collapsed="false">
      <c r="D168" s="1" t="s">
        <v>484</v>
      </c>
    </row>
    <row r="170" customFormat="false" ht="13.5" hidden="false" customHeight="false" outlineLevel="0" collapsed="false">
      <c r="D170" s="1" t="s">
        <v>2789</v>
      </c>
    </row>
    <row r="171" customFormat="false" ht="13.5" hidden="false" customHeight="false" outlineLevel="0" collapsed="false">
      <c r="D171" s="1" t="s">
        <v>2791</v>
      </c>
    </row>
    <row r="172" customFormat="false" ht="13.5" hidden="false" customHeight="false" outlineLevel="0" collapsed="false">
      <c r="D172" s="1" t="s">
        <v>2794</v>
      </c>
    </row>
    <row r="173" customFormat="false" ht="13.5" hidden="false" customHeight="false" outlineLevel="0" collapsed="false">
      <c r="D173" s="1" t="s">
        <v>2793</v>
      </c>
    </row>
    <row r="174" customFormat="false" ht="13.5" hidden="false" customHeight="false" outlineLevel="0" collapsed="false">
      <c r="D174" s="1" t="s">
        <v>2792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3.5" customHeight="false" zeroHeight="false" outlineLevelRow="0" outlineLevelCol="0"/>
  <cols>
    <col collapsed="false" customWidth="true" hidden="false" outlineLevel="0" max="3" min="3" style="1" width="12.25"/>
  </cols>
  <sheetData>
    <row r="1" customFormat="false" ht="13.5" hidden="false" customHeight="false" outlineLevel="0" collapsed="false">
      <c r="A1" s="1" t="s">
        <v>2877</v>
      </c>
      <c r="C1" s="1" t="s">
        <v>2878</v>
      </c>
    </row>
    <row r="3" customFormat="false" ht="13.5" hidden="false" customHeight="false" outlineLevel="0" collapsed="false">
      <c r="B3" s="8" t="s">
        <v>59</v>
      </c>
      <c r="C3" s="8" t="s">
        <v>2879</v>
      </c>
    </row>
    <row r="4" customFormat="false" ht="13.5" hidden="false" customHeight="false" outlineLevel="0" collapsed="false">
      <c r="B4" s="8" t="n">
        <v>0</v>
      </c>
      <c r="C4" s="8" t="s">
        <v>1214</v>
      </c>
    </row>
    <row r="5" customFormat="false" ht="13.5" hidden="false" customHeight="false" outlineLevel="0" collapsed="false">
      <c r="B5" s="8" t="n">
        <v>1</v>
      </c>
      <c r="C5" s="8" t="s">
        <v>1215</v>
      </c>
    </row>
    <row r="6" customFormat="false" ht="13.5" hidden="false" customHeight="false" outlineLevel="0" collapsed="false">
      <c r="B6" s="8" t="n">
        <v>2</v>
      </c>
      <c r="C6" s="8" t="s">
        <v>1216</v>
      </c>
    </row>
    <row r="7" customFormat="false" ht="13.5" hidden="false" customHeight="false" outlineLevel="0" collapsed="false">
      <c r="B7" s="8" t="n">
        <v>3</v>
      </c>
      <c r="C7" s="8" t="s">
        <v>1217</v>
      </c>
    </row>
    <row r="8" customFormat="false" ht="13.5" hidden="false" customHeight="false" outlineLevel="0" collapsed="false">
      <c r="B8" s="8" t="n">
        <v>4</v>
      </c>
      <c r="C8" s="8" t="s">
        <v>1218</v>
      </c>
    </row>
    <row r="9" customFormat="false" ht="13.5" hidden="false" customHeight="false" outlineLevel="0" collapsed="false">
      <c r="B9" s="8" t="n">
        <v>5</v>
      </c>
      <c r="C9" s="8" t="s">
        <v>1219</v>
      </c>
    </row>
    <row r="10" customFormat="false" ht="13.5" hidden="false" customHeight="false" outlineLevel="0" collapsed="false">
      <c r="B10" s="8" t="n">
        <v>6</v>
      </c>
      <c r="C10" s="8" t="s">
        <v>2880</v>
      </c>
    </row>
    <row r="11" customFormat="false" ht="13.5" hidden="false" customHeight="false" outlineLevel="0" collapsed="false">
      <c r="B11" s="8" t="n">
        <v>7</v>
      </c>
      <c r="C11" s="8" t="s">
        <v>1220</v>
      </c>
    </row>
    <row r="12" customFormat="false" ht="13.5" hidden="false" customHeight="false" outlineLevel="0" collapsed="false">
      <c r="B12" s="8" t="n">
        <v>8</v>
      </c>
      <c r="C12" s="8" t="s">
        <v>1221</v>
      </c>
    </row>
    <row r="13" customFormat="false" ht="13.5" hidden="false" customHeight="false" outlineLevel="0" collapsed="false">
      <c r="B13" s="8" t="n">
        <v>9</v>
      </c>
      <c r="C13" s="8" t="s">
        <v>1222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3.5" customHeight="false" zeroHeight="false" outlineLevelRow="0" outlineLevelCol="0"/>
  <cols>
    <col collapsed="false" customWidth="true" hidden="false" outlineLevel="0" max="4" min="4" style="1" width="16.62"/>
    <col collapsed="false" customWidth="true" hidden="false" outlineLevel="0" max="5" min="5" style="1" width="12.25"/>
    <col collapsed="false" customWidth="true" hidden="false" outlineLevel="0" max="6" min="6" style="1" width="11.75"/>
    <col collapsed="false" customWidth="true" hidden="false" outlineLevel="0" max="9" min="9" style="1" width="10.75"/>
    <col collapsed="false" customWidth="true" hidden="false" outlineLevel="0" max="10" min="10" style="1" width="12.63"/>
  </cols>
  <sheetData>
    <row r="1" customFormat="false" ht="13.5" hidden="false" customHeight="false" outlineLevel="0" collapsed="false">
      <c r="A1" s="1" t="s">
        <v>2881</v>
      </c>
      <c r="C1" s="1" t="s">
        <v>2882</v>
      </c>
      <c r="F1" s="1" t="s">
        <v>2883</v>
      </c>
      <c r="I1" s="1" t="s">
        <v>2884</v>
      </c>
    </row>
    <row r="2" customFormat="false" ht="13.5" hidden="false" customHeight="false" outlineLevel="0" collapsed="false">
      <c r="F2" s="1" t="s">
        <v>2885</v>
      </c>
      <c r="I2" s="1" t="s">
        <v>2886</v>
      </c>
    </row>
    <row r="4" customFormat="false" ht="13.5" hidden="false" customHeight="false" outlineLevel="0" collapsed="false">
      <c r="B4" s="1" t="s">
        <v>2887</v>
      </c>
      <c r="H4" s="1" t="s">
        <v>2607</v>
      </c>
      <c r="Q4" s="1" t="s">
        <v>2888</v>
      </c>
    </row>
    <row r="5" customFormat="false" ht="13.5" hidden="false" customHeight="false" outlineLevel="0" collapsed="false">
      <c r="B5" s="8" t="s">
        <v>2889</v>
      </c>
      <c r="C5" s="8" t="s">
        <v>2890</v>
      </c>
      <c r="D5" s="8" t="s">
        <v>2891</v>
      </c>
      <c r="E5" s="8" t="s">
        <v>2877</v>
      </c>
      <c r="F5" s="8" t="s">
        <v>2879</v>
      </c>
      <c r="H5" s="8" t="s">
        <v>2889</v>
      </c>
      <c r="I5" s="8" t="s">
        <v>2891</v>
      </c>
      <c r="J5" s="8" t="s">
        <v>2892</v>
      </c>
      <c r="L5" s="1" t="s">
        <v>2893</v>
      </c>
      <c r="R5" s="1" t="s">
        <v>2894</v>
      </c>
    </row>
    <row r="6" customFormat="false" ht="13.5" hidden="false" customHeight="false" outlineLevel="0" collapsed="false">
      <c r="B6" s="8" t="n">
        <f aca="false">ROW()-6</f>
        <v>0</v>
      </c>
      <c r="C6" s="8" t="n">
        <v>0</v>
      </c>
      <c r="D6" s="8" t="s">
        <v>1064</v>
      </c>
      <c r="E6" s="8" t="n">
        <v>5</v>
      </c>
      <c r="F6" s="8" t="str">
        <f aca="false">VLOOKUP(E6,electricity!$B$4:$C$13,2,FALSE())</f>
        <v>関西電力</v>
      </c>
      <c r="H6" s="8" t="n">
        <v>0</v>
      </c>
      <c r="I6" s="8" t="str">
        <f aca="false">VLOOKUP(H6,B$6:D$57,3,FALSE())</f>
        <v>都道府県</v>
      </c>
      <c r="J6" s="137" t="n">
        <v>17.4</v>
      </c>
      <c r="L6" s="1" t="s">
        <v>2895</v>
      </c>
    </row>
    <row r="7" customFormat="false" ht="13.5" hidden="false" customHeight="false" outlineLevel="0" collapsed="false">
      <c r="B7" s="8" t="n">
        <f aca="false">B6+1</f>
        <v>1</v>
      </c>
      <c r="C7" s="8" t="n">
        <v>1</v>
      </c>
      <c r="D7" s="8" t="s">
        <v>2496</v>
      </c>
      <c r="E7" s="8" t="n">
        <v>0</v>
      </c>
      <c r="F7" s="8" t="str">
        <f aca="false">VLOOKUP(E7,electricity!$B$4:$C$13,2,FALSE())</f>
        <v>北海道電力</v>
      </c>
      <c r="H7" s="8" t="n">
        <v>1</v>
      </c>
      <c r="I7" s="8" t="str">
        <f aca="false">VLOOKUP(H7,B$6:D$57,3,FALSE())</f>
        <v>北海道</v>
      </c>
      <c r="J7" s="137" t="n">
        <v>9.4</v>
      </c>
      <c r="L7" s="1" t="s">
        <v>2896</v>
      </c>
    </row>
    <row r="8" customFormat="false" ht="13.5" hidden="false" customHeight="false" outlineLevel="0" collapsed="false">
      <c r="B8" s="8" t="n">
        <f aca="false">B7+1</f>
        <v>2</v>
      </c>
      <c r="C8" s="8" t="n">
        <v>2</v>
      </c>
      <c r="D8" s="8" t="s">
        <v>2499</v>
      </c>
      <c r="E8" s="8" t="n">
        <v>1</v>
      </c>
      <c r="F8" s="8" t="str">
        <f aca="false">VLOOKUP(E8,electricity!$B$4:$C$13,2,FALSE())</f>
        <v>東北電力</v>
      </c>
      <c r="H8" s="8" t="n">
        <v>2</v>
      </c>
      <c r="I8" s="8" t="str">
        <f aca="false">VLOOKUP(H8,B$6:D$57,3,FALSE())</f>
        <v>青森</v>
      </c>
      <c r="J8" s="137" t="n">
        <v>11.1</v>
      </c>
      <c r="L8" s="1" t="s">
        <v>2897</v>
      </c>
    </row>
    <row r="9" customFormat="false" ht="13.5" hidden="false" customHeight="false" outlineLevel="0" collapsed="false">
      <c r="B9" s="8" t="n">
        <f aca="false">B8+1</f>
        <v>3</v>
      </c>
      <c r="C9" s="8" t="n">
        <v>3</v>
      </c>
      <c r="D9" s="8" t="s">
        <v>2502</v>
      </c>
      <c r="E9" s="8" t="n">
        <v>1</v>
      </c>
      <c r="F9" s="8" t="str">
        <f aca="false">VLOOKUP(E9,electricity!$B$4:$C$13,2,FALSE())</f>
        <v>東北電力</v>
      </c>
      <c r="H9" s="8" t="n">
        <v>3</v>
      </c>
      <c r="I9" s="8" t="str">
        <f aca="false">VLOOKUP(H9,B$6:D$57,3,FALSE())</f>
        <v>岩手</v>
      </c>
      <c r="J9" s="137" t="n">
        <v>10.7</v>
      </c>
      <c r="L9" s="1" t="s">
        <v>2898</v>
      </c>
    </row>
    <row r="10" customFormat="false" ht="13.5" hidden="false" customHeight="false" outlineLevel="0" collapsed="false">
      <c r="B10" s="8" t="n">
        <f aca="false">B9+1</f>
        <v>4</v>
      </c>
      <c r="C10" s="8" t="n">
        <v>4</v>
      </c>
      <c r="D10" s="8" t="s">
        <v>2503</v>
      </c>
      <c r="E10" s="8" t="n">
        <v>1</v>
      </c>
      <c r="F10" s="8" t="str">
        <f aca="false">VLOOKUP(E10,electricity!$B$4:$C$13,2,FALSE())</f>
        <v>東北電力</v>
      </c>
      <c r="H10" s="8" t="n">
        <v>4</v>
      </c>
      <c r="I10" s="8" t="str">
        <f aca="false">VLOOKUP(H10,B$6:D$57,3,FALSE())</f>
        <v>宮城</v>
      </c>
      <c r="J10" s="137" t="n">
        <v>13.1</v>
      </c>
      <c r="L10" s="1" t="s">
        <v>2899</v>
      </c>
    </row>
    <row r="11" customFormat="false" ht="13.5" hidden="false" customHeight="false" outlineLevel="0" collapsed="false">
      <c r="B11" s="8" t="n">
        <f aca="false">B10+1</f>
        <v>5</v>
      </c>
      <c r="C11" s="8" t="n">
        <v>5</v>
      </c>
      <c r="D11" s="8" t="s">
        <v>2495</v>
      </c>
      <c r="E11" s="8" t="n">
        <v>1</v>
      </c>
      <c r="F11" s="8" t="str">
        <f aca="false">VLOOKUP(E11,electricity!$B$4:$C$13,2,FALSE())</f>
        <v>東北電力</v>
      </c>
      <c r="H11" s="8" t="n">
        <v>5</v>
      </c>
      <c r="I11" s="8" t="str">
        <f aca="false">VLOOKUP(H11,B$6:D$57,3,FALSE())</f>
        <v>秋田</v>
      </c>
      <c r="J11" s="137" t="n">
        <v>12.4</v>
      </c>
    </row>
    <row r="12" customFormat="false" ht="13.5" hidden="false" customHeight="false" outlineLevel="0" collapsed="false">
      <c r="B12" s="8" t="n">
        <f aca="false">B11+1</f>
        <v>6</v>
      </c>
      <c r="C12" s="8" t="n">
        <v>6</v>
      </c>
      <c r="D12" s="8" t="s">
        <v>2504</v>
      </c>
      <c r="E12" s="8" t="n">
        <v>1</v>
      </c>
      <c r="F12" s="8" t="str">
        <f aca="false">VLOOKUP(E12,electricity!$B$4:$C$13,2,FALSE())</f>
        <v>東北電力</v>
      </c>
      <c r="H12" s="8" t="n">
        <v>6</v>
      </c>
      <c r="I12" s="8" t="str">
        <f aca="false">VLOOKUP(H12,B$6:D$57,3,FALSE())</f>
        <v>山形</v>
      </c>
      <c r="J12" s="137" t="n">
        <v>12.2</v>
      </c>
    </row>
    <row r="13" customFormat="false" ht="13.5" hidden="false" customHeight="false" outlineLevel="0" collapsed="false">
      <c r="B13" s="8" t="n">
        <f aca="false">B12+1</f>
        <v>7</v>
      </c>
      <c r="C13" s="8" t="n">
        <v>7</v>
      </c>
      <c r="D13" s="8" t="s">
        <v>2505</v>
      </c>
      <c r="E13" s="8" t="n">
        <v>1</v>
      </c>
      <c r="F13" s="8" t="str">
        <f aca="false">VLOOKUP(E13,electricity!$B$4:$C$13,2,FALSE())</f>
        <v>東北電力</v>
      </c>
      <c r="H13" s="8" t="n">
        <v>7</v>
      </c>
      <c r="I13" s="8" t="str">
        <f aca="false">VLOOKUP(H13,B$6:D$57,3,FALSE())</f>
        <v>福島</v>
      </c>
      <c r="J13" s="137" t="n">
        <v>13.6</v>
      </c>
    </row>
    <row r="14" customFormat="false" ht="13.5" hidden="false" customHeight="false" outlineLevel="0" collapsed="false">
      <c r="B14" s="8" t="n">
        <f aca="false">B13+1</f>
        <v>8</v>
      </c>
      <c r="C14" s="8" t="n">
        <v>8</v>
      </c>
      <c r="D14" s="8" t="s">
        <v>2506</v>
      </c>
      <c r="E14" s="8" t="n">
        <v>2</v>
      </c>
      <c r="F14" s="8" t="str">
        <f aca="false">VLOOKUP(E14,electricity!$B$4:$C$13,2,FALSE())</f>
        <v>東京電力</v>
      </c>
      <c r="H14" s="8" t="n">
        <v>8</v>
      </c>
      <c r="I14" s="8" t="str">
        <f aca="false">VLOOKUP(H14,B$6:D$57,3,FALSE())</f>
        <v>茨城</v>
      </c>
      <c r="J14" s="137" t="n">
        <v>14.4</v>
      </c>
    </row>
    <row r="15" customFormat="false" ht="13.5" hidden="false" customHeight="false" outlineLevel="0" collapsed="false">
      <c r="B15" s="8" t="n">
        <f aca="false">B14+1</f>
        <v>9</v>
      </c>
      <c r="C15" s="8" t="n">
        <v>9</v>
      </c>
      <c r="D15" s="8" t="s">
        <v>2507</v>
      </c>
      <c r="E15" s="8" t="n">
        <v>2</v>
      </c>
      <c r="F15" s="8" t="str">
        <f aca="false">VLOOKUP(E15,electricity!$B$4:$C$13,2,FALSE())</f>
        <v>東京電力</v>
      </c>
      <c r="H15" s="8" t="n">
        <v>9</v>
      </c>
      <c r="I15" s="8" t="str">
        <f aca="false">VLOOKUP(H15,B$6:D$57,3,FALSE())</f>
        <v>栃木</v>
      </c>
      <c r="J15" s="137" t="n">
        <v>14.6</v>
      </c>
    </row>
    <row r="16" customFormat="false" ht="13.5" hidden="false" customHeight="false" outlineLevel="0" collapsed="false">
      <c r="B16" s="8" t="n">
        <f aca="false">B15+1</f>
        <v>10</v>
      </c>
      <c r="C16" s="8" t="n">
        <v>10</v>
      </c>
      <c r="D16" s="8" t="s">
        <v>2508</v>
      </c>
      <c r="E16" s="8" t="n">
        <v>2</v>
      </c>
      <c r="F16" s="8" t="str">
        <f aca="false">VLOOKUP(E16,electricity!$B$4:$C$13,2,FALSE())</f>
        <v>東京電力</v>
      </c>
      <c r="H16" s="8" t="n">
        <v>10</v>
      </c>
      <c r="I16" s="8" t="str">
        <f aca="false">VLOOKUP(H16,B$6:D$57,3,FALSE())</f>
        <v>群馬</v>
      </c>
      <c r="J16" s="137" t="n">
        <v>15.3</v>
      </c>
    </row>
    <row r="17" customFormat="false" ht="13.5" hidden="false" customHeight="false" outlineLevel="0" collapsed="false">
      <c r="B17" s="8" t="n">
        <f aca="false">B16+1</f>
        <v>11</v>
      </c>
      <c r="C17" s="8" t="n">
        <v>11</v>
      </c>
      <c r="D17" s="8" t="s">
        <v>2509</v>
      </c>
      <c r="E17" s="8" t="n">
        <v>2</v>
      </c>
      <c r="F17" s="8" t="str">
        <f aca="false">VLOOKUP(E17,electricity!$B$4:$C$13,2,FALSE())</f>
        <v>東京電力</v>
      </c>
      <c r="H17" s="8" t="n">
        <v>11</v>
      </c>
      <c r="I17" s="8" t="str">
        <f aca="false">VLOOKUP(H17,B$6:D$57,3,FALSE())</f>
        <v>埼玉</v>
      </c>
      <c r="J17" s="137" t="n">
        <v>15.8</v>
      </c>
    </row>
    <row r="18" customFormat="false" ht="13.5" hidden="false" customHeight="false" outlineLevel="0" collapsed="false">
      <c r="B18" s="8" t="n">
        <f aca="false">B17+1</f>
        <v>12</v>
      </c>
      <c r="C18" s="8" t="n">
        <v>12</v>
      </c>
      <c r="D18" s="8" t="s">
        <v>2510</v>
      </c>
      <c r="E18" s="8" t="n">
        <v>2</v>
      </c>
      <c r="F18" s="8" t="str">
        <f aca="false">VLOOKUP(E18,electricity!$B$4:$C$13,2,FALSE())</f>
        <v>東京電力</v>
      </c>
      <c r="H18" s="8" t="n">
        <v>12</v>
      </c>
      <c r="I18" s="8" t="str">
        <f aca="false">VLOOKUP(H18,B$6:D$57,3,FALSE())</f>
        <v>千葉</v>
      </c>
      <c r="J18" s="137" t="n">
        <v>16.6</v>
      </c>
    </row>
    <row r="19" customFormat="false" ht="13.5" hidden="false" customHeight="false" outlineLevel="0" collapsed="false">
      <c r="B19" s="8" t="n">
        <f aca="false">B18+1</f>
        <v>13</v>
      </c>
      <c r="C19" s="8" t="n">
        <v>13</v>
      </c>
      <c r="D19" s="8" t="s">
        <v>2511</v>
      </c>
      <c r="E19" s="8" t="n">
        <v>2</v>
      </c>
      <c r="F19" s="8" t="str">
        <f aca="false">VLOOKUP(E19,electricity!$B$4:$C$13,2,FALSE())</f>
        <v>東京電力</v>
      </c>
      <c r="H19" s="8" t="n">
        <v>13</v>
      </c>
      <c r="I19" s="8" t="str">
        <f aca="false">VLOOKUP(H19,B$6:D$57,3,FALSE())</f>
        <v>東京</v>
      </c>
      <c r="J19" s="137" t="n">
        <v>17</v>
      </c>
    </row>
    <row r="20" customFormat="false" ht="13.5" hidden="false" customHeight="false" outlineLevel="0" collapsed="false">
      <c r="B20" s="8" t="n">
        <f aca="false">B19+1</f>
        <v>14</v>
      </c>
      <c r="C20" s="8" t="n">
        <v>14</v>
      </c>
      <c r="D20" s="8" t="s">
        <v>2512</v>
      </c>
      <c r="E20" s="8" t="n">
        <v>2</v>
      </c>
      <c r="F20" s="8" t="str">
        <f aca="false">VLOOKUP(E20,electricity!$B$4:$C$13,2,FALSE())</f>
        <v>東京電力</v>
      </c>
      <c r="H20" s="8" t="n">
        <v>14</v>
      </c>
      <c r="I20" s="8" t="str">
        <f aca="false">VLOOKUP(H20,B$6:D$57,3,FALSE())</f>
        <v>神奈川</v>
      </c>
      <c r="J20" s="137" t="n">
        <v>16.5</v>
      </c>
    </row>
    <row r="21" customFormat="false" ht="13.5" hidden="false" customHeight="false" outlineLevel="0" collapsed="false">
      <c r="B21" s="8" t="n">
        <f aca="false">B20+1</f>
        <v>15</v>
      </c>
      <c r="C21" s="8" t="n">
        <v>15</v>
      </c>
      <c r="D21" s="8" t="s">
        <v>2498</v>
      </c>
      <c r="E21" s="8" t="n">
        <v>4</v>
      </c>
      <c r="F21" s="8" t="str">
        <f aca="false">VLOOKUP(E21,electricity!$B$4:$C$13,2,FALSE())</f>
        <v>北陸電力</v>
      </c>
      <c r="H21" s="8" t="n">
        <v>15</v>
      </c>
      <c r="I21" s="8" t="str">
        <f aca="false">VLOOKUP(H21,B$6:D$57,3,FALSE())</f>
        <v>新潟</v>
      </c>
      <c r="J21" s="137" t="n">
        <v>14.4</v>
      </c>
    </row>
    <row r="22" customFormat="false" ht="13.5" hidden="false" customHeight="false" outlineLevel="0" collapsed="false">
      <c r="B22" s="8" t="n">
        <f aca="false">B21+1</f>
        <v>16</v>
      </c>
      <c r="C22" s="8" t="n">
        <v>16</v>
      </c>
      <c r="D22" s="8" t="s">
        <v>2513</v>
      </c>
      <c r="E22" s="8" t="n">
        <v>4</v>
      </c>
      <c r="F22" s="8" t="str">
        <f aca="false">VLOOKUP(E22,electricity!$B$4:$C$13,2,FALSE())</f>
        <v>北陸電力</v>
      </c>
      <c r="H22" s="8" t="n">
        <v>16</v>
      </c>
      <c r="I22" s="8" t="str">
        <f aca="false">VLOOKUP(H22,B$6:D$57,3,FALSE())</f>
        <v>富山</v>
      </c>
      <c r="J22" s="137" t="n">
        <v>14.9</v>
      </c>
    </row>
    <row r="23" customFormat="false" ht="13.5" hidden="false" customHeight="false" outlineLevel="0" collapsed="false">
      <c r="B23" s="8" t="n">
        <f aca="false">B22+1</f>
        <v>17</v>
      </c>
      <c r="C23" s="8" t="n">
        <v>17</v>
      </c>
      <c r="D23" s="8" t="s">
        <v>2514</v>
      </c>
      <c r="E23" s="8" t="n">
        <v>4</v>
      </c>
      <c r="F23" s="8" t="str">
        <f aca="false">VLOOKUP(E23,electricity!$B$4:$C$13,2,FALSE())</f>
        <v>北陸電力</v>
      </c>
      <c r="H23" s="8" t="n">
        <v>17</v>
      </c>
      <c r="I23" s="8" t="str">
        <f aca="false">VLOOKUP(H23,B$6:D$57,3,FALSE())</f>
        <v>石川</v>
      </c>
      <c r="J23" s="137" t="n">
        <v>15.1</v>
      </c>
    </row>
    <row r="24" customFormat="false" ht="13.5" hidden="false" customHeight="false" outlineLevel="0" collapsed="false">
      <c r="B24" s="8" t="n">
        <f aca="false">B23+1</f>
        <v>18</v>
      </c>
      <c r="C24" s="8" t="n">
        <v>18</v>
      </c>
      <c r="D24" s="8" t="s">
        <v>2900</v>
      </c>
      <c r="E24" s="8" t="n">
        <v>4</v>
      </c>
      <c r="F24" s="8" t="str">
        <f aca="false">VLOOKUP(E24,electricity!$B$4:$C$13,2,FALSE())</f>
        <v>北陸電力</v>
      </c>
      <c r="H24" s="8" t="n">
        <v>18</v>
      </c>
      <c r="I24" s="8" t="s">
        <v>2515</v>
      </c>
      <c r="J24" s="137" t="n">
        <v>15</v>
      </c>
    </row>
    <row r="25" customFormat="false" ht="13.5" hidden="false" customHeight="false" outlineLevel="0" collapsed="false">
      <c r="B25" s="8"/>
      <c r="C25" s="8" t="n">
        <v>18.5</v>
      </c>
      <c r="D25" s="8" t="s">
        <v>2901</v>
      </c>
      <c r="E25" s="8" t="n">
        <v>5</v>
      </c>
      <c r="F25" s="8" t="str">
        <f aca="false">VLOOKUP(E25,electricity!$B$4:$C$13,2,FALSE())</f>
        <v>関西電力</v>
      </c>
      <c r="H25" s="8" t="n">
        <v>19</v>
      </c>
      <c r="I25" s="8" t="str">
        <f aca="false">VLOOKUP(H25,B$6:D$57,3,FALSE())</f>
        <v>山梨</v>
      </c>
      <c r="J25" s="137" t="n">
        <v>15.3</v>
      </c>
    </row>
    <row r="26" customFormat="false" ht="13.5" hidden="false" customHeight="false" outlineLevel="0" collapsed="false">
      <c r="B26" s="8" t="n">
        <f aca="false">B24+1</f>
        <v>19</v>
      </c>
      <c r="C26" s="8" t="n">
        <v>19</v>
      </c>
      <c r="D26" s="8" t="s">
        <v>2516</v>
      </c>
      <c r="E26" s="8" t="n">
        <v>2</v>
      </c>
      <c r="F26" s="8" t="str">
        <f aca="false">VLOOKUP(E26,electricity!$B$4:$C$13,2,FALSE())</f>
        <v>東京電力</v>
      </c>
      <c r="H26" s="8" t="n">
        <v>20</v>
      </c>
      <c r="I26" s="8" t="str">
        <f aca="false">VLOOKUP(H26,B$6:D$57,3,FALSE())</f>
        <v>長野</v>
      </c>
      <c r="J26" s="137" t="n">
        <v>12.5</v>
      </c>
    </row>
    <row r="27" customFormat="false" ht="13.5" hidden="false" customHeight="false" outlineLevel="0" collapsed="false">
      <c r="B27" s="8" t="n">
        <f aca="false">B26+1</f>
        <v>20</v>
      </c>
      <c r="C27" s="8" t="n">
        <v>20</v>
      </c>
      <c r="D27" s="8" t="s">
        <v>2517</v>
      </c>
      <c r="E27" s="8" t="n">
        <v>3</v>
      </c>
      <c r="F27" s="8" t="str">
        <f aca="false">VLOOKUP(E27,electricity!$B$4:$C$13,2,FALSE())</f>
        <v>中部電力</v>
      </c>
      <c r="H27" s="8" t="n">
        <v>21</v>
      </c>
      <c r="I27" s="8" t="str">
        <f aca="false">VLOOKUP(H27,B$6:D$57,3,FALSE())</f>
        <v>岐阜</v>
      </c>
      <c r="J27" s="137" t="n">
        <v>16.4</v>
      </c>
    </row>
    <row r="28" customFormat="false" ht="13.5" hidden="false" customHeight="false" outlineLevel="0" collapsed="false">
      <c r="B28" s="8" t="n">
        <f aca="false">B27+1</f>
        <v>21</v>
      </c>
      <c r="C28" s="8" t="n">
        <v>21</v>
      </c>
      <c r="D28" s="8" t="s">
        <v>2518</v>
      </c>
      <c r="E28" s="8" t="n">
        <v>3</v>
      </c>
      <c r="F28" s="8" t="str">
        <f aca="false">VLOOKUP(E28,electricity!$B$4:$C$13,2,FALSE())</f>
        <v>中部電力</v>
      </c>
      <c r="H28" s="8" t="n">
        <v>22</v>
      </c>
      <c r="I28" s="8" t="s">
        <v>2519</v>
      </c>
      <c r="J28" s="137" t="n">
        <v>17.1</v>
      </c>
    </row>
    <row r="29" customFormat="false" ht="13.5" hidden="false" customHeight="false" outlineLevel="0" collapsed="false">
      <c r="B29" s="8"/>
      <c r="C29" s="8" t="n">
        <v>21.4</v>
      </c>
      <c r="D29" s="8" t="s">
        <v>2902</v>
      </c>
      <c r="E29" s="8" t="n">
        <v>4</v>
      </c>
      <c r="F29" s="8" t="str">
        <f aca="false">VLOOKUP(E29,electricity!$B$4:$C$13,2,FALSE())</f>
        <v>北陸電力</v>
      </c>
      <c r="H29" s="8" t="n">
        <v>23</v>
      </c>
      <c r="I29" s="8" t="str">
        <f aca="false">VLOOKUP(H29,B$6:D$57,3,FALSE())</f>
        <v>愛知</v>
      </c>
      <c r="J29" s="137" t="n">
        <v>16.6</v>
      </c>
    </row>
    <row r="30" customFormat="false" ht="13.5" hidden="false" customHeight="false" outlineLevel="0" collapsed="false">
      <c r="B30" s="8" t="n">
        <f aca="false">B28+1</f>
        <v>22</v>
      </c>
      <c r="C30" s="8" t="n">
        <v>22.2</v>
      </c>
      <c r="D30" s="8" t="s">
        <v>2903</v>
      </c>
      <c r="E30" s="8" t="n">
        <v>2</v>
      </c>
      <c r="F30" s="8" t="str">
        <f aca="false">VLOOKUP(E30,electricity!$B$4:$C$13,2,FALSE())</f>
        <v>東京電力</v>
      </c>
      <c r="H30" s="8" t="n">
        <v>24</v>
      </c>
      <c r="I30" s="8" t="str">
        <f aca="false">VLOOKUP(H30,B$6:D$57,3,FALSE())</f>
        <v>三重</v>
      </c>
      <c r="J30" s="137" t="n">
        <v>16.6</v>
      </c>
    </row>
    <row r="31" customFormat="false" ht="13.5" hidden="false" customHeight="false" outlineLevel="0" collapsed="false">
      <c r="B31" s="8"/>
      <c r="C31" s="8" t="n">
        <v>22</v>
      </c>
      <c r="D31" s="8" t="s">
        <v>2904</v>
      </c>
      <c r="E31" s="8" t="n">
        <v>3</v>
      </c>
      <c r="F31" s="8" t="str">
        <f aca="false">VLOOKUP(E31,electricity!$B$4:$C$13,2,FALSE())</f>
        <v>中部電力</v>
      </c>
      <c r="H31" s="8" t="n">
        <v>25</v>
      </c>
      <c r="I31" s="8" t="str">
        <f aca="false">VLOOKUP(H31,B$6:D$57,3,FALSE())</f>
        <v>滋賀</v>
      </c>
      <c r="J31" s="137" t="n">
        <v>15.2</v>
      </c>
    </row>
    <row r="32" customFormat="false" ht="13.5" hidden="false" customHeight="false" outlineLevel="0" collapsed="false">
      <c r="B32" s="8" t="n">
        <f aca="false">B30+1</f>
        <v>23</v>
      </c>
      <c r="C32" s="8" t="n">
        <v>23</v>
      </c>
      <c r="D32" s="8" t="s">
        <v>2520</v>
      </c>
      <c r="E32" s="8" t="n">
        <v>3</v>
      </c>
      <c r="F32" s="8" t="str">
        <f aca="false">VLOOKUP(E32,electricity!$B$4:$C$13,2,FALSE())</f>
        <v>中部電力</v>
      </c>
      <c r="H32" s="8" t="n">
        <v>26</v>
      </c>
      <c r="I32" s="8" t="str">
        <f aca="false">VLOOKUP(H32,B$6:D$57,3,FALSE())</f>
        <v>京都</v>
      </c>
      <c r="J32" s="137" t="n">
        <v>16.3</v>
      </c>
    </row>
    <row r="33" customFormat="false" ht="13.5" hidden="false" customHeight="false" outlineLevel="0" collapsed="false">
      <c r="B33" s="8" t="n">
        <f aca="false">B32+1</f>
        <v>24</v>
      </c>
      <c r="C33" s="8" t="n">
        <v>24</v>
      </c>
      <c r="D33" s="8" t="s">
        <v>2521</v>
      </c>
      <c r="E33" s="8" t="n">
        <v>3</v>
      </c>
      <c r="F33" s="8" t="str">
        <f aca="false">VLOOKUP(E33,electricity!$B$4:$C$13,2,FALSE())</f>
        <v>中部電力</v>
      </c>
      <c r="H33" s="8" t="n">
        <v>27</v>
      </c>
      <c r="I33" s="8" t="str">
        <f aca="false">VLOOKUP(H33,B$6:D$57,3,FALSE())</f>
        <v>大阪</v>
      </c>
      <c r="J33" s="137" t="n">
        <v>17.6</v>
      </c>
    </row>
    <row r="34" customFormat="false" ht="13.5" hidden="false" customHeight="false" outlineLevel="0" collapsed="false">
      <c r="B34" s="8"/>
      <c r="C34" s="8" t="n">
        <v>24.5</v>
      </c>
      <c r="D34" s="8" t="s">
        <v>2905</v>
      </c>
      <c r="E34" s="8" t="n">
        <v>5</v>
      </c>
      <c r="F34" s="8" t="str">
        <f aca="false">VLOOKUP(E34,electricity!$B$4:$C$13,2,FALSE())</f>
        <v>関西電力</v>
      </c>
      <c r="H34" s="8" t="n">
        <v>28</v>
      </c>
      <c r="I34" s="8" t="str">
        <f aca="false">VLOOKUP(H34,B$6:D$57,3,FALSE())</f>
        <v>兵庫</v>
      </c>
      <c r="J34" s="137" t="n">
        <v>17.4</v>
      </c>
    </row>
    <row r="35" customFormat="false" ht="13.5" hidden="false" customHeight="false" outlineLevel="0" collapsed="false">
      <c r="B35" s="8" t="n">
        <f aca="false">B33+1</f>
        <v>25</v>
      </c>
      <c r="C35" s="8" t="n">
        <v>25</v>
      </c>
      <c r="D35" s="8" t="s">
        <v>2522</v>
      </c>
      <c r="E35" s="8" t="n">
        <v>5</v>
      </c>
      <c r="F35" s="8" t="str">
        <f aca="false">VLOOKUP(E35,electricity!$B$4:$C$13,2,FALSE())</f>
        <v>関西電力</v>
      </c>
      <c r="H35" s="8" t="n">
        <v>29</v>
      </c>
      <c r="I35" s="8" t="str">
        <f aca="false">VLOOKUP(H35,B$6:D$57,3,FALSE())</f>
        <v>奈良</v>
      </c>
      <c r="J35" s="137" t="n">
        <v>15.3</v>
      </c>
    </row>
    <row r="36" customFormat="false" ht="13.5" hidden="false" customHeight="false" outlineLevel="0" collapsed="false">
      <c r="B36" s="8" t="n">
        <f aca="false">B35+1</f>
        <v>26</v>
      </c>
      <c r="C36" s="8" t="n">
        <v>26</v>
      </c>
      <c r="D36" s="8" t="s">
        <v>2523</v>
      </c>
      <c r="E36" s="8" t="n">
        <v>5</v>
      </c>
      <c r="F36" s="8" t="str">
        <f aca="false">VLOOKUP(E36,electricity!$B$4:$C$13,2,FALSE())</f>
        <v>関西電力</v>
      </c>
      <c r="H36" s="8" t="n">
        <v>30</v>
      </c>
      <c r="I36" s="8" t="str">
        <f aca="false">VLOOKUP(H36,B$6:D$57,3,FALSE())</f>
        <v>和歌山</v>
      </c>
      <c r="J36" s="137" t="n">
        <v>17.3</v>
      </c>
    </row>
    <row r="37" customFormat="false" ht="13.5" hidden="false" customHeight="false" outlineLevel="0" collapsed="false">
      <c r="B37" s="8" t="n">
        <f aca="false">B36+1</f>
        <v>27</v>
      </c>
      <c r="C37" s="8" t="n">
        <v>27</v>
      </c>
      <c r="D37" s="8" t="s">
        <v>2524</v>
      </c>
      <c r="E37" s="8" t="n">
        <v>5</v>
      </c>
      <c r="F37" s="8" t="str">
        <f aca="false">VLOOKUP(E37,electricity!$B$4:$C$13,2,FALSE())</f>
        <v>関西電力</v>
      </c>
      <c r="H37" s="8" t="n">
        <v>31</v>
      </c>
      <c r="I37" s="8" t="str">
        <f aca="false">VLOOKUP(H37,B$6:D$57,3,FALSE())</f>
        <v>鳥取</v>
      </c>
      <c r="J37" s="137" t="n">
        <v>15.5</v>
      </c>
    </row>
    <row r="38" customFormat="false" ht="13.5" hidden="false" customHeight="false" outlineLevel="0" collapsed="false">
      <c r="B38" s="8" t="n">
        <f aca="false">B37+1</f>
        <v>28</v>
      </c>
      <c r="C38" s="8" t="n">
        <v>28</v>
      </c>
      <c r="D38" s="8" t="s">
        <v>2525</v>
      </c>
      <c r="E38" s="8" t="n">
        <v>5</v>
      </c>
      <c r="F38" s="8" t="str">
        <f aca="false">VLOOKUP(E38,electricity!$B$4:$C$13,2,FALSE())</f>
        <v>関西電力</v>
      </c>
      <c r="H38" s="8" t="n">
        <v>32</v>
      </c>
      <c r="I38" s="8" t="str">
        <f aca="false">VLOOKUP(H38,B$6:D$57,3,FALSE())</f>
        <v>島根</v>
      </c>
      <c r="J38" s="137" t="n">
        <v>15.7</v>
      </c>
    </row>
    <row r="39" customFormat="false" ht="13.5" hidden="false" customHeight="false" outlineLevel="0" collapsed="false">
      <c r="B39" s="8" t="n">
        <f aca="false">B38+1</f>
        <v>29</v>
      </c>
      <c r="C39" s="8" t="n">
        <v>29</v>
      </c>
      <c r="D39" s="8" t="s">
        <v>2526</v>
      </c>
      <c r="E39" s="8" t="n">
        <v>5</v>
      </c>
      <c r="F39" s="8" t="str">
        <f aca="false">VLOOKUP(E39,electricity!$B$4:$C$13,2,FALSE())</f>
        <v>関西電力</v>
      </c>
      <c r="H39" s="8" t="n">
        <v>33</v>
      </c>
      <c r="I39" s="8" t="str">
        <f aca="false">VLOOKUP(H39,B$6:D$57,3,FALSE())</f>
        <v>岡山</v>
      </c>
      <c r="J39" s="137" t="n">
        <v>17</v>
      </c>
    </row>
    <row r="40" customFormat="false" ht="13.5" hidden="false" customHeight="false" outlineLevel="0" collapsed="false">
      <c r="B40" s="8" t="n">
        <f aca="false">B39+1</f>
        <v>30</v>
      </c>
      <c r="C40" s="8" t="n">
        <v>30</v>
      </c>
      <c r="D40" s="8" t="s">
        <v>2527</v>
      </c>
      <c r="E40" s="8" t="n">
        <v>5</v>
      </c>
      <c r="F40" s="8" t="str">
        <f aca="false">VLOOKUP(E40,electricity!$B$4:$C$13,2,FALSE())</f>
        <v>関西電力</v>
      </c>
      <c r="H40" s="8" t="n">
        <v>34</v>
      </c>
      <c r="I40" s="8" t="str">
        <f aca="false">VLOOKUP(H40,B$6:D$57,3,FALSE())</f>
        <v>広島</v>
      </c>
      <c r="J40" s="137" t="n">
        <v>17</v>
      </c>
    </row>
    <row r="41" customFormat="false" ht="13.5" hidden="false" customHeight="false" outlineLevel="0" collapsed="false">
      <c r="B41" s="8" t="n">
        <f aca="false">B40+1</f>
        <v>31</v>
      </c>
      <c r="C41" s="8" t="n">
        <v>31</v>
      </c>
      <c r="D41" s="8" t="s">
        <v>2528</v>
      </c>
      <c r="E41" s="8" t="n">
        <v>6</v>
      </c>
      <c r="F41" s="8" t="str">
        <f aca="false">VLOOKUP(E41,electricity!$B$4:$C$13,2,FALSE())</f>
        <v>中国電力</v>
      </c>
      <c r="H41" s="8" t="n">
        <v>35</v>
      </c>
      <c r="I41" s="8" t="str">
        <f aca="false">VLOOKUP(H41,B$6:D$57,3,FALSE())</f>
        <v>山口</v>
      </c>
      <c r="J41" s="137" t="n">
        <v>16.2</v>
      </c>
    </row>
    <row r="42" customFormat="false" ht="13.5" hidden="false" customHeight="false" outlineLevel="0" collapsed="false">
      <c r="B42" s="8" t="n">
        <f aca="false">B41+1</f>
        <v>32</v>
      </c>
      <c r="C42" s="8" t="n">
        <v>32</v>
      </c>
      <c r="D42" s="8" t="s">
        <v>2529</v>
      </c>
      <c r="E42" s="8" t="n">
        <v>6</v>
      </c>
      <c r="F42" s="8" t="str">
        <f aca="false">VLOOKUP(E42,electricity!$B$4:$C$13,2,FALSE())</f>
        <v>中国電力</v>
      </c>
      <c r="H42" s="8" t="n">
        <v>36</v>
      </c>
      <c r="I42" s="8" t="str">
        <f aca="false">VLOOKUP(H42,B$6:D$57,3,FALSE())</f>
        <v>徳島</v>
      </c>
      <c r="J42" s="137" t="n">
        <v>17.4</v>
      </c>
    </row>
    <row r="43" customFormat="false" ht="13.5" hidden="false" customHeight="false" outlineLevel="0" collapsed="false">
      <c r="B43" s="8" t="n">
        <f aca="false">B42+1</f>
        <v>33</v>
      </c>
      <c r="C43" s="8" t="n">
        <v>33</v>
      </c>
      <c r="D43" s="8" t="s">
        <v>2530</v>
      </c>
      <c r="E43" s="8" t="n">
        <v>6</v>
      </c>
      <c r="F43" s="8" t="str">
        <f aca="false">VLOOKUP(E43,electricity!$B$4:$C$13,2,FALSE())</f>
        <v>中国電力</v>
      </c>
      <c r="H43" s="8" t="n">
        <v>37</v>
      </c>
      <c r="I43" s="8" t="str">
        <f aca="false">VLOOKUP(H43,B$6:D$57,3,FALSE())</f>
        <v>香川</v>
      </c>
      <c r="J43" s="137" t="n">
        <v>17.3</v>
      </c>
    </row>
    <row r="44" customFormat="false" ht="13.5" hidden="false" customHeight="false" outlineLevel="0" collapsed="false">
      <c r="B44" s="8" t="n">
        <f aca="false">B43+1</f>
        <v>34</v>
      </c>
      <c r="C44" s="8" t="n">
        <v>34</v>
      </c>
      <c r="D44" s="8" t="s">
        <v>2531</v>
      </c>
      <c r="E44" s="8" t="n">
        <v>6</v>
      </c>
      <c r="F44" s="8" t="str">
        <f aca="false">VLOOKUP(E44,electricity!$B$4:$C$13,2,FALSE())</f>
        <v>中国電力</v>
      </c>
      <c r="H44" s="8" t="n">
        <v>38</v>
      </c>
      <c r="I44" s="8" t="str">
        <f aca="false">VLOOKUP(H44,B$6:D$57,3,FALSE())</f>
        <v>愛媛</v>
      </c>
      <c r="J44" s="137" t="n">
        <v>17.3</v>
      </c>
    </row>
    <row r="45" customFormat="false" ht="13.5" hidden="false" customHeight="false" outlineLevel="0" collapsed="false">
      <c r="B45" s="8" t="n">
        <f aca="false">B44+1</f>
        <v>35</v>
      </c>
      <c r="C45" s="8" t="n">
        <v>35</v>
      </c>
      <c r="D45" s="8" t="s">
        <v>2532</v>
      </c>
      <c r="E45" s="8" t="n">
        <v>6</v>
      </c>
      <c r="F45" s="8" t="str">
        <f aca="false">VLOOKUP(E45,electricity!$B$4:$C$13,2,FALSE())</f>
        <v>中国電力</v>
      </c>
      <c r="H45" s="8" t="n">
        <v>39</v>
      </c>
      <c r="I45" s="8" t="str">
        <f aca="false">VLOOKUP(H45,B$6:D$57,3,FALSE())</f>
        <v>高知</v>
      </c>
      <c r="J45" s="137" t="n">
        <v>17.9</v>
      </c>
    </row>
    <row r="46" customFormat="false" ht="13.5" hidden="false" customHeight="false" outlineLevel="0" collapsed="false">
      <c r="B46" s="8" t="n">
        <f aca="false">B45+1</f>
        <v>36</v>
      </c>
      <c r="C46" s="8" t="n">
        <v>36</v>
      </c>
      <c r="D46" s="8" t="s">
        <v>2533</v>
      </c>
      <c r="E46" s="8" t="n">
        <v>7</v>
      </c>
      <c r="F46" s="8" t="str">
        <f aca="false">VLOOKUP(E46,electricity!$B$4:$C$13,2,FALSE())</f>
        <v>四国電力</v>
      </c>
      <c r="H46" s="8" t="n">
        <v>40</v>
      </c>
      <c r="I46" s="8" t="str">
        <f aca="false">VLOOKUP(H46,B$6:D$57,3,FALSE())</f>
        <v>福岡</v>
      </c>
      <c r="J46" s="137" t="n">
        <v>18</v>
      </c>
    </row>
    <row r="47" customFormat="false" ht="13.5" hidden="false" customHeight="false" outlineLevel="0" collapsed="false">
      <c r="B47" s="8" t="n">
        <f aca="false">B46+1</f>
        <v>37</v>
      </c>
      <c r="C47" s="8" t="n">
        <v>37</v>
      </c>
      <c r="D47" s="8" t="s">
        <v>2534</v>
      </c>
      <c r="E47" s="8" t="n">
        <v>7</v>
      </c>
      <c r="F47" s="8" t="str">
        <f aca="false">VLOOKUP(E47,electricity!$B$4:$C$13,2,FALSE())</f>
        <v>四国電力</v>
      </c>
      <c r="H47" s="8" t="n">
        <v>41</v>
      </c>
      <c r="I47" s="8" t="str">
        <f aca="false">VLOOKUP(H47,B$6:D$57,3,FALSE())</f>
        <v>佐賀</v>
      </c>
      <c r="J47" s="137" t="n">
        <v>17.4</v>
      </c>
    </row>
    <row r="48" customFormat="false" ht="13.5" hidden="false" customHeight="false" outlineLevel="0" collapsed="false">
      <c r="B48" s="8" t="n">
        <f aca="false">B47+1</f>
        <v>38</v>
      </c>
      <c r="C48" s="8" t="n">
        <v>38</v>
      </c>
      <c r="D48" s="8" t="s">
        <v>2535</v>
      </c>
      <c r="E48" s="8" t="n">
        <v>7</v>
      </c>
      <c r="F48" s="8" t="str">
        <f aca="false">VLOOKUP(E48,electricity!$B$4:$C$13,2,FALSE())</f>
        <v>四国電力</v>
      </c>
      <c r="H48" s="8" t="n">
        <v>42</v>
      </c>
      <c r="I48" s="8" t="str">
        <f aca="false">VLOOKUP(H48,B$6:D$57,3,FALSE())</f>
        <v>長崎</v>
      </c>
      <c r="J48" s="137" t="n">
        <v>18</v>
      </c>
    </row>
    <row r="49" customFormat="false" ht="13.5" hidden="false" customHeight="false" outlineLevel="0" collapsed="false">
      <c r="B49" s="8" t="n">
        <f aca="false">B48+1</f>
        <v>39</v>
      </c>
      <c r="C49" s="8" t="n">
        <v>39</v>
      </c>
      <c r="D49" s="8" t="s">
        <v>2536</v>
      </c>
      <c r="E49" s="8" t="n">
        <v>7</v>
      </c>
      <c r="F49" s="8" t="str">
        <f aca="false">VLOOKUP(E49,electricity!$B$4:$C$13,2,FALSE())</f>
        <v>四国電力</v>
      </c>
      <c r="H49" s="8" t="n">
        <v>43</v>
      </c>
      <c r="I49" s="8" t="str">
        <f aca="false">VLOOKUP(H49,B$6:D$57,3,FALSE())</f>
        <v>熊本</v>
      </c>
      <c r="J49" s="137" t="n">
        <v>18</v>
      </c>
    </row>
    <row r="50" customFormat="false" ht="13.5" hidden="false" customHeight="false" outlineLevel="0" collapsed="false">
      <c r="B50" s="8" t="n">
        <f aca="false">B49+1</f>
        <v>40</v>
      </c>
      <c r="C50" s="8" t="n">
        <v>40</v>
      </c>
      <c r="D50" s="8" t="s">
        <v>2537</v>
      </c>
      <c r="E50" s="8" t="n">
        <v>8</v>
      </c>
      <c r="F50" s="8" t="str">
        <f aca="false">VLOOKUP(E50,electricity!$B$4:$C$13,2,FALSE())</f>
        <v>九州電力</v>
      </c>
      <c r="H50" s="8" t="n">
        <v>44</v>
      </c>
      <c r="I50" s="8" t="str">
        <f aca="false">VLOOKUP(H50,B$6:D$57,3,FALSE())</f>
        <v>大分</v>
      </c>
      <c r="J50" s="137" t="n">
        <v>17.4</v>
      </c>
    </row>
    <row r="51" customFormat="false" ht="13.5" hidden="false" customHeight="false" outlineLevel="0" collapsed="false">
      <c r="B51" s="8" t="n">
        <f aca="false">B50+1</f>
        <v>41</v>
      </c>
      <c r="C51" s="8" t="n">
        <v>41</v>
      </c>
      <c r="D51" s="8" t="s">
        <v>2538</v>
      </c>
      <c r="E51" s="8" t="n">
        <v>8</v>
      </c>
      <c r="F51" s="8" t="str">
        <f aca="false">VLOOKUP(E51,electricity!$B$4:$C$13,2,FALSE())</f>
        <v>九州電力</v>
      </c>
      <c r="H51" s="8" t="n">
        <v>45</v>
      </c>
      <c r="I51" s="8" t="str">
        <f aca="false">VLOOKUP(H51,B$6:D$57,3,FALSE())</f>
        <v>宮崎</v>
      </c>
      <c r="J51" s="137" t="n">
        <v>18.1</v>
      </c>
    </row>
    <row r="52" customFormat="false" ht="13.5" hidden="false" customHeight="false" outlineLevel="0" collapsed="false">
      <c r="B52" s="8" t="n">
        <f aca="false">B51+1</f>
        <v>42</v>
      </c>
      <c r="C52" s="8" t="n">
        <v>42</v>
      </c>
      <c r="D52" s="8" t="s">
        <v>2539</v>
      </c>
      <c r="E52" s="8" t="n">
        <v>8</v>
      </c>
      <c r="F52" s="8" t="str">
        <f aca="false">VLOOKUP(E52,electricity!$B$4:$C$13,2,FALSE())</f>
        <v>九州電力</v>
      </c>
      <c r="H52" s="8" t="n">
        <v>46</v>
      </c>
      <c r="I52" s="8" t="str">
        <f aca="false">VLOOKUP(H52,B$6:D$57,3,FALSE())</f>
        <v>鹿児島</v>
      </c>
      <c r="J52" s="137" t="n">
        <v>19.3</v>
      </c>
    </row>
    <row r="53" customFormat="false" ht="13.5" hidden="false" customHeight="false" outlineLevel="0" collapsed="false">
      <c r="B53" s="8" t="n">
        <f aca="false">B52+1</f>
        <v>43</v>
      </c>
      <c r="C53" s="8" t="n">
        <v>43</v>
      </c>
      <c r="D53" s="8" t="s">
        <v>2540</v>
      </c>
      <c r="E53" s="8" t="n">
        <v>8</v>
      </c>
      <c r="F53" s="8" t="str">
        <f aca="false">VLOOKUP(E53,electricity!$B$4:$C$13,2,FALSE())</f>
        <v>九州電力</v>
      </c>
      <c r="H53" s="8" t="n">
        <v>47</v>
      </c>
      <c r="I53" s="8" t="str">
        <f aca="false">VLOOKUP(H53,B$6:D$57,3,FALSE())</f>
        <v>沖縄</v>
      </c>
      <c r="J53" s="137" t="n">
        <v>23.5</v>
      </c>
    </row>
    <row r="54" customFormat="false" ht="13.5" hidden="false" customHeight="false" outlineLevel="0" collapsed="false">
      <c r="B54" s="8" t="n">
        <f aca="false">B53+1</f>
        <v>44</v>
      </c>
      <c r="C54" s="8" t="n">
        <v>44</v>
      </c>
      <c r="D54" s="8" t="s">
        <v>2541</v>
      </c>
      <c r="E54" s="8" t="n">
        <v>8</v>
      </c>
      <c r="F54" s="8" t="str">
        <f aca="false">VLOOKUP(E54,electricity!$B$4:$C$13,2,FALSE())</f>
        <v>九州電力</v>
      </c>
    </row>
    <row r="55" customFormat="false" ht="13.5" hidden="false" customHeight="false" outlineLevel="0" collapsed="false">
      <c r="B55" s="8" t="n">
        <f aca="false">B54+1</f>
        <v>45</v>
      </c>
      <c r="C55" s="8" t="n">
        <v>45</v>
      </c>
      <c r="D55" s="8" t="s">
        <v>2542</v>
      </c>
      <c r="E55" s="8" t="n">
        <v>8</v>
      </c>
      <c r="F55" s="8" t="str">
        <f aca="false">VLOOKUP(E55,electricity!$B$4:$C$13,2,FALSE())</f>
        <v>九州電力</v>
      </c>
    </row>
    <row r="56" customFormat="false" ht="13.5" hidden="false" customHeight="false" outlineLevel="0" collapsed="false">
      <c r="B56" s="8" t="n">
        <f aca="false">B55+1</f>
        <v>46</v>
      </c>
      <c r="C56" s="8" t="n">
        <v>46</v>
      </c>
      <c r="D56" s="8" t="s">
        <v>2501</v>
      </c>
      <c r="E56" s="8" t="n">
        <v>8</v>
      </c>
      <c r="F56" s="8" t="str">
        <f aca="false">VLOOKUP(E56,electricity!$B$4:$C$13,2,FALSE())</f>
        <v>九州電力</v>
      </c>
    </row>
    <row r="57" customFormat="false" ht="13.5" hidden="false" customHeight="false" outlineLevel="0" collapsed="false">
      <c r="B57" s="8" t="n">
        <f aca="false">B56+1</f>
        <v>47</v>
      </c>
      <c r="C57" s="8" t="n">
        <v>47</v>
      </c>
      <c r="D57" s="8" t="s">
        <v>2543</v>
      </c>
      <c r="E57" s="8" t="n">
        <v>9</v>
      </c>
      <c r="F57" s="8" t="str">
        <f aca="false">VLOOKUP(E57,electricity!$B$4:$C$13,2,FALSE())</f>
        <v>沖縄電力</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3.5" customHeight="false" zeroHeight="false" outlineLevelRow="0" outlineLevelCol="0"/>
  <cols>
    <col collapsed="false" customWidth="true" hidden="false" outlineLevel="0" max="1" min="1" style="1" width="7"/>
    <col collapsed="false" customWidth="true" hidden="false" outlineLevel="0" max="2" min="2" style="1" width="9.75"/>
    <col collapsed="false" customWidth="true" hidden="false" outlineLevel="0" max="3" min="3" style="1" width="29.37"/>
    <col collapsed="false" customWidth="true" hidden="false" outlineLevel="0" max="4" min="4" style="1" width="5.25"/>
    <col collapsed="false" customWidth="true" hidden="false" outlineLevel="0" max="5" min="5" style="1" width="41.12"/>
    <col collapsed="false" customWidth="true" hidden="false" outlineLevel="0" max="6" min="6" style="1" width="6.37"/>
    <col collapsed="false" customWidth="true" hidden="true" outlineLevel="0" max="8" min="7" style="1" width="6.37"/>
    <col collapsed="false" customWidth="true" hidden="false" outlineLevel="0" max="9" min="9" style="1" width="13.5"/>
    <col collapsed="false" customWidth="true" hidden="false" outlineLevel="0" max="11" min="10" style="1" width="12.12"/>
    <col collapsed="false" customWidth="true" hidden="false" outlineLevel="0" max="12" min="12" style="1" width="10.25"/>
    <col collapsed="false" customWidth="true" hidden="false" outlineLevel="0" max="13" min="13" style="1" width="7.12"/>
  </cols>
  <sheetData>
    <row r="1" customFormat="false" ht="13.8" hidden="false" customHeight="false" outlineLevel="0" collapsed="false">
      <c r="A1" s="1" t="s">
        <v>2906</v>
      </c>
      <c r="C1" s="1" t="s">
        <v>2907</v>
      </c>
    </row>
    <row r="2" customFormat="false" ht="13.8" hidden="false" customHeight="false" outlineLevel="0" collapsed="false">
      <c r="B2" s="1" t="s">
        <v>2908</v>
      </c>
    </row>
    <row r="3" customFormat="false" ht="13.8" hidden="false" customHeight="false" outlineLevel="0" collapsed="false">
      <c r="B3" s="1" t="s">
        <v>2909</v>
      </c>
    </row>
    <row r="4" customFormat="false" ht="13.8" hidden="false" customHeight="false" outlineLevel="0" collapsed="false">
      <c r="B4" s="1" t="s">
        <v>2910</v>
      </c>
    </row>
    <row r="5" customFormat="false" ht="13.8" hidden="false" customHeight="false" outlineLevel="0" collapsed="false">
      <c r="B5" s="1" t="s">
        <v>2911</v>
      </c>
    </row>
    <row r="6" customFormat="false" ht="13.8" hidden="false" customHeight="false" outlineLevel="0" collapsed="false">
      <c r="A6" s="8"/>
      <c r="B6" s="8"/>
      <c r="C6" s="8"/>
      <c r="D6" s="8"/>
      <c r="E6" s="8"/>
      <c r="F6" s="8"/>
      <c r="G6" s="8" t="s">
        <v>2907</v>
      </c>
      <c r="H6" s="8" t="s">
        <v>2912</v>
      </c>
      <c r="I6" s="8" t="s">
        <v>2716</v>
      </c>
      <c r="J6" s="8"/>
      <c r="K6" s="8" t="s">
        <v>2913</v>
      </c>
      <c r="L6" s="145"/>
      <c r="M6" s="145"/>
      <c r="N6" s="145" t="s">
        <v>2914</v>
      </c>
      <c r="O6" s="145"/>
      <c r="Q6" s="146"/>
      <c r="R6" s="146"/>
      <c r="S6" s="146"/>
      <c r="T6" s="146"/>
      <c r="U6" s="146"/>
      <c r="V6" s="146"/>
      <c r="W6" s="146"/>
      <c r="X6" s="146"/>
      <c r="Y6" s="147"/>
    </row>
    <row r="7" customFormat="false" ht="13.8" hidden="false" customHeight="false" outlineLevel="0" collapsed="false">
      <c r="A7" s="8" t="s">
        <v>2915</v>
      </c>
      <c r="B7" s="8" t="s">
        <v>2916</v>
      </c>
      <c r="C7" s="8" t="s">
        <v>2917</v>
      </c>
      <c r="D7" s="8" t="s">
        <v>2918</v>
      </c>
      <c r="E7" s="8" t="s">
        <v>2919</v>
      </c>
      <c r="F7" s="8" t="s">
        <v>2920</v>
      </c>
      <c r="G7" s="8"/>
      <c r="H7" s="8"/>
      <c r="I7" s="8" t="s">
        <v>2921</v>
      </c>
      <c r="J7" s="8" t="s">
        <v>2922</v>
      </c>
      <c r="K7" s="8" t="s">
        <v>2923</v>
      </c>
      <c r="L7" s="11" t="s">
        <v>2924</v>
      </c>
      <c r="M7" s="11" t="s">
        <v>2925</v>
      </c>
      <c r="N7" s="11" t="n">
        <v>-1</v>
      </c>
      <c r="O7" s="11" t="n">
        <v>0</v>
      </c>
      <c r="P7" s="11" t="n">
        <v>1</v>
      </c>
      <c r="Q7" s="11" t="n">
        <v>2</v>
      </c>
      <c r="R7" s="11" t="n">
        <v>3</v>
      </c>
      <c r="S7" s="11" t="n">
        <v>4</v>
      </c>
      <c r="T7" s="11" t="n">
        <v>5</v>
      </c>
      <c r="U7" s="11" t="n">
        <v>6</v>
      </c>
      <c r="V7" s="11" t="n">
        <v>7</v>
      </c>
      <c r="W7" s="11" t="n">
        <v>8</v>
      </c>
      <c r="X7" s="11" t="n">
        <v>9</v>
      </c>
      <c r="Y7" s="11" t="n">
        <v>10</v>
      </c>
    </row>
    <row r="8" s="148" customFormat="true" ht="13.8" hidden="false" customHeight="false" outlineLevel="0" collapsed="false">
      <c r="A8" s="148" t="s">
        <v>2926</v>
      </c>
      <c r="B8" s="148" t="s">
        <v>2927</v>
      </c>
      <c r="C8" s="148" t="s">
        <v>2928</v>
      </c>
      <c r="E8" s="148" t="s">
        <v>2929</v>
      </c>
      <c r="I8" s="148" t="s">
        <v>2928</v>
      </c>
      <c r="K8" s="148" t="s">
        <v>931</v>
      </c>
      <c r="M8" s="148" t="n">
        <v>2084</v>
      </c>
    </row>
    <row r="9" s="20" customFormat="true" ht="35.05" hidden="false" customHeight="false" outlineLevel="0" collapsed="false">
      <c r="A9" s="20" t="s">
        <v>2930</v>
      </c>
      <c r="B9" s="20" t="s">
        <v>2931</v>
      </c>
      <c r="C9" s="20" t="s">
        <v>2932</v>
      </c>
      <c r="D9" s="20" t="n">
        <v>1</v>
      </c>
      <c r="F9" s="20" t="s">
        <v>986</v>
      </c>
      <c r="H9" s="20" t="s">
        <v>2933</v>
      </c>
      <c r="I9" s="20" t="s">
        <v>2934</v>
      </c>
      <c r="J9" s="20" t="s">
        <v>2935</v>
      </c>
      <c r="K9" s="20" t="s">
        <v>931</v>
      </c>
      <c r="M9" s="20" t="n">
        <v>0</v>
      </c>
    </row>
    <row r="10" s="20" customFormat="true" ht="13.5" hidden="false" customHeight="false" outlineLevel="0" collapsed="false">
      <c r="B10" s="20" t="s">
        <v>2936</v>
      </c>
      <c r="C10" s="20" t="s">
        <v>2937</v>
      </c>
      <c r="I10" s="20" t="s">
        <v>938</v>
      </c>
      <c r="K10" s="20" t="s">
        <v>932</v>
      </c>
    </row>
    <row r="11" s="20" customFormat="true" ht="13.5" hidden="false" customHeight="false" outlineLevel="0" collapsed="false">
      <c r="B11" s="20" t="s">
        <v>2938</v>
      </c>
      <c r="C11" s="20" t="s">
        <v>2939</v>
      </c>
      <c r="I11" s="20" t="s">
        <v>938</v>
      </c>
      <c r="K11" s="20" t="s">
        <v>932</v>
      </c>
    </row>
    <row r="12" s="20" customFormat="true" ht="23.85" hidden="false" customHeight="false" outlineLevel="0" collapsed="false">
      <c r="B12" s="20" t="s">
        <v>2940</v>
      </c>
      <c r="C12" s="20" t="s">
        <v>2941</v>
      </c>
      <c r="I12" s="20" t="s">
        <v>938</v>
      </c>
      <c r="K12" s="20" t="s">
        <v>932</v>
      </c>
    </row>
    <row r="13" s="20" customFormat="true" ht="23.85" hidden="false" customHeight="false" outlineLevel="0" collapsed="false">
      <c r="B13" s="20" t="s">
        <v>44</v>
      </c>
      <c r="C13" s="20" t="s">
        <v>1064</v>
      </c>
      <c r="D13" s="20" t="n">
        <v>1</v>
      </c>
      <c r="E13" s="20" t="s">
        <v>2942</v>
      </c>
      <c r="I13" s="20" t="s">
        <v>2133</v>
      </c>
      <c r="K13" s="20" t="s">
        <v>931</v>
      </c>
      <c r="L13" s="20" t="s">
        <v>2943</v>
      </c>
      <c r="M13" s="20" t="n">
        <v>0</v>
      </c>
      <c r="O13" s="20" t="s">
        <v>2944</v>
      </c>
      <c r="P13" s="20" t="s">
        <v>2496</v>
      </c>
      <c r="Q13" s="20" t="s">
        <v>2499</v>
      </c>
      <c r="R13" s="20" t="s">
        <v>2945</v>
      </c>
      <c r="S13" s="20" t="s">
        <v>2945</v>
      </c>
      <c r="T13" s="20" t="s">
        <v>2945</v>
      </c>
      <c r="U13" s="20" t="s">
        <v>2945</v>
      </c>
      <c r="V13" s="20" t="s">
        <v>2945</v>
      </c>
      <c r="Z13" s="20" t="s">
        <v>2946</v>
      </c>
    </row>
    <row r="14" s="20" customFormat="true" ht="13.5" hidden="false" customHeight="false" outlineLevel="0" collapsed="false">
      <c r="B14" s="20" t="s">
        <v>2947</v>
      </c>
      <c r="C14" s="20" t="s">
        <v>2928</v>
      </c>
      <c r="E14" s="20" t="s">
        <v>2948</v>
      </c>
      <c r="I14" s="20" t="s">
        <v>2928</v>
      </c>
    </row>
    <row r="15" s="20" customFormat="true" ht="23.85" hidden="false" customHeight="false" outlineLevel="0" collapsed="false">
      <c r="B15" s="20" t="s">
        <v>2949</v>
      </c>
      <c r="C15" s="20" t="s">
        <v>2950</v>
      </c>
      <c r="E15" s="20" t="s">
        <v>2951</v>
      </c>
      <c r="I15" s="20" t="s">
        <v>2133</v>
      </c>
      <c r="K15" s="20" t="s">
        <v>931</v>
      </c>
      <c r="L15" s="20" t="s">
        <v>2952</v>
      </c>
      <c r="M15" s="20" t="n">
        <v>0</v>
      </c>
      <c r="O15" s="20" t="s">
        <v>2953</v>
      </c>
      <c r="P15" s="20" t="s">
        <v>2954</v>
      </c>
      <c r="Q15" s="20" t="s">
        <v>2955</v>
      </c>
    </row>
    <row r="16" s="20" customFormat="true" ht="23.85" hidden="false" customHeight="false" outlineLevel="0" collapsed="false">
      <c r="B16" s="20" t="s">
        <v>2956</v>
      </c>
      <c r="C16" s="20" t="s">
        <v>2957</v>
      </c>
      <c r="E16" s="20" t="s">
        <v>2958</v>
      </c>
      <c r="I16" s="20" t="s">
        <v>2959</v>
      </c>
      <c r="K16" s="20" t="s">
        <v>933</v>
      </c>
      <c r="L16" s="20" t="s">
        <v>2960</v>
      </c>
      <c r="M16" s="20" t="b">
        <f aca="false">FALSE()</f>
        <v>0</v>
      </c>
      <c r="P16" s="20" t="s">
        <v>2961</v>
      </c>
      <c r="Q16" s="20" t="s">
        <v>2962</v>
      </c>
    </row>
    <row r="17" s="20" customFormat="true" ht="13.5" hidden="false" customHeight="false" outlineLevel="0" collapsed="false">
      <c r="B17" s="20" t="s">
        <v>2963</v>
      </c>
      <c r="C17" s="20" t="s">
        <v>2964</v>
      </c>
      <c r="I17" s="20" t="s">
        <v>2965</v>
      </c>
      <c r="K17" s="20" t="s">
        <v>933</v>
      </c>
      <c r="L17" s="20" t="s">
        <v>2960</v>
      </c>
      <c r="M17" s="20" t="b">
        <f aca="false">FALSE()</f>
        <v>0</v>
      </c>
    </row>
    <row r="18" s="20" customFormat="true" ht="13.5" hidden="false" customHeight="false" outlineLevel="0" collapsed="false">
      <c r="B18" s="20" t="s">
        <v>2966</v>
      </c>
      <c r="C18" s="20" t="s">
        <v>2967</v>
      </c>
      <c r="I18" s="20" t="s">
        <v>2965</v>
      </c>
      <c r="K18" s="20" t="s">
        <v>933</v>
      </c>
      <c r="L18" s="20" t="s">
        <v>2960</v>
      </c>
      <c r="M18" s="20" t="b">
        <f aca="false">FALSE()</f>
        <v>0</v>
      </c>
    </row>
    <row r="19" s="20" customFormat="true" ht="13.5" hidden="false" customHeight="false" outlineLevel="0" collapsed="false">
      <c r="B19" s="20" t="s">
        <v>2968</v>
      </c>
      <c r="C19" s="20" t="s">
        <v>2969</v>
      </c>
      <c r="I19" s="20" t="s">
        <v>2965</v>
      </c>
      <c r="K19" s="20" t="s">
        <v>933</v>
      </c>
      <c r="L19" s="20" t="s">
        <v>2960</v>
      </c>
      <c r="M19" s="20" t="b">
        <f aca="false">FALSE()</f>
        <v>0</v>
      </c>
    </row>
    <row r="20" s="20" customFormat="true" ht="13.5" hidden="false" customHeight="false" outlineLevel="0" collapsed="false">
      <c r="B20" s="20" t="s">
        <v>2970</v>
      </c>
      <c r="C20" s="20" t="s">
        <v>2971</v>
      </c>
      <c r="I20" s="20" t="s">
        <v>2965</v>
      </c>
      <c r="K20" s="20" t="s">
        <v>933</v>
      </c>
      <c r="L20" s="20" t="s">
        <v>2960</v>
      </c>
      <c r="M20" s="20" t="b">
        <f aca="false">FALSE()</f>
        <v>0</v>
      </c>
    </row>
    <row r="21" s="20" customFormat="true" ht="13.5" hidden="false" customHeight="false" outlineLevel="0" collapsed="false">
      <c r="B21" s="20" t="s">
        <v>2972</v>
      </c>
      <c r="C21" s="20" t="s">
        <v>513</v>
      </c>
      <c r="I21" s="20" t="s">
        <v>2965</v>
      </c>
      <c r="K21" s="20" t="s">
        <v>933</v>
      </c>
      <c r="L21" s="20" t="s">
        <v>2960</v>
      </c>
      <c r="M21" s="20" t="b">
        <f aca="false">FALSE()</f>
        <v>0</v>
      </c>
    </row>
    <row r="22" s="20" customFormat="true" ht="13.5" hidden="false" customHeight="false" outlineLevel="0" collapsed="false">
      <c r="B22" s="20" t="s">
        <v>2973</v>
      </c>
      <c r="C22" s="20" t="s">
        <v>2974</v>
      </c>
      <c r="I22" s="20" t="s">
        <v>2965</v>
      </c>
      <c r="K22" s="20" t="s">
        <v>933</v>
      </c>
      <c r="L22" s="20" t="s">
        <v>2960</v>
      </c>
      <c r="M22" s="20" t="b">
        <f aca="false">FALSE()</f>
        <v>0</v>
      </c>
    </row>
    <row r="23" s="20" customFormat="true" ht="13.5" hidden="false" customHeight="false" outlineLevel="0" collapsed="false">
      <c r="B23" s="20" t="s">
        <v>2975</v>
      </c>
      <c r="C23" s="20" t="s">
        <v>2420</v>
      </c>
      <c r="I23" s="20" t="s">
        <v>2965</v>
      </c>
      <c r="K23" s="20" t="s">
        <v>933</v>
      </c>
      <c r="L23" s="20" t="s">
        <v>2960</v>
      </c>
      <c r="M23" s="20" t="b">
        <f aca="false">FALSE()</f>
        <v>0</v>
      </c>
    </row>
    <row r="24" s="20" customFormat="true" ht="13.5" hidden="false" customHeight="false" outlineLevel="0" collapsed="false">
      <c r="B24" s="20" t="s">
        <v>2976</v>
      </c>
      <c r="C24" s="20" t="s">
        <v>2977</v>
      </c>
      <c r="I24" s="20" t="s">
        <v>938</v>
      </c>
      <c r="K24" s="20" t="s">
        <v>932</v>
      </c>
    </row>
    <row r="25" s="20" customFormat="true" ht="13.5" hidden="false" customHeight="false" outlineLevel="0" collapsed="false">
      <c r="B25" s="20" t="s">
        <v>2978</v>
      </c>
      <c r="C25" s="20" t="s">
        <v>2979</v>
      </c>
      <c r="I25" s="20" t="s">
        <v>938</v>
      </c>
      <c r="K25" s="20" t="s">
        <v>932</v>
      </c>
    </row>
    <row r="26" s="20" customFormat="true" ht="13.5" hidden="false" customHeight="false" outlineLevel="0" collapsed="false">
      <c r="B26" s="20" t="s">
        <v>2980</v>
      </c>
      <c r="C26" s="20" t="s">
        <v>2981</v>
      </c>
      <c r="E26" s="20" t="s">
        <v>2982</v>
      </c>
      <c r="I26" s="20" t="s">
        <v>2959</v>
      </c>
      <c r="K26" s="20" t="s">
        <v>931</v>
      </c>
      <c r="L26" s="20" t="s">
        <v>2983</v>
      </c>
      <c r="M26" s="20" t="n">
        <v>1</v>
      </c>
      <c r="P26" s="20" t="s">
        <v>2984</v>
      </c>
      <c r="Q26" s="20" t="s">
        <v>2985</v>
      </c>
      <c r="S26" s="20" t="s">
        <v>1223</v>
      </c>
    </row>
    <row r="27" s="20" customFormat="true" ht="23.85" hidden="false" customHeight="false" outlineLevel="0" collapsed="false">
      <c r="B27" s="20" t="s">
        <v>2986</v>
      </c>
      <c r="C27" s="20" t="s">
        <v>2987</v>
      </c>
      <c r="E27" s="20" t="str">
        <f aca="false">P27&amp;","&amp;Q27</f>
        <v>持ち家,持ち家でない</v>
      </c>
      <c r="I27" s="20" t="s">
        <v>2959</v>
      </c>
      <c r="K27" s="20" t="s">
        <v>931</v>
      </c>
      <c r="L27" s="20" t="s">
        <v>2988</v>
      </c>
      <c r="M27" s="20" t="n">
        <v>1</v>
      </c>
      <c r="P27" s="20" t="s">
        <v>1017</v>
      </c>
      <c r="Q27" s="20" t="s">
        <v>2989</v>
      </c>
    </row>
    <row r="28" s="20" customFormat="true" ht="13.5" hidden="false" customHeight="false" outlineLevel="0" collapsed="false">
      <c r="B28" s="20" t="s">
        <v>2990</v>
      </c>
      <c r="C28" s="20" t="s">
        <v>2991</v>
      </c>
      <c r="E28" s="20" t="str">
        <f aca="false">P28&amp;","&amp;Q28&amp;","&amp;R28</f>
        <v>よい,少し陰る,悪い</v>
      </c>
      <c r="I28" s="20" t="s">
        <v>2959</v>
      </c>
      <c r="K28" s="20" t="s">
        <v>931</v>
      </c>
      <c r="L28" s="149" t="s">
        <v>2992</v>
      </c>
      <c r="M28" s="20" t="n">
        <v>1</v>
      </c>
      <c r="P28" s="20" t="s">
        <v>1037</v>
      </c>
      <c r="Q28" s="20" t="s">
        <v>2993</v>
      </c>
      <c r="R28" s="20" t="s">
        <v>2994</v>
      </c>
    </row>
    <row r="29" s="20" customFormat="true" ht="23.85" hidden="false" customHeight="false" outlineLevel="0" collapsed="false">
      <c r="B29" s="20" t="s">
        <v>2995</v>
      </c>
      <c r="C29" s="20" t="s">
        <v>2996</v>
      </c>
      <c r="E29" s="20" t="s">
        <v>2997</v>
      </c>
      <c r="I29" s="20" t="s">
        <v>2959</v>
      </c>
      <c r="K29" s="20" t="s">
        <v>933</v>
      </c>
      <c r="L29" s="20" t="s">
        <v>2998</v>
      </c>
      <c r="M29" s="20" t="b">
        <f aca="false">FALSE()</f>
        <v>0</v>
      </c>
      <c r="P29" s="20" t="s">
        <v>2999</v>
      </c>
      <c r="Q29" s="20" t="s">
        <v>3000</v>
      </c>
    </row>
    <row r="30" s="20" customFormat="true" ht="13.5" hidden="false" customHeight="false" outlineLevel="0" collapsed="false">
      <c r="B30" s="20" t="s">
        <v>3001</v>
      </c>
      <c r="C30" s="20" t="s">
        <v>3002</v>
      </c>
      <c r="F30" s="20" t="s">
        <v>1110</v>
      </c>
      <c r="I30" s="20" t="s">
        <v>2934</v>
      </c>
      <c r="J30" s="20" t="s">
        <v>2935</v>
      </c>
      <c r="K30" s="20" t="s">
        <v>931</v>
      </c>
      <c r="M30" s="20" t="n">
        <v>0</v>
      </c>
    </row>
    <row r="31" s="20" customFormat="true" ht="35.05" hidden="false" customHeight="false" outlineLevel="0" collapsed="false">
      <c r="B31" s="20" t="s">
        <v>3003</v>
      </c>
      <c r="C31" s="20" t="s">
        <v>3004</v>
      </c>
      <c r="D31" s="20" t="n">
        <v>1</v>
      </c>
      <c r="E31" s="20" t="s">
        <v>3005</v>
      </c>
      <c r="F31" s="20" t="s">
        <v>3006</v>
      </c>
      <c r="H31" s="20" t="s">
        <v>3007</v>
      </c>
      <c r="I31" s="20" t="s">
        <v>2133</v>
      </c>
      <c r="K31" s="20" t="s">
        <v>931</v>
      </c>
      <c r="L31" s="20" t="s">
        <v>3008</v>
      </c>
      <c r="M31" s="20" t="n">
        <v>0</v>
      </c>
      <c r="O31" s="20" t="s">
        <v>2953</v>
      </c>
      <c r="P31" s="20" t="s">
        <v>3009</v>
      </c>
      <c r="Q31" s="20" t="s">
        <v>3010</v>
      </c>
      <c r="R31" s="20" t="s">
        <v>3011</v>
      </c>
      <c r="S31" s="20" t="s">
        <v>3012</v>
      </c>
      <c r="T31" s="20" t="s">
        <v>3013</v>
      </c>
      <c r="U31" s="20" t="s">
        <v>3014</v>
      </c>
      <c r="V31" s="20" t="s">
        <v>3015</v>
      </c>
      <c r="W31" s="20" t="s">
        <v>3016</v>
      </c>
    </row>
    <row r="32" s="20" customFormat="true" ht="57.45" hidden="false" customHeight="false" outlineLevel="0" collapsed="false">
      <c r="B32" s="20" t="s">
        <v>3017</v>
      </c>
      <c r="C32" s="20" t="s">
        <v>3018</v>
      </c>
      <c r="E32" s="20" t="str">
        <f aca="false">P32&amp;","&amp;Q32&amp;","&amp;R32&amp;","&amp;S32&amp;","&amp;R32</f>
        <v>昭和52（1977）年以前,昭和53（1978）年～平成3（1991）年,平成4（1992）年～平成12(2000)年,平成13（2001）年以降,平成4（1992）年～平成12(2000)年</v>
      </c>
      <c r="I32" s="20" t="s">
        <v>2133</v>
      </c>
      <c r="K32" s="20" t="s">
        <v>931</v>
      </c>
      <c r="L32" s="20" t="s">
        <v>3019</v>
      </c>
      <c r="M32" s="20" t="n">
        <v>0</v>
      </c>
      <c r="O32" s="20" t="s">
        <v>2953</v>
      </c>
      <c r="P32" s="20" t="s">
        <v>3020</v>
      </c>
      <c r="Q32" s="20" t="s">
        <v>3021</v>
      </c>
      <c r="R32" s="20" t="s">
        <v>3022</v>
      </c>
      <c r="S32" s="20" t="s">
        <v>3023</v>
      </c>
      <c r="T32" s="20" t="s">
        <v>1062</v>
      </c>
    </row>
    <row r="33" s="150" customFormat="true" ht="46.25" hidden="false" customHeight="false" outlineLevel="0" collapsed="false">
      <c r="A33" s="20"/>
      <c r="B33" s="150" t="s">
        <v>3024</v>
      </c>
      <c r="C33" s="150" t="s">
        <v>3025</v>
      </c>
      <c r="E33" s="150" t="s">
        <v>3026</v>
      </c>
      <c r="I33" s="150" t="s">
        <v>2133</v>
      </c>
      <c r="K33" s="150" t="s">
        <v>931</v>
      </c>
      <c r="L33" s="150" t="s">
        <v>3027</v>
      </c>
      <c r="M33" s="150" t="n">
        <v>0</v>
      </c>
      <c r="O33" s="150" t="s">
        <v>2953</v>
      </c>
      <c r="P33" s="150" t="s">
        <v>3028</v>
      </c>
      <c r="Q33" s="150" t="s">
        <v>3029</v>
      </c>
      <c r="R33" s="150" t="s">
        <v>3030</v>
      </c>
      <c r="S33" s="150" t="s">
        <v>1062</v>
      </c>
    </row>
    <row r="34" s="148" customFormat="true" ht="23.85" hidden="false" customHeight="false" outlineLevel="0" collapsed="false">
      <c r="B34" s="148" t="s">
        <v>3031</v>
      </c>
      <c r="C34" s="148" t="s">
        <v>3032</v>
      </c>
      <c r="E34" s="148" t="str">
        <f aca="false">P34&amp;","&amp;Q34&amp;","&amp;R34&amp;","&amp;S34&amp;","&amp;R34</f>
        <v>とても配慮した,一定配慮した,少し配慮した,考えなかった,少し配慮した</v>
      </c>
      <c r="I34" s="148" t="s">
        <v>2133</v>
      </c>
      <c r="K34" s="148" t="s">
        <v>931</v>
      </c>
      <c r="L34" s="148" t="s">
        <v>3019</v>
      </c>
      <c r="M34" s="148" t="n">
        <v>0</v>
      </c>
      <c r="O34" s="148" t="s">
        <v>2953</v>
      </c>
      <c r="P34" s="148" t="s">
        <v>3033</v>
      </c>
      <c r="Q34" s="148" t="s">
        <v>3034</v>
      </c>
      <c r="R34" s="148" t="s">
        <v>3035</v>
      </c>
      <c r="S34" s="148" t="s">
        <v>3036</v>
      </c>
      <c r="T34" s="148" t="s">
        <v>1062</v>
      </c>
    </row>
    <row r="35" s="20" customFormat="true" ht="35.05" hidden="false" customHeight="false" outlineLevel="0" collapsed="false">
      <c r="A35" s="20" t="s">
        <v>3037</v>
      </c>
      <c r="B35" s="20" t="s">
        <v>3038</v>
      </c>
      <c r="C35" s="20" t="s">
        <v>3039</v>
      </c>
      <c r="E35" s="20" t="str">
        <f aca="false">P35&amp;","&amp;Q35&amp;","&amp;R35</f>
        <v>都市ガス,LPガス,使っていない</v>
      </c>
      <c r="H35" s="20" t="s">
        <v>2933</v>
      </c>
      <c r="I35" s="20" t="s">
        <v>2133</v>
      </c>
      <c r="K35" s="20" t="s">
        <v>931</v>
      </c>
      <c r="L35" s="20" t="s">
        <v>3040</v>
      </c>
      <c r="M35" s="20" t="n">
        <v>0</v>
      </c>
      <c r="O35" s="20" t="s">
        <v>2953</v>
      </c>
      <c r="P35" s="20" t="s">
        <v>1232</v>
      </c>
      <c r="Q35" s="20" t="s">
        <v>1233</v>
      </c>
      <c r="R35" s="20" t="s">
        <v>1353</v>
      </c>
    </row>
    <row r="36" s="20" customFormat="true" ht="23.85" hidden="false" customHeight="false" outlineLevel="0" collapsed="false">
      <c r="B36" s="20" t="s">
        <v>3041</v>
      </c>
      <c r="C36" s="20" t="s">
        <v>3042</v>
      </c>
      <c r="E36" s="20" t="str">
        <f aca="false">P36&amp;","&amp;Q36</f>
        <v>ガス,電気</v>
      </c>
      <c r="I36" s="20" t="s">
        <v>2133</v>
      </c>
      <c r="K36" s="20" t="s">
        <v>931</v>
      </c>
      <c r="L36" s="20" t="s">
        <v>2952</v>
      </c>
      <c r="M36" s="20" t="n">
        <v>0</v>
      </c>
      <c r="O36" s="20" t="s">
        <v>2953</v>
      </c>
      <c r="P36" s="20" t="s">
        <v>1390</v>
      </c>
      <c r="Q36" s="20" t="s">
        <v>1617</v>
      </c>
    </row>
    <row r="37" s="20" customFormat="true" ht="23.85" hidden="false" customHeight="false" outlineLevel="0" collapsed="false">
      <c r="B37" s="20" t="s">
        <v>3043</v>
      </c>
      <c r="C37" s="20" t="s">
        <v>3044</v>
      </c>
      <c r="D37" s="20" t="n">
        <v>1</v>
      </c>
      <c r="E37" s="20" t="str">
        <f aca="false">P37&amp;","&amp;Q37&amp;","&amp;R37&amp;","&amp;S37&amp;","&amp;T37&amp;","&amp;U37&amp;"　★5-6は未実装"</f>
        <v>ガス,電気,灯油,薪,地域熱,ない　★5-6は未実装</v>
      </c>
      <c r="H37" s="20" t="s">
        <v>2933</v>
      </c>
      <c r="I37" s="20" t="s">
        <v>2133</v>
      </c>
      <c r="K37" s="20" t="s">
        <v>931</v>
      </c>
      <c r="L37" s="20" t="s">
        <v>3027</v>
      </c>
      <c r="M37" s="20" t="n">
        <v>0</v>
      </c>
      <c r="O37" s="20" t="s">
        <v>2953</v>
      </c>
      <c r="P37" s="20" t="s">
        <v>1390</v>
      </c>
      <c r="Q37" s="20" t="s">
        <v>1617</v>
      </c>
      <c r="R37" s="20" t="s">
        <v>1391</v>
      </c>
      <c r="S37" s="20" t="s">
        <v>1250</v>
      </c>
      <c r="T37" s="151" t="s">
        <v>1393</v>
      </c>
      <c r="U37" s="151" t="s">
        <v>1492</v>
      </c>
    </row>
    <row r="38" s="20" customFormat="true" ht="23.85" hidden="false" customHeight="false" outlineLevel="0" collapsed="false">
      <c r="B38" s="20" t="s">
        <v>3045</v>
      </c>
      <c r="C38" s="20" t="s">
        <v>3046</v>
      </c>
      <c r="D38" s="20" t="n">
        <v>1</v>
      </c>
      <c r="E38" s="20" t="str">
        <f aca="false">P38&amp;","&amp;Q38&amp;""</f>
        <v>True:している,False:していない</v>
      </c>
      <c r="H38" s="20" t="s">
        <v>2933</v>
      </c>
      <c r="I38" s="20" t="s">
        <v>2959</v>
      </c>
      <c r="K38" s="20" t="s">
        <v>933</v>
      </c>
      <c r="L38" s="20" t="s">
        <v>2998</v>
      </c>
      <c r="M38" s="20" t="b">
        <f aca="false">FALSE()</f>
        <v>0</v>
      </c>
      <c r="P38" s="20" t="s">
        <v>3047</v>
      </c>
      <c r="Q38" s="20" t="s">
        <v>3048</v>
      </c>
    </row>
    <row r="39" s="20" customFormat="true" ht="13.5" hidden="false" customHeight="false" outlineLevel="0" collapsed="false">
      <c r="B39" s="150" t="s">
        <v>3049</v>
      </c>
      <c r="C39" s="150" t="s">
        <v>3050</v>
      </c>
      <c r="D39" s="150"/>
      <c r="E39" s="150" t="s">
        <v>3051</v>
      </c>
      <c r="F39" s="150" t="s">
        <v>1144</v>
      </c>
      <c r="G39" s="150"/>
      <c r="H39" s="150"/>
      <c r="I39" s="150"/>
      <c r="J39" s="150"/>
      <c r="K39" s="150" t="s">
        <v>3052</v>
      </c>
      <c r="L39" s="150"/>
      <c r="M39" s="150"/>
      <c r="N39" s="150"/>
      <c r="O39" s="150"/>
      <c r="P39" s="150"/>
      <c r="Q39" s="150"/>
      <c r="R39" s="150"/>
      <c r="S39" s="150"/>
      <c r="T39" s="150"/>
      <c r="U39" s="150"/>
      <c r="V39" s="150"/>
      <c r="W39" s="150"/>
      <c r="X39" s="150"/>
      <c r="Y39" s="150"/>
    </row>
    <row r="40" s="20" customFormat="true" ht="13.5" hidden="false" customHeight="false" outlineLevel="0" collapsed="false">
      <c r="B40" s="150" t="s">
        <v>3053</v>
      </c>
      <c r="C40" s="150" t="s">
        <v>3054</v>
      </c>
      <c r="D40" s="150"/>
      <c r="E40" s="150" t="s">
        <v>3051</v>
      </c>
      <c r="F40" s="150" t="s">
        <v>1144</v>
      </c>
      <c r="G40" s="150"/>
      <c r="H40" s="150"/>
      <c r="I40" s="150"/>
      <c r="J40" s="150"/>
      <c r="K40" s="150" t="s">
        <v>3052</v>
      </c>
      <c r="L40" s="150"/>
      <c r="M40" s="150"/>
      <c r="N40" s="150"/>
      <c r="O40" s="150"/>
      <c r="P40" s="150"/>
      <c r="Q40" s="150"/>
      <c r="R40" s="150"/>
      <c r="S40" s="150"/>
      <c r="T40" s="150"/>
      <c r="U40" s="150"/>
      <c r="V40" s="150"/>
      <c r="W40" s="150"/>
      <c r="X40" s="150"/>
      <c r="Y40" s="150"/>
    </row>
    <row r="41" s="20" customFormat="true" ht="13.5" hidden="false" customHeight="false" outlineLevel="0" collapsed="false">
      <c r="B41" s="150" t="s">
        <v>3055</v>
      </c>
      <c r="C41" s="150" t="s">
        <v>3056</v>
      </c>
      <c r="D41" s="150"/>
      <c r="E41" s="150" t="s">
        <v>3051</v>
      </c>
      <c r="F41" s="150" t="s">
        <v>1144</v>
      </c>
      <c r="G41" s="150"/>
      <c r="H41" s="150"/>
      <c r="I41" s="150"/>
      <c r="J41" s="150"/>
      <c r="K41" s="150" t="s">
        <v>3052</v>
      </c>
      <c r="L41" s="150"/>
      <c r="M41" s="150"/>
      <c r="N41" s="150"/>
      <c r="O41" s="150"/>
      <c r="P41" s="150"/>
      <c r="Q41" s="150"/>
      <c r="R41" s="150"/>
      <c r="S41" s="150"/>
      <c r="T41" s="150"/>
      <c r="U41" s="150"/>
      <c r="V41" s="150"/>
      <c r="W41" s="150"/>
      <c r="X41" s="150"/>
      <c r="Y41" s="150"/>
    </row>
    <row r="42" s="20" customFormat="true" ht="13.5" hidden="false" customHeight="false" outlineLevel="0" collapsed="false">
      <c r="B42" s="150" t="s">
        <v>3057</v>
      </c>
      <c r="C42" s="150" t="s">
        <v>3058</v>
      </c>
      <c r="D42" s="150"/>
      <c r="E42" s="150" t="s">
        <v>3051</v>
      </c>
      <c r="F42" s="150" t="s">
        <v>1144</v>
      </c>
      <c r="G42" s="150"/>
      <c r="H42" s="150"/>
      <c r="I42" s="150"/>
      <c r="J42" s="150"/>
      <c r="K42" s="150" t="s">
        <v>3052</v>
      </c>
      <c r="L42" s="150"/>
      <c r="M42" s="150"/>
      <c r="N42" s="150"/>
      <c r="O42" s="150"/>
      <c r="P42" s="150"/>
      <c r="Q42" s="150"/>
      <c r="R42" s="150"/>
      <c r="S42" s="150"/>
      <c r="T42" s="150"/>
      <c r="U42" s="150"/>
      <c r="V42" s="150"/>
      <c r="W42" s="150"/>
      <c r="X42" s="150"/>
      <c r="Y42" s="150"/>
    </row>
    <row r="43" s="20" customFormat="true" ht="13.5" hidden="false" customHeight="false" outlineLevel="0" collapsed="false">
      <c r="B43" s="150" t="s">
        <v>3059</v>
      </c>
      <c r="C43" s="150" t="s">
        <v>3060</v>
      </c>
      <c r="D43" s="150"/>
      <c r="E43" s="150" t="s">
        <v>3051</v>
      </c>
      <c r="F43" s="150" t="s">
        <v>1144</v>
      </c>
      <c r="G43" s="150"/>
      <c r="H43" s="150"/>
      <c r="I43" s="150"/>
      <c r="J43" s="150"/>
      <c r="K43" s="150" t="s">
        <v>3052</v>
      </c>
      <c r="L43" s="150"/>
      <c r="M43" s="150"/>
      <c r="N43" s="150"/>
      <c r="O43" s="150"/>
      <c r="P43" s="150"/>
      <c r="Q43" s="150"/>
      <c r="R43" s="150"/>
      <c r="S43" s="150"/>
      <c r="T43" s="150"/>
      <c r="U43" s="150"/>
      <c r="V43" s="150"/>
      <c r="W43" s="150"/>
      <c r="X43" s="150"/>
      <c r="Y43" s="150"/>
    </row>
    <row r="44" s="20" customFormat="true" ht="13.5" hidden="false" customHeight="false" outlineLevel="0" collapsed="false">
      <c r="B44" s="150" t="s">
        <v>3061</v>
      </c>
      <c r="C44" s="150" t="s">
        <v>3062</v>
      </c>
      <c r="D44" s="150"/>
      <c r="E44" s="150" t="s">
        <v>3051</v>
      </c>
      <c r="F44" s="150" t="s">
        <v>1144</v>
      </c>
      <c r="G44" s="150"/>
      <c r="H44" s="150"/>
      <c r="I44" s="150"/>
      <c r="J44" s="150"/>
      <c r="K44" s="150" t="s">
        <v>3052</v>
      </c>
      <c r="L44" s="150"/>
      <c r="M44" s="150"/>
      <c r="N44" s="150"/>
      <c r="O44" s="150"/>
      <c r="P44" s="150"/>
      <c r="Q44" s="150"/>
      <c r="R44" s="150"/>
      <c r="S44" s="150"/>
      <c r="T44" s="150"/>
      <c r="U44" s="150"/>
      <c r="V44" s="150"/>
      <c r="W44" s="150"/>
      <c r="X44" s="150"/>
      <c r="Y44" s="150"/>
    </row>
    <row r="45" s="20" customFormat="true" ht="23.85" hidden="false" customHeight="false" outlineLevel="0" collapsed="false">
      <c r="B45" s="20" t="s">
        <v>3063</v>
      </c>
      <c r="C45" s="20" t="s">
        <v>3064</v>
      </c>
      <c r="D45" s="20" t="n">
        <v>1</v>
      </c>
      <c r="E45" s="20" t="s">
        <v>3065</v>
      </c>
      <c r="F45" s="20" t="s">
        <v>1144</v>
      </c>
      <c r="I45" s="20" t="s">
        <v>2934</v>
      </c>
      <c r="J45" s="20" t="s">
        <v>3066</v>
      </c>
      <c r="K45" s="20" t="s">
        <v>931</v>
      </c>
      <c r="M45" s="20" t="n">
        <v>-1</v>
      </c>
    </row>
    <row r="46" s="20" customFormat="true" ht="23.85" hidden="false" customHeight="false" outlineLevel="0" collapsed="false">
      <c r="B46" s="20" t="s">
        <v>3067</v>
      </c>
      <c r="C46" s="20" t="s">
        <v>3068</v>
      </c>
      <c r="D46" s="20" t="n">
        <v>1</v>
      </c>
      <c r="E46" s="20" t="s">
        <v>3065</v>
      </c>
      <c r="F46" s="20" t="s">
        <v>1144</v>
      </c>
      <c r="H46" s="20" t="s">
        <v>2933</v>
      </c>
      <c r="I46" s="20" t="s">
        <v>2934</v>
      </c>
      <c r="J46" s="20" t="s">
        <v>3066</v>
      </c>
      <c r="K46" s="20" t="s">
        <v>931</v>
      </c>
      <c r="M46" s="20" t="n">
        <v>-1</v>
      </c>
    </row>
    <row r="47" s="20" customFormat="true" ht="23.85" hidden="false" customHeight="false" outlineLevel="0" collapsed="false">
      <c r="B47" s="20" t="s">
        <v>3069</v>
      </c>
      <c r="C47" s="20" t="s">
        <v>3070</v>
      </c>
      <c r="D47" s="20" t="n">
        <v>1</v>
      </c>
      <c r="E47" s="20" t="s">
        <v>3065</v>
      </c>
      <c r="F47" s="20" t="s">
        <v>1144</v>
      </c>
      <c r="I47" s="20" t="s">
        <v>2934</v>
      </c>
      <c r="J47" s="20" t="s">
        <v>3066</v>
      </c>
      <c r="K47" s="20" t="s">
        <v>931</v>
      </c>
      <c r="M47" s="20" t="n">
        <v>-1</v>
      </c>
    </row>
    <row r="48" s="20" customFormat="true" ht="13.5" hidden="false" customHeight="false" outlineLevel="0" collapsed="false">
      <c r="B48" s="20" t="s">
        <v>3071</v>
      </c>
      <c r="C48" s="20" t="s">
        <v>3072</v>
      </c>
      <c r="D48" s="20" t="n">
        <v>1</v>
      </c>
      <c r="F48" s="20" t="s">
        <v>1144</v>
      </c>
      <c r="I48" s="20" t="s">
        <v>2934</v>
      </c>
      <c r="J48" s="20" t="s">
        <v>2935</v>
      </c>
      <c r="K48" s="20" t="s">
        <v>931</v>
      </c>
      <c r="M48" s="20" t="n">
        <v>-1</v>
      </c>
    </row>
    <row r="49" s="20" customFormat="true" ht="13.5" hidden="false" customHeight="false" outlineLevel="0" collapsed="false">
      <c r="B49" s="20" t="s">
        <v>3073</v>
      </c>
      <c r="C49" s="20" t="s">
        <v>3074</v>
      </c>
      <c r="D49" s="20" t="n">
        <v>1</v>
      </c>
      <c r="F49" s="20" t="s">
        <v>1144</v>
      </c>
      <c r="H49" s="20" t="s">
        <v>2933</v>
      </c>
      <c r="I49" s="20" t="s">
        <v>2934</v>
      </c>
      <c r="J49" s="20" t="s">
        <v>2935</v>
      </c>
      <c r="K49" s="20" t="s">
        <v>931</v>
      </c>
      <c r="M49" s="20" t="n">
        <v>-1</v>
      </c>
    </row>
    <row r="50" s="20" customFormat="true" ht="13.5" hidden="false" customHeight="false" outlineLevel="0" collapsed="false">
      <c r="B50" s="20" t="s">
        <v>3075</v>
      </c>
      <c r="C50" s="20" t="s">
        <v>3076</v>
      </c>
      <c r="D50" s="20" t="n">
        <v>1</v>
      </c>
      <c r="F50" s="20" t="s">
        <v>1144</v>
      </c>
      <c r="I50" s="20" t="s">
        <v>2934</v>
      </c>
      <c r="J50" s="20" t="s">
        <v>2935</v>
      </c>
      <c r="K50" s="20" t="s">
        <v>931</v>
      </c>
      <c r="M50" s="20" t="n">
        <v>-1</v>
      </c>
    </row>
    <row r="51" s="20" customFormat="true" ht="13.5" hidden="false" customHeight="false" outlineLevel="0" collapsed="false">
      <c r="B51" s="20" t="s">
        <v>3077</v>
      </c>
      <c r="C51" s="20" t="s">
        <v>3078</v>
      </c>
      <c r="D51" s="20" t="n">
        <v>1</v>
      </c>
      <c r="F51" s="20" t="s">
        <v>1144</v>
      </c>
      <c r="H51" s="20" t="s">
        <v>2933</v>
      </c>
      <c r="I51" s="20" t="s">
        <v>2934</v>
      </c>
      <c r="J51" s="20" t="s">
        <v>2935</v>
      </c>
      <c r="K51" s="20" t="s">
        <v>931</v>
      </c>
      <c r="M51" s="20" t="n">
        <v>-1</v>
      </c>
    </row>
    <row r="52" s="20" customFormat="true" ht="13.5" hidden="false" customHeight="false" outlineLevel="0" collapsed="false">
      <c r="B52" s="20" t="s">
        <v>3079</v>
      </c>
      <c r="C52" s="20" t="s">
        <v>3080</v>
      </c>
      <c r="F52" s="20" t="s">
        <v>1144</v>
      </c>
      <c r="I52" s="20" t="s">
        <v>2934</v>
      </c>
      <c r="J52" s="20" t="s">
        <v>2935</v>
      </c>
      <c r="K52" s="20" t="s">
        <v>931</v>
      </c>
      <c r="M52" s="20" t="n">
        <v>-1</v>
      </c>
    </row>
    <row r="53" s="20" customFormat="true" ht="13.5" hidden="false" customHeight="false" outlineLevel="0" collapsed="false">
      <c r="B53" s="20" t="s">
        <v>3081</v>
      </c>
      <c r="C53" s="20" t="s">
        <v>3082</v>
      </c>
      <c r="F53" s="20" t="s">
        <v>1144</v>
      </c>
      <c r="I53" s="20" t="s">
        <v>2934</v>
      </c>
      <c r="J53" s="20" t="s">
        <v>2935</v>
      </c>
      <c r="K53" s="20" t="s">
        <v>931</v>
      </c>
      <c r="M53" s="20" t="n">
        <v>-1</v>
      </c>
    </row>
    <row r="54" s="20" customFormat="true" ht="13.5" hidden="false" customHeight="false" outlineLevel="0" collapsed="false">
      <c r="B54" s="20" t="s">
        <v>3083</v>
      </c>
      <c r="C54" s="20" t="s">
        <v>3084</v>
      </c>
      <c r="D54" s="20" t="n">
        <v>1</v>
      </c>
      <c r="F54" s="20" t="s">
        <v>1144</v>
      </c>
      <c r="H54" s="20" t="s">
        <v>2933</v>
      </c>
      <c r="I54" s="20" t="s">
        <v>2934</v>
      </c>
      <c r="J54" s="20" t="s">
        <v>2935</v>
      </c>
      <c r="K54" s="20" t="s">
        <v>931</v>
      </c>
      <c r="M54" s="20" t="n">
        <v>-1</v>
      </c>
    </row>
    <row r="55" s="20" customFormat="true" ht="13.5" hidden="false" customHeight="false" outlineLevel="0" collapsed="false">
      <c r="B55" s="20" t="s">
        <v>3085</v>
      </c>
      <c r="C55" s="20" t="s">
        <v>3086</v>
      </c>
      <c r="I55" s="20" t="s">
        <v>2133</v>
      </c>
      <c r="K55" s="149" t="s">
        <v>931</v>
      </c>
      <c r="L55" s="149" t="s">
        <v>2952</v>
      </c>
      <c r="M55" s="20" t="n">
        <v>0</v>
      </c>
      <c r="N55" s="149"/>
      <c r="O55" s="149" t="s">
        <v>3087</v>
      </c>
      <c r="P55" s="20" t="s">
        <v>3088</v>
      </c>
      <c r="Q55" s="20" t="s">
        <v>1144</v>
      </c>
    </row>
    <row r="56" s="20" customFormat="true" ht="13.5" hidden="false" customHeight="false" outlineLevel="0" collapsed="false">
      <c r="B56" s="20" t="s">
        <v>3089</v>
      </c>
      <c r="C56" s="20" t="s">
        <v>3090</v>
      </c>
      <c r="I56" s="20" t="s">
        <v>2133</v>
      </c>
      <c r="K56" s="149" t="s">
        <v>931</v>
      </c>
      <c r="L56" s="149" t="s">
        <v>2952</v>
      </c>
      <c r="M56" s="20" t="n">
        <v>0</v>
      </c>
      <c r="N56" s="149"/>
      <c r="O56" s="149" t="s">
        <v>3087</v>
      </c>
      <c r="P56" s="20" t="s">
        <v>3088</v>
      </c>
      <c r="Q56" s="20" t="s">
        <v>1144</v>
      </c>
    </row>
    <row r="57" s="20" customFormat="true" ht="23.85" hidden="false" customHeight="false" outlineLevel="0" collapsed="false">
      <c r="B57" s="20" t="s">
        <v>2794</v>
      </c>
      <c r="C57" s="20" t="s">
        <v>3091</v>
      </c>
      <c r="E57" s="20" t="str">
        <f aca="false">P57&amp;","&amp;Q57&amp;","&amp;R57</f>
        <v>ガソリン,軽油,使っていない</v>
      </c>
      <c r="I57" s="20" t="s">
        <v>2959</v>
      </c>
      <c r="K57" s="20" t="s">
        <v>931</v>
      </c>
      <c r="L57" s="149" t="s">
        <v>2992</v>
      </c>
      <c r="M57" s="20" t="n">
        <v>1</v>
      </c>
      <c r="P57" s="20" t="s">
        <v>2046</v>
      </c>
      <c r="Q57" s="20" t="s">
        <v>3092</v>
      </c>
      <c r="R57" s="20" t="s">
        <v>1353</v>
      </c>
    </row>
    <row r="58" s="20" customFormat="true" ht="23.85" hidden="false" customHeight="false" outlineLevel="0" collapsed="false">
      <c r="B58" s="20" t="s">
        <v>3093</v>
      </c>
      <c r="C58" s="20" t="s">
        <v>3094</v>
      </c>
      <c r="E58" s="20" t="str">
        <f aca="false">P58&amp;","&amp;Q58&amp;","&amp;R58&amp;","&amp;S58</f>
        <v>1:選んで下さい,200:1人用,300:1.5人用,400:それ以上</v>
      </c>
      <c r="F58" s="20" t="s">
        <v>3088</v>
      </c>
      <c r="I58" s="20" t="s">
        <v>2133</v>
      </c>
      <c r="K58" s="152" t="s">
        <v>931</v>
      </c>
      <c r="L58" s="152" t="s">
        <v>3095</v>
      </c>
      <c r="M58" s="152" t="n">
        <v>1</v>
      </c>
      <c r="N58" s="152"/>
      <c r="O58" s="152"/>
      <c r="P58" s="20" t="s">
        <v>3096</v>
      </c>
      <c r="Q58" s="20" t="s">
        <v>3097</v>
      </c>
      <c r="R58" s="20" t="s">
        <v>3098</v>
      </c>
      <c r="S58" s="20" t="s">
        <v>3099</v>
      </c>
    </row>
    <row r="59" s="20" customFormat="true" ht="23.85" hidden="false" customHeight="false" outlineLevel="0" collapsed="false">
      <c r="B59" s="20" t="s">
        <v>3100</v>
      </c>
      <c r="C59" s="20" t="s">
        <v>3101</v>
      </c>
      <c r="E59" s="20" t="s">
        <v>3102</v>
      </c>
      <c r="F59" s="20" t="s">
        <v>3103</v>
      </c>
      <c r="I59" s="20" t="s">
        <v>2133</v>
      </c>
      <c r="K59" s="20" t="s">
        <v>931</v>
      </c>
      <c r="L59" s="20" t="s">
        <v>3104</v>
      </c>
      <c r="M59" s="20" t="n">
        <v>7</v>
      </c>
      <c r="P59" s="20" t="s">
        <v>3105</v>
      </c>
      <c r="Q59" s="20" t="s">
        <v>3106</v>
      </c>
      <c r="R59" s="20" t="s">
        <v>3107</v>
      </c>
      <c r="S59" s="20" t="s">
        <v>3108</v>
      </c>
      <c r="T59" s="20" t="s">
        <v>3109</v>
      </c>
    </row>
    <row r="60" s="20" customFormat="true" ht="23.85" hidden="false" customHeight="false" outlineLevel="0" collapsed="false">
      <c r="B60" s="20" t="s">
        <v>3110</v>
      </c>
      <c r="C60" s="20" t="s">
        <v>3111</v>
      </c>
      <c r="D60" s="20" t="n">
        <v>1</v>
      </c>
      <c r="E60" s="20" t="s">
        <v>3102</v>
      </c>
      <c r="F60" s="20" t="s">
        <v>3103</v>
      </c>
      <c r="H60" s="20" t="s">
        <v>3007</v>
      </c>
      <c r="I60" s="20" t="s">
        <v>2133</v>
      </c>
      <c r="K60" s="20" t="s">
        <v>931</v>
      </c>
      <c r="L60" s="20" t="s">
        <v>3104</v>
      </c>
      <c r="M60" s="20" t="n">
        <v>7</v>
      </c>
      <c r="P60" s="20" t="s">
        <v>3105</v>
      </c>
      <c r="Q60" s="20" t="s">
        <v>3106</v>
      </c>
      <c r="R60" s="20" t="s">
        <v>3107</v>
      </c>
      <c r="S60" s="20" t="s">
        <v>3108</v>
      </c>
      <c r="T60" s="20" t="s">
        <v>3109</v>
      </c>
    </row>
    <row r="61" s="20" customFormat="true" ht="23.85" hidden="false" customHeight="false" outlineLevel="0" collapsed="false">
      <c r="B61" s="20" t="s">
        <v>3112</v>
      </c>
      <c r="C61" s="20" t="s">
        <v>3113</v>
      </c>
      <c r="E61" s="20" t="s">
        <v>3114</v>
      </c>
      <c r="F61" s="20" t="s">
        <v>3115</v>
      </c>
      <c r="I61" s="20" t="s">
        <v>2133</v>
      </c>
      <c r="K61" s="20" t="s">
        <v>931</v>
      </c>
      <c r="L61" s="20" t="s">
        <v>3116</v>
      </c>
      <c r="M61" s="20" t="n">
        <v>15</v>
      </c>
      <c r="P61" s="20" t="s">
        <v>3117</v>
      </c>
      <c r="Q61" s="20" t="s">
        <v>3118</v>
      </c>
      <c r="R61" s="20" t="s">
        <v>3119</v>
      </c>
      <c r="S61" s="20" t="s">
        <v>3120</v>
      </c>
      <c r="T61" s="20" t="s">
        <v>3121</v>
      </c>
      <c r="U61" s="20" t="s">
        <v>3122</v>
      </c>
      <c r="V61" s="20" t="s">
        <v>3123</v>
      </c>
      <c r="W61" s="20" t="s">
        <v>3124</v>
      </c>
    </row>
    <row r="62" s="20" customFormat="true" ht="23.85" hidden="false" customHeight="false" outlineLevel="0" collapsed="false">
      <c r="B62" s="20" t="s">
        <v>3125</v>
      </c>
      <c r="C62" s="20" t="s">
        <v>3126</v>
      </c>
      <c r="D62" s="20" t="n">
        <v>1</v>
      </c>
      <c r="E62" s="20" t="s">
        <v>3127</v>
      </c>
      <c r="F62" s="20" t="s">
        <v>3115</v>
      </c>
      <c r="H62" s="20" t="s">
        <v>3007</v>
      </c>
      <c r="I62" s="20" t="s">
        <v>2133</v>
      </c>
      <c r="K62" s="20" t="s">
        <v>931</v>
      </c>
      <c r="L62" s="20" t="s">
        <v>3116</v>
      </c>
      <c r="M62" s="20" t="n">
        <v>15</v>
      </c>
      <c r="P62" s="20" t="s">
        <v>3117</v>
      </c>
      <c r="Q62" s="20" t="s">
        <v>3118</v>
      </c>
      <c r="R62" s="20" t="s">
        <v>3119</v>
      </c>
      <c r="S62" s="20" t="s">
        <v>3120</v>
      </c>
      <c r="T62" s="20" t="s">
        <v>3121</v>
      </c>
      <c r="U62" s="20" t="s">
        <v>3122</v>
      </c>
      <c r="V62" s="20" t="s">
        <v>3123</v>
      </c>
      <c r="W62" s="20" t="s">
        <v>3124</v>
      </c>
    </row>
    <row r="63" s="20" customFormat="true" ht="23.85" hidden="false" customHeight="false" outlineLevel="0" collapsed="false">
      <c r="B63" s="20" t="s">
        <v>3128</v>
      </c>
      <c r="C63" s="20" t="s">
        <v>3129</v>
      </c>
      <c r="E63" s="20" t="s">
        <v>3127</v>
      </c>
      <c r="F63" s="20" t="s">
        <v>3115</v>
      </c>
      <c r="I63" s="20" t="s">
        <v>2133</v>
      </c>
      <c r="K63" s="20" t="s">
        <v>931</v>
      </c>
      <c r="L63" s="20" t="s">
        <v>3116</v>
      </c>
      <c r="M63" s="20" t="n">
        <v>10</v>
      </c>
      <c r="P63" s="20" t="s">
        <v>3117</v>
      </c>
      <c r="Q63" s="20" t="s">
        <v>3118</v>
      </c>
      <c r="R63" s="20" t="s">
        <v>3119</v>
      </c>
      <c r="S63" s="20" t="s">
        <v>3120</v>
      </c>
      <c r="T63" s="20" t="s">
        <v>3121</v>
      </c>
      <c r="U63" s="20" t="s">
        <v>3122</v>
      </c>
      <c r="V63" s="20" t="s">
        <v>3123</v>
      </c>
      <c r="W63" s="20" t="s">
        <v>3124</v>
      </c>
    </row>
    <row r="64" s="20" customFormat="true" ht="23.85" hidden="false" customHeight="false" outlineLevel="0" collapsed="false">
      <c r="B64" s="20" t="s">
        <v>3130</v>
      </c>
      <c r="C64" s="20" t="s">
        <v>3131</v>
      </c>
      <c r="E64" s="20" t="s">
        <v>3132</v>
      </c>
      <c r="F64" s="20" t="s">
        <v>1338</v>
      </c>
      <c r="I64" s="20" t="s">
        <v>2133</v>
      </c>
      <c r="K64" s="20" t="s">
        <v>931</v>
      </c>
      <c r="L64" s="20" t="s">
        <v>3133</v>
      </c>
      <c r="M64" s="20" t="n">
        <v>0</v>
      </c>
      <c r="P64" s="20" t="s">
        <v>3117</v>
      </c>
      <c r="Q64" s="20" t="s">
        <v>3134</v>
      </c>
      <c r="R64" s="20" t="s">
        <v>3135</v>
      </c>
      <c r="S64" s="20" t="s">
        <v>3136</v>
      </c>
      <c r="T64" s="20" t="s">
        <v>3137</v>
      </c>
      <c r="U64" s="20" t="s">
        <v>3138</v>
      </c>
      <c r="V64" s="20" t="s">
        <v>3139</v>
      </c>
    </row>
    <row r="65" s="20" customFormat="true" ht="23.85" hidden="false" customHeight="false" outlineLevel="0" collapsed="false">
      <c r="B65" s="20" t="s">
        <v>3140</v>
      </c>
      <c r="C65" s="20" t="s">
        <v>3141</v>
      </c>
      <c r="E65" s="20" t="s">
        <v>3142</v>
      </c>
      <c r="I65" s="20" t="s">
        <v>938</v>
      </c>
      <c r="K65" s="20" t="s">
        <v>932</v>
      </c>
    </row>
    <row r="66" s="20" customFormat="true" ht="23.85" hidden="false" customHeight="false" outlineLevel="0" collapsed="false">
      <c r="B66" s="20" t="s">
        <v>3143</v>
      </c>
      <c r="C66" s="20" t="s">
        <v>3141</v>
      </c>
      <c r="I66" s="20" t="s">
        <v>938</v>
      </c>
      <c r="K66" s="20" t="s">
        <v>932</v>
      </c>
    </row>
    <row r="67" s="20" customFormat="true" ht="23.85" hidden="false" customHeight="false" outlineLevel="0" collapsed="false">
      <c r="B67" s="20" t="s">
        <v>3144</v>
      </c>
      <c r="C67" s="20" t="s">
        <v>3141</v>
      </c>
      <c r="I67" s="20" t="s">
        <v>938</v>
      </c>
      <c r="K67" s="20" t="s">
        <v>932</v>
      </c>
    </row>
    <row r="68" s="20" customFormat="true" ht="23.85" hidden="false" customHeight="false" outlineLevel="0" collapsed="false">
      <c r="B68" s="20" t="s">
        <v>3145</v>
      </c>
      <c r="C68" s="20" t="s">
        <v>3146</v>
      </c>
      <c r="E68" s="20" t="s">
        <v>2997</v>
      </c>
      <c r="H68" s="20" t="s">
        <v>3147</v>
      </c>
      <c r="I68" s="20" t="s">
        <v>2959</v>
      </c>
      <c r="K68" s="20" t="s">
        <v>933</v>
      </c>
      <c r="L68" s="20" t="s">
        <v>2998</v>
      </c>
      <c r="M68" s="20" t="b">
        <f aca="false">FALSE()</f>
        <v>0</v>
      </c>
      <c r="P68" s="20" t="s">
        <v>3148</v>
      </c>
      <c r="Q68" s="20" t="s">
        <v>3149</v>
      </c>
    </row>
    <row r="69" s="148" customFormat="true" ht="23.85" hidden="false" customHeight="false" outlineLevel="0" collapsed="false">
      <c r="B69" s="148" t="s">
        <v>3150</v>
      </c>
      <c r="C69" s="148" t="s">
        <v>3151</v>
      </c>
      <c r="E69" s="148" t="s">
        <v>2997</v>
      </c>
      <c r="H69" s="148" t="s">
        <v>3147</v>
      </c>
      <c r="I69" s="148" t="s">
        <v>2959</v>
      </c>
      <c r="K69" s="148" t="s">
        <v>933</v>
      </c>
      <c r="L69" s="148" t="s">
        <v>2998</v>
      </c>
      <c r="M69" s="153" t="b">
        <f aca="false">FALSE()</f>
        <v>0</v>
      </c>
      <c r="P69" s="148" t="s">
        <v>3148</v>
      </c>
      <c r="Q69" s="148" t="s">
        <v>3149</v>
      </c>
    </row>
    <row r="70" s="20" customFormat="true" ht="35.05" hidden="false" customHeight="false" outlineLevel="0" collapsed="false">
      <c r="A70" s="20" t="s">
        <v>3152</v>
      </c>
      <c r="B70" s="20" t="s">
        <v>3153</v>
      </c>
      <c r="C70" s="20" t="s">
        <v>3154</v>
      </c>
      <c r="D70" s="20" t="n">
        <v>1</v>
      </c>
      <c r="E70" s="20" t="str">
        <f aca="false">P70&amp;","&amp;U70&amp;","&amp;Q70&amp;","&amp;R70&amp;","&amp;S70</f>
        <v>家全体,家全体（セントラル）,半分くらい,一部の部屋,1部屋のみ</v>
      </c>
      <c r="H70" s="20" t="s">
        <v>3007</v>
      </c>
      <c r="I70" s="20" t="s">
        <v>2133</v>
      </c>
      <c r="K70" s="20" t="s">
        <v>931</v>
      </c>
      <c r="L70" s="20" t="s">
        <v>3155</v>
      </c>
      <c r="M70" s="20" t="n">
        <v>0</v>
      </c>
      <c r="O70" s="20" t="s">
        <v>2953</v>
      </c>
      <c r="P70" s="20" t="s">
        <v>1380</v>
      </c>
      <c r="Q70" s="20" t="s">
        <v>3156</v>
      </c>
      <c r="R70" s="20" t="s">
        <v>3157</v>
      </c>
      <c r="S70" s="20" t="s">
        <v>1383</v>
      </c>
      <c r="T70" s="20" t="s">
        <v>3158</v>
      </c>
      <c r="U70" s="20" t="s">
        <v>3159</v>
      </c>
    </row>
    <row r="71" s="20" customFormat="true" ht="13.5" hidden="false" customHeight="false" outlineLevel="0" collapsed="false">
      <c r="B71" s="20" t="s">
        <v>3160</v>
      </c>
      <c r="C71" s="20" t="s">
        <v>1388</v>
      </c>
      <c r="E71" s="20" t="s">
        <v>3161</v>
      </c>
      <c r="I71" s="20" t="s">
        <v>2965</v>
      </c>
      <c r="K71" s="20" t="s">
        <v>933</v>
      </c>
      <c r="L71" s="20" t="s">
        <v>2998</v>
      </c>
      <c r="M71" s="20" t="b">
        <f aca="false">FALSE()</f>
        <v>0</v>
      </c>
    </row>
    <row r="72" s="20" customFormat="true" ht="23.85" hidden="false" customHeight="false" outlineLevel="0" collapsed="false">
      <c r="B72" s="20" t="s">
        <v>3162</v>
      </c>
      <c r="C72" s="20" t="s">
        <v>3163</v>
      </c>
      <c r="E72" s="20" t="s">
        <v>3164</v>
      </c>
      <c r="I72" s="20" t="s">
        <v>2965</v>
      </c>
      <c r="K72" s="20" t="s">
        <v>933</v>
      </c>
      <c r="L72" s="20" t="s">
        <v>2998</v>
      </c>
      <c r="M72" s="20" t="b">
        <f aca="false">FALSE()</f>
        <v>0</v>
      </c>
    </row>
    <row r="73" s="20" customFormat="true" ht="23.85" hidden="false" customHeight="false" outlineLevel="0" collapsed="false">
      <c r="B73" s="20" t="s">
        <v>3165</v>
      </c>
      <c r="C73" s="20" t="s">
        <v>3166</v>
      </c>
      <c r="E73" s="20" t="s">
        <v>3164</v>
      </c>
      <c r="I73" s="20" t="s">
        <v>2965</v>
      </c>
      <c r="K73" s="20" t="s">
        <v>933</v>
      </c>
      <c r="L73" s="20" t="s">
        <v>2998</v>
      </c>
      <c r="M73" s="20" t="b">
        <f aca="false">FALSE()</f>
        <v>0</v>
      </c>
    </row>
    <row r="74" s="20" customFormat="true" ht="23.85" hidden="false" customHeight="false" outlineLevel="0" collapsed="false">
      <c r="B74" s="20" t="s">
        <v>3167</v>
      </c>
      <c r="C74" s="20" t="s">
        <v>3168</v>
      </c>
      <c r="E74" s="20" t="s">
        <v>3164</v>
      </c>
      <c r="I74" s="20" t="s">
        <v>2965</v>
      </c>
      <c r="K74" s="20" t="s">
        <v>933</v>
      </c>
      <c r="L74" s="20" t="s">
        <v>2998</v>
      </c>
      <c r="M74" s="20" t="b">
        <f aca="false">FALSE()</f>
        <v>0</v>
      </c>
    </row>
    <row r="75" s="20" customFormat="true" ht="13.8" hidden="false" customHeight="false" outlineLevel="0" collapsed="false">
      <c r="B75" s="154" t="s">
        <v>3169</v>
      </c>
      <c r="C75" s="154" t="s">
        <v>3170</v>
      </c>
      <c r="E75" s="20" t="s">
        <v>3164</v>
      </c>
      <c r="I75" s="20" t="s">
        <v>2965</v>
      </c>
      <c r="K75" s="20" t="s">
        <v>933</v>
      </c>
      <c r="L75" s="20" t="s">
        <v>2998</v>
      </c>
      <c r="M75" s="20" t="b">
        <f aca="false">FALSE()</f>
        <v>0</v>
      </c>
    </row>
    <row r="76" s="20" customFormat="true" ht="13.8" hidden="false" customHeight="false" outlineLevel="0" collapsed="false">
      <c r="B76" s="154" t="s">
        <v>3171</v>
      </c>
      <c r="C76" s="154" t="s">
        <v>3172</v>
      </c>
    </row>
    <row r="77" s="20" customFormat="true" ht="13.8" hidden="false" customHeight="false" outlineLevel="0" collapsed="false">
      <c r="B77" s="154" t="s">
        <v>3173</v>
      </c>
      <c r="C77" s="154" t="s">
        <v>3174</v>
      </c>
    </row>
    <row r="78" s="20" customFormat="true" ht="13.8" hidden="false" customHeight="false" outlineLevel="0" collapsed="false">
      <c r="B78" s="154" t="s">
        <v>3175</v>
      </c>
      <c r="C78" s="154" t="s">
        <v>3176</v>
      </c>
    </row>
    <row r="79" s="20" customFormat="true" ht="23.85" hidden="false" customHeight="false" outlineLevel="0" collapsed="false">
      <c r="B79" s="20" t="s">
        <v>3177</v>
      </c>
      <c r="C79" s="20" t="s">
        <v>3178</v>
      </c>
      <c r="E79" s="20" t="s">
        <v>3164</v>
      </c>
      <c r="I79" s="20" t="s">
        <v>2965</v>
      </c>
      <c r="K79" s="20" t="s">
        <v>933</v>
      </c>
      <c r="L79" s="20" t="s">
        <v>2998</v>
      </c>
      <c r="M79" s="20" t="b">
        <f aca="false">FALSE()</f>
        <v>0</v>
      </c>
    </row>
    <row r="80" s="20" customFormat="true" ht="23.85" hidden="false" customHeight="false" outlineLevel="0" collapsed="false">
      <c r="B80" s="20" t="s">
        <v>3179</v>
      </c>
      <c r="C80" s="20" t="s">
        <v>3180</v>
      </c>
      <c r="E80" s="20" t="s">
        <v>3181</v>
      </c>
      <c r="F80" s="20" t="s">
        <v>1338</v>
      </c>
      <c r="I80" s="20" t="s">
        <v>2133</v>
      </c>
      <c r="K80" s="20" t="s">
        <v>931</v>
      </c>
      <c r="L80" s="20" t="s">
        <v>3182</v>
      </c>
      <c r="M80" s="20" t="n">
        <v>-1</v>
      </c>
      <c r="N80" s="20" t="s">
        <v>2953</v>
      </c>
      <c r="O80" s="20" t="s">
        <v>3117</v>
      </c>
      <c r="P80" s="20" t="s">
        <v>3183</v>
      </c>
      <c r="Q80" s="20" t="s">
        <v>3184</v>
      </c>
      <c r="R80" s="20" t="s">
        <v>3185</v>
      </c>
      <c r="S80" s="20" t="s">
        <v>3186</v>
      </c>
      <c r="T80" s="20" t="s">
        <v>3187</v>
      </c>
      <c r="U80" s="20" t="s">
        <v>3136</v>
      </c>
      <c r="V80" s="20" t="s">
        <v>3137</v>
      </c>
    </row>
    <row r="81" s="20" customFormat="true" ht="23.85" hidden="false" customHeight="false" outlineLevel="0" collapsed="false">
      <c r="B81" s="20" t="s">
        <v>3188</v>
      </c>
      <c r="C81" s="20" t="s">
        <v>3189</v>
      </c>
      <c r="D81" s="20" t="n">
        <v>1</v>
      </c>
      <c r="E81" s="20" t="s">
        <v>3190</v>
      </c>
      <c r="F81" s="20" t="s">
        <v>1780</v>
      </c>
      <c r="I81" s="20" t="s">
        <v>2133</v>
      </c>
      <c r="K81" s="20" t="s">
        <v>931</v>
      </c>
      <c r="L81" s="20" t="s">
        <v>3191</v>
      </c>
      <c r="M81" s="20" t="n">
        <v>-1</v>
      </c>
      <c r="N81" s="20" t="s">
        <v>2953</v>
      </c>
      <c r="O81" s="20" t="s">
        <v>3117</v>
      </c>
      <c r="P81" s="20" t="s">
        <v>3192</v>
      </c>
      <c r="Q81" s="20" t="s">
        <v>3193</v>
      </c>
      <c r="R81" s="20" t="s">
        <v>3194</v>
      </c>
      <c r="S81" s="20" t="s">
        <v>3195</v>
      </c>
      <c r="T81" s="20" t="s">
        <v>3196</v>
      </c>
      <c r="U81" s="20" t="s">
        <v>3197</v>
      </c>
      <c r="V81" s="20" t="s">
        <v>3198</v>
      </c>
      <c r="W81" s="20" t="s">
        <v>3199</v>
      </c>
      <c r="X81" s="20" t="s">
        <v>3200</v>
      </c>
    </row>
    <row r="82" s="20" customFormat="true" ht="23.85" hidden="false" customHeight="false" outlineLevel="0" collapsed="false">
      <c r="B82" s="20" t="s">
        <v>3201</v>
      </c>
      <c r="C82" s="20" t="s">
        <v>3202</v>
      </c>
      <c r="E82" s="20" t="s">
        <v>3181</v>
      </c>
      <c r="F82" s="20" t="s">
        <v>1338</v>
      </c>
      <c r="I82" s="20" t="s">
        <v>2133</v>
      </c>
      <c r="K82" s="20" t="s">
        <v>931</v>
      </c>
      <c r="L82" s="20" t="s">
        <v>3182</v>
      </c>
      <c r="M82" s="20" t="n">
        <v>-1</v>
      </c>
      <c r="N82" s="20" t="s">
        <v>2953</v>
      </c>
      <c r="O82" s="20" t="s">
        <v>3117</v>
      </c>
      <c r="P82" s="20" t="s">
        <v>3203</v>
      </c>
      <c r="Q82" s="20" t="s">
        <v>3183</v>
      </c>
      <c r="R82" s="20" t="s">
        <v>3184</v>
      </c>
      <c r="S82" s="20" t="s">
        <v>3185</v>
      </c>
      <c r="T82" s="20" t="s">
        <v>3186</v>
      </c>
      <c r="U82" s="20" t="s">
        <v>3136</v>
      </c>
      <c r="V82" s="151" t="s">
        <v>3137</v>
      </c>
    </row>
    <row r="83" s="20" customFormat="true" ht="23.85" hidden="false" customHeight="false" outlineLevel="0" collapsed="false">
      <c r="B83" s="20" t="s">
        <v>3204</v>
      </c>
      <c r="C83" s="20" t="s">
        <v>3205</v>
      </c>
      <c r="D83" s="20" t="n">
        <v>1</v>
      </c>
      <c r="E83" s="20" t="s">
        <v>3190</v>
      </c>
      <c r="F83" s="20" t="s">
        <v>1780</v>
      </c>
      <c r="I83" s="20" t="s">
        <v>2133</v>
      </c>
      <c r="K83" s="20" t="s">
        <v>931</v>
      </c>
      <c r="L83" s="20" t="s">
        <v>3191</v>
      </c>
      <c r="M83" s="20" t="n">
        <v>-1</v>
      </c>
      <c r="N83" s="20" t="s">
        <v>2953</v>
      </c>
      <c r="O83" s="20" t="s">
        <v>3117</v>
      </c>
      <c r="P83" s="20" t="s">
        <v>3192</v>
      </c>
      <c r="Q83" s="20" t="s">
        <v>3193</v>
      </c>
      <c r="R83" s="20" t="s">
        <v>3194</v>
      </c>
      <c r="S83" s="20" t="s">
        <v>3195</v>
      </c>
      <c r="T83" s="20" t="s">
        <v>3196</v>
      </c>
      <c r="U83" s="20" t="s">
        <v>3197</v>
      </c>
      <c r="V83" s="20" t="s">
        <v>3198</v>
      </c>
      <c r="W83" s="20" t="s">
        <v>3199</v>
      </c>
      <c r="X83" s="20" t="s">
        <v>3200</v>
      </c>
    </row>
    <row r="84" s="20" customFormat="true" ht="23.85" hidden="false" customHeight="false" outlineLevel="0" collapsed="false">
      <c r="B84" s="20" t="s">
        <v>3206</v>
      </c>
      <c r="C84" s="20" t="s">
        <v>3207</v>
      </c>
      <c r="D84" s="20" t="n">
        <v>1</v>
      </c>
      <c r="E84" s="20" t="s">
        <v>3208</v>
      </c>
      <c r="F84" s="20" t="s">
        <v>1780</v>
      </c>
      <c r="I84" s="20" t="s">
        <v>2133</v>
      </c>
      <c r="K84" s="20" t="s">
        <v>931</v>
      </c>
      <c r="L84" s="20" t="s">
        <v>3209</v>
      </c>
      <c r="M84" s="20" t="n">
        <v>-1</v>
      </c>
      <c r="N84" s="20" t="s">
        <v>2953</v>
      </c>
      <c r="O84" s="20" t="s">
        <v>3117</v>
      </c>
      <c r="P84" s="20" t="s">
        <v>3192</v>
      </c>
      <c r="Q84" s="20" t="s">
        <v>3193</v>
      </c>
      <c r="R84" s="20" t="s">
        <v>3194</v>
      </c>
      <c r="S84" s="20" t="s">
        <v>3195</v>
      </c>
      <c r="T84" s="20" t="s">
        <v>3196</v>
      </c>
      <c r="U84" s="20" t="s">
        <v>3197</v>
      </c>
      <c r="V84" s="20" t="s">
        <v>3198</v>
      </c>
      <c r="W84" s="20" t="s">
        <v>3199</v>
      </c>
      <c r="X84" s="20" t="s">
        <v>3200</v>
      </c>
    </row>
    <row r="85" s="20" customFormat="true" ht="13.5" hidden="false" customHeight="false" outlineLevel="0" collapsed="false">
      <c r="B85" s="20" t="s">
        <v>3210</v>
      </c>
      <c r="C85" s="20" t="s">
        <v>3211</v>
      </c>
      <c r="E85" s="20" t="s">
        <v>3212</v>
      </c>
      <c r="I85" s="20" t="s">
        <v>2959</v>
      </c>
      <c r="K85" s="20" t="s">
        <v>933</v>
      </c>
      <c r="L85" s="20" t="s">
        <v>2998</v>
      </c>
      <c r="M85" s="20" t="b">
        <f aca="false">FALSE()</f>
        <v>0</v>
      </c>
    </row>
    <row r="86" s="20" customFormat="true" ht="23.85" hidden="false" customHeight="false" outlineLevel="0" collapsed="false">
      <c r="B86" s="20" t="s">
        <v>3213</v>
      </c>
      <c r="C86" s="20" t="s">
        <v>3214</v>
      </c>
      <c r="D86" s="20" t="n">
        <v>1</v>
      </c>
      <c r="E86" s="20" t="str">
        <f aca="false">P86&amp;","&amp;Q86&amp;","&amp;R86&amp;","&amp;S86&amp;","&amp;T86</f>
        <v>1：毎日,2：2日に1回,3：週1～2回,4：月1～3回,5：使わない</v>
      </c>
      <c r="I86" s="20" t="s">
        <v>2133</v>
      </c>
      <c r="K86" s="20" t="s">
        <v>931</v>
      </c>
      <c r="L86" s="20" t="s">
        <v>3155</v>
      </c>
      <c r="M86" s="20" t="n">
        <v>0</v>
      </c>
      <c r="O86" s="20" t="s">
        <v>2953</v>
      </c>
      <c r="P86" s="20" t="s">
        <v>3215</v>
      </c>
      <c r="Q86" s="20" t="s">
        <v>3216</v>
      </c>
      <c r="R86" s="20" t="s">
        <v>3217</v>
      </c>
      <c r="S86" s="20" t="s">
        <v>3218</v>
      </c>
      <c r="T86" s="20" t="s">
        <v>3219</v>
      </c>
      <c r="U86" s="20" t="s">
        <v>3220</v>
      </c>
    </row>
    <row r="87" s="20" customFormat="true" ht="23.85" hidden="false" customHeight="false" outlineLevel="0" collapsed="false">
      <c r="B87" s="20" t="s">
        <v>3221</v>
      </c>
      <c r="C87" s="20" t="s">
        <v>3222</v>
      </c>
      <c r="D87" s="20" t="n">
        <v>1</v>
      </c>
      <c r="E87" s="20" t="s">
        <v>3223</v>
      </c>
      <c r="F87" s="20" t="s">
        <v>1804</v>
      </c>
      <c r="I87" s="20" t="s">
        <v>2133</v>
      </c>
      <c r="K87" s="20" t="s">
        <v>931</v>
      </c>
      <c r="L87" s="20" t="s">
        <v>3155</v>
      </c>
      <c r="M87" s="20" t="n">
        <v>0</v>
      </c>
      <c r="O87" s="20" t="s">
        <v>2953</v>
      </c>
      <c r="P87" s="20" t="s">
        <v>1806</v>
      </c>
      <c r="Q87" s="20" t="s">
        <v>1807</v>
      </c>
      <c r="R87" s="20" t="s">
        <v>1808</v>
      </c>
      <c r="S87" s="20" t="s">
        <v>1809</v>
      </c>
      <c r="T87" s="20" t="s">
        <v>1810</v>
      </c>
      <c r="U87" s="20" t="s">
        <v>3224</v>
      </c>
    </row>
    <row r="88" s="20" customFormat="true" ht="13.8" hidden="false" customHeight="false" outlineLevel="0" collapsed="false">
      <c r="B88" s="20" t="s">
        <v>3225</v>
      </c>
      <c r="C88" s="20" t="s">
        <v>3226</v>
      </c>
      <c r="E88" s="20" t="s">
        <v>3227</v>
      </c>
      <c r="F88" s="20" t="s">
        <v>1055</v>
      </c>
      <c r="I88" s="20" t="s">
        <v>2934</v>
      </c>
      <c r="J88" s="20" t="s">
        <v>3228</v>
      </c>
      <c r="K88" s="20" t="s">
        <v>931</v>
      </c>
      <c r="M88" s="20" t="n">
        <v>-1</v>
      </c>
    </row>
    <row r="89" s="20" customFormat="true" ht="13.8" hidden="false" customHeight="false" outlineLevel="0" collapsed="false">
      <c r="B89" s="20" t="s">
        <v>3229</v>
      </c>
      <c r="C89" s="20" t="s">
        <v>3226</v>
      </c>
      <c r="E89" s="20" t="s">
        <v>3230</v>
      </c>
      <c r="F89" s="20" t="s">
        <v>1055</v>
      </c>
      <c r="I89" s="20" t="s">
        <v>2934</v>
      </c>
      <c r="J89" s="20" t="s">
        <v>3228</v>
      </c>
      <c r="K89" s="20" t="s">
        <v>931</v>
      </c>
      <c r="M89" s="20" t="n">
        <v>-1</v>
      </c>
    </row>
    <row r="90" s="20" customFormat="true" ht="13.8" hidden="false" customHeight="false" outlineLevel="0" collapsed="false">
      <c r="B90" s="20" t="s">
        <v>3231</v>
      </c>
      <c r="C90" s="20" t="s">
        <v>1820</v>
      </c>
      <c r="E90" s="20" t="s">
        <v>3232</v>
      </c>
      <c r="F90" s="20" t="s">
        <v>3088</v>
      </c>
      <c r="I90" s="20" t="s">
        <v>2934</v>
      </c>
      <c r="J90" s="20" t="s">
        <v>3228</v>
      </c>
      <c r="K90" s="20" t="s">
        <v>931</v>
      </c>
      <c r="M90" s="20" t="n">
        <v>-1</v>
      </c>
    </row>
    <row r="91" s="20" customFormat="true" ht="13.8" hidden="false" customHeight="false" outlineLevel="0" collapsed="false">
      <c r="B91" s="20" t="s">
        <v>3233</v>
      </c>
      <c r="C91" s="20" t="s">
        <v>1820</v>
      </c>
      <c r="E91" s="20" t="s">
        <v>3234</v>
      </c>
      <c r="F91" s="20" t="s">
        <v>3088</v>
      </c>
      <c r="I91" s="20" t="s">
        <v>2934</v>
      </c>
      <c r="J91" s="20" t="s">
        <v>3228</v>
      </c>
      <c r="K91" s="20" t="s">
        <v>931</v>
      </c>
      <c r="M91" s="20" t="n">
        <v>-1</v>
      </c>
    </row>
    <row r="92" s="20" customFormat="true" ht="23.85" hidden="false" customHeight="false" outlineLevel="0" collapsed="false">
      <c r="B92" s="20" t="s">
        <v>3235</v>
      </c>
      <c r="C92" s="20" t="s">
        <v>3236</v>
      </c>
      <c r="E92" s="20" t="s">
        <v>3237</v>
      </c>
      <c r="F92" s="20" t="s">
        <v>1804</v>
      </c>
      <c r="I92" s="20" t="s">
        <v>2133</v>
      </c>
      <c r="K92" s="20" t="s">
        <v>931</v>
      </c>
      <c r="L92" s="20" t="s">
        <v>3238</v>
      </c>
      <c r="M92" s="20" t="n">
        <v>-1</v>
      </c>
      <c r="N92" s="20" t="s">
        <v>2953</v>
      </c>
      <c r="O92" s="20" t="s">
        <v>1459</v>
      </c>
      <c r="P92" s="20" t="s">
        <v>1806</v>
      </c>
      <c r="Q92" s="20" t="s">
        <v>1807</v>
      </c>
      <c r="R92" s="20" t="s">
        <v>1808</v>
      </c>
      <c r="S92" s="20" t="s">
        <v>1809</v>
      </c>
      <c r="T92" s="20" t="s">
        <v>1810</v>
      </c>
      <c r="U92" s="20" t="s">
        <v>3224</v>
      </c>
    </row>
    <row r="93" s="20" customFormat="true" ht="13.5" hidden="false" customHeight="false" outlineLevel="0" collapsed="false">
      <c r="B93" s="20" t="s">
        <v>3239</v>
      </c>
      <c r="C93" s="20" t="s">
        <v>3240</v>
      </c>
      <c r="E93" s="20" t="s">
        <v>3241</v>
      </c>
      <c r="I93" s="20" t="s">
        <v>938</v>
      </c>
      <c r="K93" s="20" t="s">
        <v>932</v>
      </c>
    </row>
    <row r="94" s="20" customFormat="true" ht="13.5" hidden="false" customHeight="false" outlineLevel="0" collapsed="false">
      <c r="B94" s="20" t="s">
        <v>3242</v>
      </c>
      <c r="C94" s="20" t="s">
        <v>3240</v>
      </c>
      <c r="E94" s="20" t="s">
        <v>3243</v>
      </c>
      <c r="I94" s="20" t="s">
        <v>938</v>
      </c>
      <c r="K94" s="20" t="s">
        <v>932</v>
      </c>
    </row>
    <row r="95" s="20" customFormat="true" ht="13.5" hidden="false" customHeight="false" outlineLevel="0" collapsed="false">
      <c r="B95" s="20" t="s">
        <v>3244</v>
      </c>
      <c r="C95" s="20" t="s">
        <v>3240</v>
      </c>
      <c r="E95" s="20" t="s">
        <v>3245</v>
      </c>
      <c r="I95" s="20" t="s">
        <v>938</v>
      </c>
      <c r="K95" s="20" t="s">
        <v>932</v>
      </c>
    </row>
    <row r="96" s="20" customFormat="true" ht="13.5" hidden="false" customHeight="false" outlineLevel="0" collapsed="false">
      <c r="B96" s="20" t="s">
        <v>3246</v>
      </c>
      <c r="C96" s="20" t="s">
        <v>3240</v>
      </c>
      <c r="E96" s="20" t="s">
        <v>3247</v>
      </c>
      <c r="I96" s="20" t="s">
        <v>938</v>
      </c>
      <c r="K96" s="20" t="s">
        <v>932</v>
      </c>
    </row>
    <row r="97" s="20" customFormat="true" ht="13.5" hidden="false" customHeight="false" outlineLevel="0" collapsed="false">
      <c r="B97" s="20" t="s">
        <v>3248</v>
      </c>
      <c r="C97" s="20" t="s">
        <v>3240</v>
      </c>
      <c r="E97" s="20" t="s">
        <v>3249</v>
      </c>
      <c r="I97" s="20" t="s">
        <v>938</v>
      </c>
      <c r="K97" s="20" t="s">
        <v>932</v>
      </c>
    </row>
    <row r="98" s="20" customFormat="true" ht="23.85" hidden="false" customHeight="false" outlineLevel="0" collapsed="false">
      <c r="B98" s="20" t="s">
        <v>3250</v>
      </c>
      <c r="C98" s="20" t="s">
        <v>3251</v>
      </c>
      <c r="E98" s="20" t="s">
        <v>3241</v>
      </c>
      <c r="I98" s="20" t="s">
        <v>2133</v>
      </c>
      <c r="K98" s="20" t="s">
        <v>931</v>
      </c>
      <c r="L98" s="20" t="s">
        <v>3155</v>
      </c>
      <c r="M98" s="20" t="n">
        <v>0</v>
      </c>
      <c r="O98" s="20" t="s">
        <v>2953</v>
      </c>
      <c r="P98" s="20" t="s">
        <v>3215</v>
      </c>
      <c r="Q98" s="20" t="s">
        <v>3252</v>
      </c>
      <c r="R98" s="20" t="s">
        <v>3253</v>
      </c>
      <c r="S98" s="20" t="s">
        <v>3254</v>
      </c>
      <c r="T98" s="20" t="s">
        <v>3255</v>
      </c>
      <c r="U98" s="20" t="s">
        <v>3256</v>
      </c>
    </row>
    <row r="99" s="20" customFormat="true" ht="23.85" hidden="false" customHeight="false" outlineLevel="0" collapsed="false">
      <c r="B99" s="20" t="s">
        <v>3257</v>
      </c>
      <c r="C99" s="20" t="s">
        <v>3251</v>
      </c>
      <c r="E99" s="20" t="s">
        <v>3243</v>
      </c>
      <c r="I99" s="20" t="s">
        <v>2133</v>
      </c>
      <c r="K99" s="20" t="s">
        <v>931</v>
      </c>
      <c r="L99" s="20" t="s">
        <v>3155</v>
      </c>
      <c r="M99" s="20" t="n">
        <v>0</v>
      </c>
      <c r="O99" s="20" t="s">
        <v>2953</v>
      </c>
      <c r="P99" s="20" t="s">
        <v>3215</v>
      </c>
      <c r="Q99" s="20" t="s">
        <v>3252</v>
      </c>
      <c r="R99" s="20" t="s">
        <v>3253</v>
      </c>
      <c r="S99" s="20" t="s">
        <v>3254</v>
      </c>
      <c r="T99" s="20" t="s">
        <v>3255</v>
      </c>
      <c r="U99" s="20" t="s">
        <v>3256</v>
      </c>
    </row>
    <row r="100" s="20" customFormat="true" ht="23.85" hidden="false" customHeight="false" outlineLevel="0" collapsed="false">
      <c r="B100" s="20" t="s">
        <v>3258</v>
      </c>
      <c r="C100" s="20" t="s">
        <v>3251</v>
      </c>
      <c r="E100" s="20" t="s">
        <v>3245</v>
      </c>
      <c r="I100" s="20" t="s">
        <v>2133</v>
      </c>
      <c r="K100" s="20" t="s">
        <v>931</v>
      </c>
      <c r="L100" s="20" t="s">
        <v>3155</v>
      </c>
      <c r="M100" s="20" t="n">
        <v>0</v>
      </c>
      <c r="O100" s="20" t="s">
        <v>2953</v>
      </c>
      <c r="P100" s="20" t="s">
        <v>3215</v>
      </c>
      <c r="Q100" s="20" t="s">
        <v>3252</v>
      </c>
      <c r="R100" s="20" t="s">
        <v>3253</v>
      </c>
      <c r="S100" s="20" t="s">
        <v>3254</v>
      </c>
      <c r="T100" s="20" t="s">
        <v>3255</v>
      </c>
      <c r="U100" s="20" t="s">
        <v>3256</v>
      </c>
    </row>
    <row r="101" s="20" customFormat="true" ht="23.85" hidden="false" customHeight="false" outlineLevel="0" collapsed="false">
      <c r="B101" s="20" t="s">
        <v>3259</v>
      </c>
      <c r="C101" s="20" t="s">
        <v>3251</v>
      </c>
      <c r="E101" s="20" t="s">
        <v>3247</v>
      </c>
      <c r="I101" s="20" t="s">
        <v>2133</v>
      </c>
      <c r="K101" s="20" t="s">
        <v>931</v>
      </c>
      <c r="L101" s="20" t="s">
        <v>3155</v>
      </c>
      <c r="M101" s="20" t="n">
        <v>0</v>
      </c>
      <c r="O101" s="20" t="s">
        <v>2953</v>
      </c>
      <c r="P101" s="20" t="s">
        <v>3215</v>
      </c>
      <c r="Q101" s="20" t="s">
        <v>3252</v>
      </c>
      <c r="R101" s="20" t="s">
        <v>3253</v>
      </c>
      <c r="S101" s="20" t="s">
        <v>3254</v>
      </c>
      <c r="T101" s="20" t="s">
        <v>3255</v>
      </c>
      <c r="U101" s="20" t="s">
        <v>3256</v>
      </c>
    </row>
    <row r="102" s="20" customFormat="true" ht="23.85" hidden="false" customHeight="false" outlineLevel="0" collapsed="false">
      <c r="B102" s="20" t="s">
        <v>3260</v>
      </c>
      <c r="C102" s="20" t="s">
        <v>3251</v>
      </c>
      <c r="E102" s="20" t="s">
        <v>3249</v>
      </c>
      <c r="I102" s="20" t="s">
        <v>2133</v>
      </c>
      <c r="K102" s="20" t="s">
        <v>931</v>
      </c>
      <c r="L102" s="20" t="s">
        <v>3155</v>
      </c>
      <c r="M102" s="20" t="n">
        <v>0</v>
      </c>
      <c r="O102" s="20" t="s">
        <v>2953</v>
      </c>
      <c r="P102" s="20" t="s">
        <v>3215</v>
      </c>
      <c r="Q102" s="20" t="s">
        <v>3252</v>
      </c>
      <c r="R102" s="20" t="s">
        <v>3253</v>
      </c>
      <c r="S102" s="20" t="s">
        <v>3254</v>
      </c>
      <c r="T102" s="20" t="s">
        <v>3255</v>
      </c>
      <c r="U102" s="20" t="s">
        <v>3256</v>
      </c>
    </row>
    <row r="103" s="20" customFormat="true" ht="13.8" hidden="false" customHeight="false" outlineLevel="0" collapsed="false">
      <c r="B103" s="20" t="s">
        <v>3261</v>
      </c>
      <c r="C103" s="20" t="s">
        <v>3262</v>
      </c>
      <c r="I103" s="20" t="s">
        <v>938</v>
      </c>
      <c r="K103" s="20" t="s">
        <v>932</v>
      </c>
    </row>
    <row r="104" s="20" customFormat="true" ht="13.8" hidden="false" customHeight="false" outlineLevel="0" collapsed="false">
      <c r="B104" s="20" t="s">
        <v>3263</v>
      </c>
      <c r="C104" s="20" t="s">
        <v>3264</v>
      </c>
      <c r="E104" s="20" t="s">
        <v>3241</v>
      </c>
      <c r="F104" s="20" t="s">
        <v>1920</v>
      </c>
      <c r="I104" s="20" t="s">
        <v>2934</v>
      </c>
      <c r="J104" s="20" t="s">
        <v>2935</v>
      </c>
      <c r="K104" s="20" t="s">
        <v>931</v>
      </c>
    </row>
    <row r="105" s="20" customFormat="true" ht="13.8" hidden="false" customHeight="false" outlineLevel="0" collapsed="false">
      <c r="B105" s="20" t="s">
        <v>3265</v>
      </c>
      <c r="C105" s="20" t="s">
        <v>3264</v>
      </c>
      <c r="E105" s="20" t="s">
        <v>3243</v>
      </c>
      <c r="F105" s="20" t="s">
        <v>1920</v>
      </c>
      <c r="I105" s="20" t="s">
        <v>2934</v>
      </c>
      <c r="J105" s="20" t="s">
        <v>2935</v>
      </c>
      <c r="K105" s="20" t="s">
        <v>931</v>
      </c>
    </row>
    <row r="106" s="20" customFormat="true" ht="13.8" hidden="false" customHeight="false" outlineLevel="0" collapsed="false">
      <c r="B106" s="20" t="s">
        <v>3266</v>
      </c>
      <c r="C106" s="20" t="s">
        <v>3264</v>
      </c>
      <c r="E106" s="20" t="s">
        <v>3245</v>
      </c>
      <c r="F106" s="20" t="s">
        <v>1920</v>
      </c>
      <c r="I106" s="20" t="s">
        <v>2934</v>
      </c>
      <c r="J106" s="20" t="s">
        <v>2935</v>
      </c>
      <c r="K106" s="20" t="s">
        <v>931</v>
      </c>
    </row>
    <row r="107" s="20" customFormat="true" ht="13.8" hidden="false" customHeight="false" outlineLevel="0" collapsed="false">
      <c r="B107" s="20" t="s">
        <v>3267</v>
      </c>
      <c r="C107" s="20" t="s">
        <v>3264</v>
      </c>
      <c r="E107" s="20" t="s">
        <v>3247</v>
      </c>
      <c r="F107" s="20" t="s">
        <v>1920</v>
      </c>
      <c r="I107" s="20" t="s">
        <v>2934</v>
      </c>
      <c r="J107" s="20" t="s">
        <v>2935</v>
      </c>
      <c r="K107" s="20" t="s">
        <v>931</v>
      </c>
    </row>
    <row r="108" s="20" customFormat="true" ht="13.8" hidden="false" customHeight="false" outlineLevel="0" collapsed="false">
      <c r="B108" s="20" t="s">
        <v>3268</v>
      </c>
      <c r="C108" s="20" t="s">
        <v>3264</v>
      </c>
      <c r="E108" s="20" t="s">
        <v>3249</v>
      </c>
      <c r="F108" s="20" t="s">
        <v>1920</v>
      </c>
      <c r="I108" s="20" t="s">
        <v>2934</v>
      </c>
      <c r="J108" s="20" t="s">
        <v>2935</v>
      </c>
      <c r="K108" s="20" t="s">
        <v>931</v>
      </c>
    </row>
    <row r="109" s="148" customFormat="true" ht="46.25" hidden="false" customHeight="false" outlineLevel="0" collapsed="false">
      <c r="B109" s="148" t="s">
        <v>3269</v>
      </c>
      <c r="C109" s="148" t="s">
        <v>3270</v>
      </c>
      <c r="E109" s="148" t="s">
        <v>3271</v>
      </c>
      <c r="I109" s="148" t="s">
        <v>2133</v>
      </c>
      <c r="K109" s="148" t="s">
        <v>931</v>
      </c>
      <c r="L109" s="148" t="s">
        <v>3155</v>
      </c>
      <c r="M109" s="148" t="n">
        <v>0</v>
      </c>
      <c r="O109" s="148" t="s">
        <v>2953</v>
      </c>
      <c r="P109" s="148" t="s">
        <v>3272</v>
      </c>
      <c r="Q109" s="148" t="s">
        <v>3273</v>
      </c>
      <c r="R109" s="148" t="s">
        <v>3274</v>
      </c>
      <c r="S109" s="148" t="s">
        <v>3275</v>
      </c>
      <c r="T109" s="148" t="s">
        <v>3276</v>
      </c>
      <c r="U109" s="148" t="s">
        <v>3277</v>
      </c>
    </row>
    <row r="110" s="20" customFormat="true" ht="35.05" hidden="false" customHeight="false" outlineLevel="0" collapsed="false">
      <c r="A110" s="20" t="s">
        <v>3278</v>
      </c>
      <c r="B110" s="20" t="s">
        <v>3279</v>
      </c>
      <c r="C110" s="20" t="s">
        <v>3280</v>
      </c>
      <c r="E110" s="20" t="s">
        <v>3281</v>
      </c>
      <c r="I110" s="20" t="s">
        <v>2959</v>
      </c>
      <c r="K110" s="20" t="s">
        <v>3282</v>
      </c>
      <c r="L110" s="20" t="s">
        <v>2998</v>
      </c>
      <c r="M110" s="20" t="b">
        <f aca="false">TRUE()</f>
        <v>1</v>
      </c>
      <c r="P110" s="20" t="s">
        <v>3283</v>
      </c>
      <c r="Q110" s="20" t="s">
        <v>3284</v>
      </c>
    </row>
    <row r="111" s="20" customFormat="true" ht="13.8" hidden="false" customHeight="false" outlineLevel="0" collapsed="false">
      <c r="B111" s="20" t="s">
        <v>3285</v>
      </c>
      <c r="C111" s="20" t="s">
        <v>3286</v>
      </c>
      <c r="E111" s="20" t="s">
        <v>3287</v>
      </c>
      <c r="I111" s="20" t="s">
        <v>3288</v>
      </c>
      <c r="K111" s="20" t="s">
        <v>932</v>
      </c>
    </row>
    <row r="112" s="20" customFormat="true" ht="13.8" hidden="false" customHeight="false" outlineLevel="0" collapsed="false">
      <c r="B112" s="20" t="s">
        <v>3289</v>
      </c>
      <c r="C112" s="20" t="s">
        <v>3290</v>
      </c>
      <c r="E112" s="20" t="s">
        <v>3291</v>
      </c>
      <c r="I112" s="20" t="s">
        <v>3288</v>
      </c>
      <c r="K112" s="20" t="s">
        <v>931</v>
      </c>
      <c r="M112" s="20" t="n">
        <v>-1</v>
      </c>
    </row>
    <row r="113" s="20" customFormat="true" ht="13.8" hidden="false" customHeight="false" outlineLevel="0" collapsed="false">
      <c r="B113" s="20" t="s">
        <v>3292</v>
      </c>
      <c r="C113" s="20" t="s">
        <v>3293</v>
      </c>
      <c r="I113" s="20" t="s">
        <v>3288</v>
      </c>
      <c r="K113" s="20" t="s">
        <v>932</v>
      </c>
    </row>
    <row r="114" s="20" customFormat="true" ht="13.8" hidden="false" customHeight="false" outlineLevel="0" collapsed="false">
      <c r="B114" s="20" t="s">
        <v>3294</v>
      </c>
      <c r="C114" s="20" t="s">
        <v>3295</v>
      </c>
      <c r="I114" s="20" t="s">
        <v>3288</v>
      </c>
      <c r="K114" s="20" t="s">
        <v>932</v>
      </c>
    </row>
    <row r="115" s="20" customFormat="true" ht="13.8" hidden="false" customHeight="false" outlineLevel="0" collapsed="false">
      <c r="B115" s="20" t="s">
        <v>3296</v>
      </c>
      <c r="C115" s="20" t="s">
        <v>3297</v>
      </c>
      <c r="E115" s="20" t="s">
        <v>3298</v>
      </c>
      <c r="I115" s="20" t="s">
        <v>2959</v>
      </c>
      <c r="K115" s="20" t="s">
        <v>931</v>
      </c>
      <c r="M115" s="20" t="n">
        <v>3</v>
      </c>
      <c r="P115" s="20" t="s">
        <v>3299</v>
      </c>
      <c r="Q115" s="20" t="s">
        <v>3300</v>
      </c>
      <c r="R115" s="20" t="s">
        <v>3301</v>
      </c>
    </row>
    <row r="116" s="20" customFormat="true" ht="13.8" hidden="false" customHeight="false" outlineLevel="0" collapsed="false">
      <c r="A116" s="20" t="s">
        <v>3302</v>
      </c>
      <c r="B116" s="20" t="s">
        <v>3303</v>
      </c>
      <c r="C116" s="20" t="s">
        <v>3304</v>
      </c>
      <c r="E116" s="20" t="s">
        <v>3305</v>
      </c>
      <c r="I116" s="20" t="s">
        <v>3306</v>
      </c>
      <c r="K116" s="20" t="s">
        <v>932</v>
      </c>
    </row>
    <row r="117" s="148" customFormat="true" ht="23.85" hidden="false" customHeight="false" outlineLevel="0" collapsed="false">
      <c r="B117" s="148" t="s">
        <v>3307</v>
      </c>
      <c r="C117" s="148" t="s">
        <v>3308</v>
      </c>
      <c r="E117" s="148" t="s">
        <v>3309</v>
      </c>
      <c r="I117" s="148" t="s">
        <v>3306</v>
      </c>
      <c r="J117" s="148" t="n">
        <f aca="false">4.5*0.9*0.9</f>
        <v>3.645</v>
      </c>
      <c r="K117" s="148" t="s">
        <v>932</v>
      </c>
    </row>
    <row r="118" s="20" customFormat="true" ht="23.85" hidden="false" customHeight="false" outlineLevel="0" collapsed="false">
      <c r="A118" s="20" t="s">
        <v>3310</v>
      </c>
      <c r="B118" s="20" t="s">
        <v>3311</v>
      </c>
      <c r="C118" s="20" t="s">
        <v>1428</v>
      </c>
      <c r="E118" s="20" t="s">
        <v>3312</v>
      </c>
      <c r="F118" s="20" t="s">
        <v>3313</v>
      </c>
      <c r="I118" s="20" t="s">
        <v>2133</v>
      </c>
      <c r="K118" s="20" t="s">
        <v>931</v>
      </c>
      <c r="L118" s="20" t="s">
        <v>3314</v>
      </c>
      <c r="M118" s="20" t="n">
        <v>0</v>
      </c>
      <c r="O118" s="20" t="s">
        <v>2953</v>
      </c>
      <c r="P118" s="20" t="s">
        <v>3315</v>
      </c>
      <c r="Q118" s="20" t="s">
        <v>3316</v>
      </c>
      <c r="R118" s="20" t="s">
        <v>3317</v>
      </c>
      <c r="S118" s="20" t="s">
        <v>3318</v>
      </c>
      <c r="T118" s="20" t="s">
        <v>3319</v>
      </c>
      <c r="U118" s="20" t="s">
        <v>3320</v>
      </c>
      <c r="V118" s="20" t="s">
        <v>3321</v>
      </c>
      <c r="W118" s="20" t="s">
        <v>3322</v>
      </c>
      <c r="X118" s="20" t="s">
        <v>3323</v>
      </c>
      <c r="Y118" s="20" t="s">
        <v>3324</v>
      </c>
    </row>
    <row r="119" s="20" customFormat="true" ht="23.85" hidden="false" customHeight="false" outlineLevel="0" collapsed="false">
      <c r="B119" s="20" t="s">
        <v>3325</v>
      </c>
      <c r="C119" s="20" t="s">
        <v>1428</v>
      </c>
      <c r="E119" s="20" t="s">
        <v>3326</v>
      </c>
      <c r="F119" s="20" t="s">
        <v>3313</v>
      </c>
      <c r="I119" s="20" t="s">
        <v>2133</v>
      </c>
      <c r="K119" s="20" t="s">
        <v>931</v>
      </c>
      <c r="L119" s="20" t="s">
        <v>3327</v>
      </c>
      <c r="M119" s="20" t="n">
        <v>0</v>
      </c>
      <c r="O119" s="20" t="s">
        <v>2953</v>
      </c>
      <c r="P119" s="20" t="s">
        <v>3315</v>
      </c>
      <c r="Q119" s="20" t="s">
        <v>3316</v>
      </c>
      <c r="R119" s="20" t="s">
        <v>3317</v>
      </c>
      <c r="S119" s="20" t="s">
        <v>3318</v>
      </c>
      <c r="T119" s="20" t="s">
        <v>3319</v>
      </c>
      <c r="U119" s="20" t="s">
        <v>3320</v>
      </c>
      <c r="V119" s="20" t="s">
        <v>3321</v>
      </c>
      <c r="W119" s="20" t="s">
        <v>3322</v>
      </c>
      <c r="X119" s="20" t="s">
        <v>3323</v>
      </c>
    </row>
    <row r="120" s="20" customFormat="true" ht="23.85" hidden="false" customHeight="false" outlineLevel="0" collapsed="false">
      <c r="B120" s="20" t="s">
        <v>3328</v>
      </c>
      <c r="C120" s="20" t="s">
        <v>1428</v>
      </c>
      <c r="E120" s="20" t="s">
        <v>3329</v>
      </c>
      <c r="F120" s="20" t="s">
        <v>3313</v>
      </c>
      <c r="I120" s="20" t="s">
        <v>2133</v>
      </c>
      <c r="K120" s="20" t="s">
        <v>931</v>
      </c>
      <c r="L120" s="20" t="s">
        <v>3327</v>
      </c>
      <c r="M120" s="20" t="n">
        <v>0</v>
      </c>
      <c r="O120" s="20" t="s">
        <v>2953</v>
      </c>
      <c r="P120" s="20" t="s">
        <v>3315</v>
      </c>
      <c r="Q120" s="20" t="s">
        <v>3316</v>
      </c>
      <c r="R120" s="20" t="s">
        <v>3317</v>
      </c>
      <c r="S120" s="20" t="s">
        <v>3318</v>
      </c>
      <c r="T120" s="20" t="s">
        <v>3319</v>
      </c>
      <c r="U120" s="20" t="s">
        <v>3320</v>
      </c>
      <c r="V120" s="20" t="s">
        <v>3321</v>
      </c>
      <c r="W120" s="20" t="s">
        <v>3322</v>
      </c>
      <c r="X120" s="20" t="s">
        <v>3323</v>
      </c>
    </row>
    <row r="121" s="20" customFormat="true" ht="23.85" hidden="false" customHeight="false" outlineLevel="0" collapsed="false">
      <c r="B121" s="20" t="s">
        <v>3330</v>
      </c>
      <c r="C121" s="20" t="s">
        <v>3331</v>
      </c>
      <c r="I121" s="20" t="s">
        <v>2959</v>
      </c>
      <c r="K121" s="20" t="s">
        <v>933</v>
      </c>
      <c r="L121" s="20" t="s">
        <v>2998</v>
      </c>
      <c r="M121" s="20" t="b">
        <f aca="false">FALSE()</f>
        <v>0</v>
      </c>
      <c r="P121" s="20" t="s">
        <v>3332</v>
      </c>
      <c r="Q121" s="20" t="s">
        <v>3333</v>
      </c>
    </row>
    <row r="122" s="20" customFormat="true" ht="13.5" hidden="false" customHeight="false" outlineLevel="0" collapsed="false">
      <c r="B122" s="20" t="s">
        <v>3334</v>
      </c>
      <c r="C122" s="20" t="s">
        <v>3331</v>
      </c>
      <c r="I122" s="20" t="s">
        <v>2959</v>
      </c>
      <c r="K122" s="20" t="s">
        <v>933</v>
      </c>
      <c r="L122" s="20" t="s">
        <v>2998</v>
      </c>
      <c r="M122" s="20" t="b">
        <f aca="false">FALSE()</f>
        <v>0</v>
      </c>
    </row>
    <row r="123" s="20" customFormat="true" ht="13.5" hidden="false" customHeight="false" outlineLevel="0" collapsed="false">
      <c r="B123" s="20" t="s">
        <v>3335</v>
      </c>
      <c r="C123" s="20" t="s">
        <v>3331</v>
      </c>
      <c r="I123" s="20" t="s">
        <v>2959</v>
      </c>
      <c r="K123" s="20" t="s">
        <v>933</v>
      </c>
      <c r="L123" s="20" t="s">
        <v>2998</v>
      </c>
      <c r="M123" s="20" t="b">
        <f aca="false">FALSE()</f>
        <v>0</v>
      </c>
    </row>
    <row r="124" s="20" customFormat="true" ht="23.85" hidden="false" customHeight="false" outlineLevel="0" collapsed="false">
      <c r="B124" s="20" t="s">
        <v>3336</v>
      </c>
      <c r="C124" s="20" t="s">
        <v>3337</v>
      </c>
      <c r="E124" s="20" t="s">
        <v>3338</v>
      </c>
      <c r="I124" s="20" t="s">
        <v>2133</v>
      </c>
      <c r="K124" s="20" t="s">
        <v>931</v>
      </c>
      <c r="L124" s="20" t="s">
        <v>3155</v>
      </c>
      <c r="M124" s="20" t="n">
        <v>0</v>
      </c>
      <c r="P124" s="155" t="s">
        <v>3339</v>
      </c>
      <c r="Q124" s="20" t="s">
        <v>3340</v>
      </c>
      <c r="R124" s="20" t="s">
        <v>3341</v>
      </c>
      <c r="S124" s="20" t="s">
        <v>3342</v>
      </c>
      <c r="T124" s="20" t="s">
        <v>3343</v>
      </c>
      <c r="U124" s="20" t="s">
        <v>3344</v>
      </c>
      <c r="V124" s="20" t="s">
        <v>3345</v>
      </c>
    </row>
    <row r="125" s="20" customFormat="true" ht="23.85" hidden="false" customHeight="false" outlineLevel="0" collapsed="false">
      <c r="B125" s="20" t="s">
        <v>3346</v>
      </c>
      <c r="C125" s="20" t="s">
        <v>3337</v>
      </c>
      <c r="E125" s="20" t="s">
        <v>3338</v>
      </c>
      <c r="I125" s="20" t="s">
        <v>2133</v>
      </c>
      <c r="K125" s="20" t="s">
        <v>931</v>
      </c>
      <c r="L125" s="20" t="s">
        <v>3155</v>
      </c>
      <c r="M125" s="20" t="n">
        <v>0</v>
      </c>
      <c r="P125" s="155" t="s">
        <v>3339</v>
      </c>
      <c r="Q125" s="20" t="s">
        <v>3340</v>
      </c>
      <c r="R125" s="20" t="s">
        <v>3341</v>
      </c>
      <c r="S125" s="20" t="s">
        <v>3342</v>
      </c>
      <c r="T125" s="20" t="s">
        <v>3343</v>
      </c>
      <c r="U125" s="20" t="s">
        <v>3344</v>
      </c>
      <c r="V125" s="20" t="s">
        <v>3345</v>
      </c>
    </row>
    <row r="126" s="20" customFormat="true" ht="23.85" hidden="false" customHeight="false" outlineLevel="0" collapsed="false">
      <c r="B126" s="20" t="s">
        <v>3347</v>
      </c>
      <c r="C126" s="20" t="s">
        <v>3337</v>
      </c>
      <c r="E126" s="20" t="s">
        <v>3338</v>
      </c>
      <c r="I126" s="20" t="s">
        <v>2133</v>
      </c>
      <c r="K126" s="20" t="s">
        <v>931</v>
      </c>
      <c r="L126" s="20" t="s">
        <v>3155</v>
      </c>
      <c r="M126" s="20" t="n">
        <v>0</v>
      </c>
      <c r="P126" s="155" t="s">
        <v>3339</v>
      </c>
      <c r="Q126" s="20" t="s">
        <v>3340</v>
      </c>
      <c r="R126" s="20" t="s">
        <v>3341</v>
      </c>
      <c r="S126" s="20" t="s">
        <v>3342</v>
      </c>
      <c r="T126" s="20" t="s">
        <v>3343</v>
      </c>
      <c r="U126" s="20" t="s">
        <v>3344</v>
      </c>
      <c r="V126" s="20" t="s">
        <v>3345</v>
      </c>
    </row>
    <row r="127" s="156" customFormat="true" ht="23.85" hidden="false" customHeight="false" outlineLevel="0" collapsed="false">
      <c r="B127" s="156" t="s">
        <v>3348</v>
      </c>
      <c r="C127" s="156" t="s">
        <v>3180</v>
      </c>
      <c r="E127" s="156" t="s">
        <v>3349</v>
      </c>
      <c r="F127" s="156" t="s">
        <v>1338</v>
      </c>
      <c r="I127" s="156" t="s">
        <v>2133</v>
      </c>
      <c r="K127" s="20" t="s">
        <v>931</v>
      </c>
      <c r="L127" s="20" t="s">
        <v>3350</v>
      </c>
      <c r="M127" s="156" t="n">
        <v>-1</v>
      </c>
      <c r="N127" s="20" t="s">
        <v>2953</v>
      </c>
      <c r="P127" s="156" t="s">
        <v>3117</v>
      </c>
      <c r="Q127" s="156" t="s">
        <v>3183</v>
      </c>
      <c r="R127" s="156" t="s">
        <v>3184</v>
      </c>
      <c r="S127" s="156" t="s">
        <v>3185</v>
      </c>
      <c r="T127" s="156" t="s">
        <v>3186</v>
      </c>
      <c r="U127" s="156" t="s">
        <v>3351</v>
      </c>
      <c r="V127" s="156" t="s">
        <v>3136</v>
      </c>
      <c r="W127" s="156" t="s">
        <v>3137</v>
      </c>
    </row>
    <row r="128" s="156" customFormat="true" ht="23.85" hidden="false" customHeight="false" outlineLevel="0" collapsed="false">
      <c r="B128" s="156" t="s">
        <v>3352</v>
      </c>
      <c r="C128" s="156" t="s">
        <v>3180</v>
      </c>
      <c r="E128" s="156" t="s">
        <v>3349</v>
      </c>
      <c r="F128" s="156" t="s">
        <v>1338</v>
      </c>
      <c r="I128" s="156" t="s">
        <v>2133</v>
      </c>
      <c r="K128" s="20" t="s">
        <v>931</v>
      </c>
      <c r="L128" s="20" t="s">
        <v>3350</v>
      </c>
      <c r="M128" s="156" t="n">
        <v>-1</v>
      </c>
      <c r="N128" s="20" t="s">
        <v>2953</v>
      </c>
      <c r="P128" s="156" t="s">
        <v>3117</v>
      </c>
      <c r="Q128" s="156" t="s">
        <v>3183</v>
      </c>
      <c r="R128" s="156" t="s">
        <v>3184</v>
      </c>
      <c r="S128" s="156" t="s">
        <v>3185</v>
      </c>
      <c r="T128" s="156" t="s">
        <v>3186</v>
      </c>
      <c r="U128" s="156" t="s">
        <v>3351</v>
      </c>
      <c r="V128" s="156" t="s">
        <v>3136</v>
      </c>
      <c r="W128" s="156" t="s">
        <v>3137</v>
      </c>
    </row>
    <row r="129" s="156" customFormat="true" ht="23.85" hidden="false" customHeight="false" outlineLevel="0" collapsed="false">
      <c r="B129" s="156" t="s">
        <v>3353</v>
      </c>
      <c r="C129" s="156" t="s">
        <v>3180</v>
      </c>
      <c r="E129" s="156" t="s">
        <v>3349</v>
      </c>
      <c r="F129" s="156" t="s">
        <v>1338</v>
      </c>
      <c r="I129" s="156" t="s">
        <v>2133</v>
      </c>
      <c r="K129" s="20" t="s">
        <v>931</v>
      </c>
      <c r="L129" s="20" t="s">
        <v>3350</v>
      </c>
      <c r="M129" s="156" t="n">
        <v>-1</v>
      </c>
      <c r="N129" s="20" t="s">
        <v>2953</v>
      </c>
      <c r="P129" s="156" t="s">
        <v>3117</v>
      </c>
      <c r="Q129" s="156" t="s">
        <v>3183</v>
      </c>
      <c r="R129" s="156" t="s">
        <v>3184</v>
      </c>
      <c r="S129" s="156" t="s">
        <v>3185</v>
      </c>
      <c r="T129" s="156" t="s">
        <v>3186</v>
      </c>
      <c r="U129" s="156" t="s">
        <v>3351</v>
      </c>
      <c r="V129" s="156" t="s">
        <v>3136</v>
      </c>
      <c r="W129" s="156" t="s">
        <v>3137</v>
      </c>
    </row>
    <row r="130" s="20" customFormat="true" ht="23.85" hidden="false" customHeight="false" outlineLevel="0" collapsed="false">
      <c r="B130" s="20" t="s">
        <v>3354</v>
      </c>
      <c r="C130" s="20" t="s">
        <v>3189</v>
      </c>
      <c r="E130" s="20" t="s">
        <v>3190</v>
      </c>
      <c r="F130" s="20" t="s">
        <v>1780</v>
      </c>
      <c r="I130" s="20" t="s">
        <v>2133</v>
      </c>
      <c r="K130" s="20" t="s">
        <v>931</v>
      </c>
      <c r="L130" s="20" t="s">
        <v>3209</v>
      </c>
      <c r="M130" s="156" t="n">
        <v>-1</v>
      </c>
      <c r="N130" s="20" t="s">
        <v>2953</v>
      </c>
      <c r="P130" s="20" t="s">
        <v>3117</v>
      </c>
      <c r="Q130" s="20" t="s">
        <v>3192</v>
      </c>
      <c r="R130" s="20" t="s">
        <v>3193</v>
      </c>
      <c r="S130" s="20" t="s">
        <v>3194</v>
      </c>
      <c r="T130" s="20" t="s">
        <v>3195</v>
      </c>
      <c r="U130" s="20" t="s">
        <v>3196</v>
      </c>
      <c r="V130" s="20" t="s">
        <v>3197</v>
      </c>
      <c r="W130" s="20" t="s">
        <v>3198</v>
      </c>
      <c r="X130" s="20" t="s">
        <v>3199</v>
      </c>
      <c r="Y130" s="20" t="s">
        <v>3200</v>
      </c>
    </row>
    <row r="131" s="20" customFormat="true" ht="23.85" hidden="false" customHeight="false" outlineLevel="0" collapsed="false">
      <c r="B131" s="20" t="s">
        <v>3355</v>
      </c>
      <c r="C131" s="20" t="s">
        <v>3189</v>
      </c>
      <c r="E131" s="20" t="s">
        <v>3190</v>
      </c>
      <c r="F131" s="20" t="s">
        <v>1780</v>
      </c>
      <c r="I131" s="20" t="s">
        <v>2133</v>
      </c>
      <c r="K131" s="20" t="s">
        <v>931</v>
      </c>
      <c r="L131" s="20" t="s">
        <v>3209</v>
      </c>
      <c r="M131" s="156" t="n">
        <v>-1</v>
      </c>
      <c r="N131" s="20" t="s">
        <v>2953</v>
      </c>
      <c r="P131" s="20" t="s">
        <v>3117</v>
      </c>
      <c r="Q131" s="20" t="s">
        <v>3192</v>
      </c>
      <c r="R131" s="20" t="s">
        <v>3193</v>
      </c>
      <c r="S131" s="20" t="s">
        <v>3194</v>
      </c>
      <c r="T131" s="20" t="s">
        <v>3195</v>
      </c>
      <c r="U131" s="20" t="s">
        <v>3196</v>
      </c>
      <c r="V131" s="20" t="s">
        <v>3197</v>
      </c>
      <c r="W131" s="20" t="s">
        <v>3198</v>
      </c>
      <c r="X131" s="20" t="s">
        <v>3199</v>
      </c>
      <c r="Y131" s="20" t="s">
        <v>3200</v>
      </c>
    </row>
    <row r="132" s="20" customFormat="true" ht="23.85" hidden="false" customHeight="false" outlineLevel="0" collapsed="false">
      <c r="B132" s="20" t="s">
        <v>3356</v>
      </c>
      <c r="C132" s="20" t="s">
        <v>3189</v>
      </c>
      <c r="E132" s="20" t="s">
        <v>3190</v>
      </c>
      <c r="F132" s="20" t="s">
        <v>1780</v>
      </c>
      <c r="I132" s="20" t="s">
        <v>2133</v>
      </c>
      <c r="K132" s="20" t="s">
        <v>931</v>
      </c>
      <c r="L132" s="20" t="s">
        <v>3209</v>
      </c>
      <c r="M132" s="156" t="n">
        <v>-1</v>
      </c>
      <c r="N132" s="20" t="s">
        <v>2953</v>
      </c>
      <c r="P132" s="20" t="s">
        <v>3117</v>
      </c>
      <c r="Q132" s="20" t="s">
        <v>3192</v>
      </c>
      <c r="R132" s="20" t="s">
        <v>3193</v>
      </c>
      <c r="S132" s="20" t="s">
        <v>3194</v>
      </c>
      <c r="T132" s="20" t="s">
        <v>3195</v>
      </c>
      <c r="U132" s="20" t="s">
        <v>3196</v>
      </c>
      <c r="V132" s="20" t="s">
        <v>3197</v>
      </c>
      <c r="W132" s="20" t="s">
        <v>3198</v>
      </c>
      <c r="X132" s="20" t="s">
        <v>3199</v>
      </c>
      <c r="Y132" s="20" t="s">
        <v>3200</v>
      </c>
    </row>
    <row r="133" s="20" customFormat="true" ht="23.85" hidden="false" customHeight="false" outlineLevel="0" collapsed="false">
      <c r="B133" s="20" t="s">
        <v>3357</v>
      </c>
      <c r="C133" s="20" t="s">
        <v>3202</v>
      </c>
      <c r="E133" s="20" t="s">
        <v>3358</v>
      </c>
      <c r="F133" s="20" t="s">
        <v>1338</v>
      </c>
      <c r="I133" s="20" t="s">
        <v>2133</v>
      </c>
      <c r="K133" s="20" t="s">
        <v>931</v>
      </c>
      <c r="L133" s="20" t="s">
        <v>3238</v>
      </c>
      <c r="M133" s="156" t="n">
        <v>-1</v>
      </c>
      <c r="N133" s="20" t="s">
        <v>2953</v>
      </c>
      <c r="P133" s="20" t="s">
        <v>3117</v>
      </c>
      <c r="Q133" s="20" t="s">
        <v>3203</v>
      </c>
      <c r="R133" s="20" t="s">
        <v>3183</v>
      </c>
      <c r="S133" s="20" t="s">
        <v>3184</v>
      </c>
      <c r="T133" s="20" t="s">
        <v>3185</v>
      </c>
      <c r="U133" s="20" t="s">
        <v>3186</v>
      </c>
      <c r="V133" s="20" t="s">
        <v>3136</v>
      </c>
    </row>
    <row r="134" s="20" customFormat="true" ht="23.85" hidden="false" customHeight="false" outlineLevel="0" collapsed="false">
      <c r="B134" s="20" t="s">
        <v>3359</v>
      </c>
      <c r="C134" s="20" t="s">
        <v>3202</v>
      </c>
      <c r="E134" s="20" t="s">
        <v>3358</v>
      </c>
      <c r="F134" s="20" t="s">
        <v>1338</v>
      </c>
      <c r="I134" s="20" t="s">
        <v>2133</v>
      </c>
      <c r="K134" s="20" t="s">
        <v>931</v>
      </c>
      <c r="L134" s="20" t="s">
        <v>3238</v>
      </c>
      <c r="M134" s="156" t="n">
        <v>-1</v>
      </c>
      <c r="N134" s="20" t="s">
        <v>2953</v>
      </c>
      <c r="P134" s="20" t="s">
        <v>3117</v>
      </c>
      <c r="Q134" s="20" t="s">
        <v>3203</v>
      </c>
      <c r="R134" s="20" t="s">
        <v>3183</v>
      </c>
      <c r="S134" s="20" t="s">
        <v>3184</v>
      </c>
      <c r="T134" s="20" t="s">
        <v>3185</v>
      </c>
      <c r="U134" s="20" t="s">
        <v>3186</v>
      </c>
      <c r="V134" s="20" t="s">
        <v>3136</v>
      </c>
    </row>
    <row r="135" s="20" customFormat="true" ht="23.85" hidden="false" customHeight="false" outlineLevel="0" collapsed="false">
      <c r="B135" s="20" t="s">
        <v>3360</v>
      </c>
      <c r="C135" s="20" t="s">
        <v>3202</v>
      </c>
      <c r="E135" s="20" t="s">
        <v>3358</v>
      </c>
      <c r="F135" s="20" t="s">
        <v>1338</v>
      </c>
      <c r="I135" s="20" t="s">
        <v>2133</v>
      </c>
      <c r="K135" s="20" t="s">
        <v>931</v>
      </c>
      <c r="L135" s="20" t="s">
        <v>3238</v>
      </c>
      <c r="M135" s="156" t="n">
        <v>-1</v>
      </c>
      <c r="N135" s="20" t="s">
        <v>2953</v>
      </c>
      <c r="P135" s="20" t="s">
        <v>3117</v>
      </c>
      <c r="Q135" s="20" t="s">
        <v>3203</v>
      </c>
      <c r="R135" s="20" t="s">
        <v>3183</v>
      </c>
      <c r="S135" s="20" t="s">
        <v>3184</v>
      </c>
      <c r="T135" s="20" t="s">
        <v>3185</v>
      </c>
      <c r="U135" s="20" t="s">
        <v>3186</v>
      </c>
      <c r="V135" s="20" t="s">
        <v>3136</v>
      </c>
    </row>
    <row r="136" s="20" customFormat="true" ht="23.85" hidden="false" customHeight="false" outlineLevel="0" collapsed="false">
      <c r="B136" s="20" t="s">
        <v>3361</v>
      </c>
      <c r="C136" s="20" t="s">
        <v>3205</v>
      </c>
      <c r="E136" s="20" t="s">
        <v>3190</v>
      </c>
      <c r="F136" s="20" t="s">
        <v>1780</v>
      </c>
      <c r="I136" s="20" t="s">
        <v>2133</v>
      </c>
      <c r="K136" s="20" t="s">
        <v>931</v>
      </c>
      <c r="L136" s="20" t="s">
        <v>3209</v>
      </c>
      <c r="M136" s="156" t="n">
        <v>-1</v>
      </c>
      <c r="N136" s="20" t="s">
        <v>2953</v>
      </c>
      <c r="P136" s="20" t="s">
        <v>3117</v>
      </c>
      <c r="Q136" s="20" t="s">
        <v>3192</v>
      </c>
      <c r="R136" s="20" t="s">
        <v>3193</v>
      </c>
      <c r="S136" s="20" t="s">
        <v>3194</v>
      </c>
      <c r="T136" s="20" t="s">
        <v>3195</v>
      </c>
      <c r="U136" s="20" t="s">
        <v>3196</v>
      </c>
      <c r="V136" s="20" t="s">
        <v>3197</v>
      </c>
      <c r="W136" s="20" t="s">
        <v>3198</v>
      </c>
      <c r="X136" s="20" t="s">
        <v>3199</v>
      </c>
      <c r="Y136" s="20" t="s">
        <v>3200</v>
      </c>
    </row>
    <row r="137" s="20" customFormat="true" ht="23.85" hidden="false" customHeight="false" outlineLevel="0" collapsed="false">
      <c r="B137" s="20" t="s">
        <v>3362</v>
      </c>
      <c r="C137" s="20" t="s">
        <v>3205</v>
      </c>
      <c r="E137" s="20" t="s">
        <v>3190</v>
      </c>
      <c r="F137" s="20" t="s">
        <v>1780</v>
      </c>
      <c r="I137" s="20" t="s">
        <v>2133</v>
      </c>
      <c r="K137" s="20" t="s">
        <v>931</v>
      </c>
      <c r="L137" s="20" t="s">
        <v>3209</v>
      </c>
      <c r="M137" s="156" t="n">
        <v>-1</v>
      </c>
      <c r="N137" s="20" t="s">
        <v>2953</v>
      </c>
      <c r="P137" s="20" t="s">
        <v>3117</v>
      </c>
      <c r="Q137" s="20" t="s">
        <v>3192</v>
      </c>
      <c r="R137" s="20" t="s">
        <v>3193</v>
      </c>
      <c r="S137" s="20" t="s">
        <v>3194</v>
      </c>
      <c r="T137" s="20" t="s">
        <v>3195</v>
      </c>
      <c r="U137" s="20" t="s">
        <v>3196</v>
      </c>
      <c r="V137" s="20" t="s">
        <v>3197</v>
      </c>
      <c r="W137" s="20" t="s">
        <v>3198</v>
      </c>
      <c r="X137" s="20" t="s">
        <v>3199</v>
      </c>
      <c r="Y137" s="20" t="s">
        <v>3200</v>
      </c>
    </row>
    <row r="138" s="20" customFormat="true" ht="23.85" hidden="false" customHeight="false" outlineLevel="0" collapsed="false">
      <c r="B138" s="20" t="s">
        <v>3363</v>
      </c>
      <c r="C138" s="20" t="s">
        <v>3205</v>
      </c>
      <c r="E138" s="20" t="s">
        <v>3190</v>
      </c>
      <c r="F138" s="20" t="s">
        <v>1780</v>
      </c>
      <c r="I138" s="20" t="s">
        <v>2133</v>
      </c>
      <c r="K138" s="20" t="s">
        <v>931</v>
      </c>
      <c r="L138" s="20" t="s">
        <v>3209</v>
      </c>
      <c r="M138" s="156" t="n">
        <v>-1</v>
      </c>
      <c r="N138" s="20" t="s">
        <v>2953</v>
      </c>
      <c r="P138" s="20" t="s">
        <v>3117</v>
      </c>
      <c r="Q138" s="20" t="s">
        <v>3192</v>
      </c>
      <c r="R138" s="20" t="s">
        <v>3193</v>
      </c>
      <c r="S138" s="20" t="s">
        <v>3194</v>
      </c>
      <c r="T138" s="20" t="s">
        <v>3195</v>
      </c>
      <c r="U138" s="20" t="s">
        <v>3196</v>
      </c>
      <c r="V138" s="20" t="s">
        <v>3197</v>
      </c>
      <c r="W138" s="20" t="s">
        <v>3198</v>
      </c>
      <c r="X138" s="20" t="s">
        <v>3199</v>
      </c>
      <c r="Y138" s="20" t="s">
        <v>3200</v>
      </c>
    </row>
    <row r="139" s="20" customFormat="true" ht="23.85" hidden="false" customHeight="false" outlineLevel="0" collapsed="false">
      <c r="B139" s="20" t="s">
        <v>3364</v>
      </c>
      <c r="C139" s="20" t="s">
        <v>3365</v>
      </c>
      <c r="E139" s="20" t="s">
        <v>3366</v>
      </c>
      <c r="F139" s="20" t="s">
        <v>1110</v>
      </c>
      <c r="I139" s="20" t="s">
        <v>2133</v>
      </c>
      <c r="K139" s="20" t="s">
        <v>931</v>
      </c>
      <c r="L139" s="20" t="s">
        <v>3367</v>
      </c>
      <c r="M139" s="20" t="n">
        <v>0</v>
      </c>
      <c r="O139" s="20" t="s">
        <v>2953</v>
      </c>
      <c r="P139" s="20" t="s">
        <v>3368</v>
      </c>
      <c r="Q139" s="20" t="s">
        <v>3369</v>
      </c>
      <c r="R139" s="20" t="s">
        <v>3370</v>
      </c>
      <c r="S139" s="20" t="s">
        <v>3371</v>
      </c>
      <c r="T139" s="20" t="s">
        <v>3372</v>
      </c>
      <c r="U139" s="20" t="s">
        <v>3373</v>
      </c>
      <c r="V139" s="20" t="s">
        <v>3374</v>
      </c>
      <c r="W139" s="20" t="s">
        <v>3375</v>
      </c>
      <c r="X139" s="20" t="s">
        <v>3376</v>
      </c>
      <c r="Y139" s="20" t="s">
        <v>3377</v>
      </c>
    </row>
    <row r="140" s="20" customFormat="true" ht="23.85" hidden="false" customHeight="false" outlineLevel="0" collapsed="false">
      <c r="B140" s="20" t="s">
        <v>3378</v>
      </c>
      <c r="C140" s="20" t="s">
        <v>3365</v>
      </c>
      <c r="E140" s="20" t="s">
        <v>3366</v>
      </c>
      <c r="F140" s="20" t="s">
        <v>1110</v>
      </c>
      <c r="I140" s="20" t="s">
        <v>2133</v>
      </c>
      <c r="K140" s="20" t="s">
        <v>931</v>
      </c>
      <c r="L140" s="20" t="s">
        <v>3367</v>
      </c>
      <c r="M140" s="20" t="n">
        <v>0</v>
      </c>
      <c r="O140" s="20" t="s">
        <v>2953</v>
      </c>
      <c r="P140" s="20" t="s">
        <v>3368</v>
      </c>
      <c r="Q140" s="20" t="s">
        <v>3369</v>
      </c>
      <c r="R140" s="20" t="s">
        <v>3370</v>
      </c>
      <c r="S140" s="20" t="s">
        <v>3371</v>
      </c>
      <c r="T140" s="20" t="s">
        <v>3372</v>
      </c>
      <c r="U140" s="20" t="s">
        <v>3373</v>
      </c>
      <c r="V140" s="20" t="s">
        <v>3374</v>
      </c>
      <c r="W140" s="20" t="s">
        <v>3375</v>
      </c>
      <c r="X140" s="20" t="s">
        <v>3376</v>
      </c>
      <c r="Y140" s="20" t="s">
        <v>3377</v>
      </c>
    </row>
    <row r="141" s="20" customFormat="true" ht="23.85" hidden="false" customHeight="false" outlineLevel="0" collapsed="false">
      <c r="B141" s="20" t="s">
        <v>3379</v>
      </c>
      <c r="C141" s="20" t="s">
        <v>3365</v>
      </c>
      <c r="E141" s="20" t="s">
        <v>3366</v>
      </c>
      <c r="F141" s="20" t="s">
        <v>1110</v>
      </c>
      <c r="I141" s="20" t="s">
        <v>2133</v>
      </c>
      <c r="K141" s="20" t="s">
        <v>931</v>
      </c>
      <c r="L141" s="20" t="s">
        <v>3367</v>
      </c>
      <c r="M141" s="20" t="n">
        <v>0</v>
      </c>
      <c r="O141" s="20" t="s">
        <v>2953</v>
      </c>
      <c r="P141" s="20" t="s">
        <v>3368</v>
      </c>
      <c r="Q141" s="20" t="s">
        <v>3369</v>
      </c>
      <c r="R141" s="20" t="s">
        <v>3370</v>
      </c>
      <c r="S141" s="20" t="s">
        <v>3371</v>
      </c>
      <c r="T141" s="20" t="s">
        <v>3372</v>
      </c>
      <c r="U141" s="20" t="s">
        <v>3373</v>
      </c>
      <c r="V141" s="20" t="s">
        <v>3374</v>
      </c>
      <c r="W141" s="20" t="s">
        <v>3375</v>
      </c>
      <c r="X141" s="20" t="s">
        <v>3376</v>
      </c>
      <c r="Y141" s="20" t="s">
        <v>3377</v>
      </c>
    </row>
    <row r="142" s="20" customFormat="true" ht="13.5" hidden="false" customHeight="false" outlineLevel="0" collapsed="false">
      <c r="B142" s="20" t="s">
        <v>3380</v>
      </c>
      <c r="C142" s="20" t="s">
        <v>3381</v>
      </c>
      <c r="F142" s="20" t="s">
        <v>1055</v>
      </c>
      <c r="I142" s="20" t="s">
        <v>2934</v>
      </c>
      <c r="J142" s="20" t="s">
        <v>2935</v>
      </c>
      <c r="K142" s="20" t="s">
        <v>931</v>
      </c>
      <c r="M142" s="20" t="n">
        <v>-1</v>
      </c>
    </row>
    <row r="143" s="20" customFormat="true" ht="13.5" hidden="false" customHeight="false" outlineLevel="0" collapsed="false">
      <c r="B143" s="20" t="s">
        <v>3382</v>
      </c>
      <c r="C143" s="20" t="s">
        <v>3381</v>
      </c>
      <c r="F143" s="20" t="s">
        <v>1055</v>
      </c>
      <c r="I143" s="20" t="s">
        <v>2934</v>
      </c>
      <c r="J143" s="20" t="s">
        <v>2935</v>
      </c>
      <c r="K143" s="20" t="s">
        <v>931</v>
      </c>
      <c r="M143" s="20" t="n">
        <v>-1</v>
      </c>
    </row>
    <row r="144" s="20" customFormat="true" ht="13.5" hidden="false" customHeight="false" outlineLevel="0" collapsed="false">
      <c r="B144" s="20" t="s">
        <v>3383</v>
      </c>
      <c r="C144" s="20" t="s">
        <v>3381</v>
      </c>
      <c r="F144" s="20" t="s">
        <v>1055</v>
      </c>
      <c r="I144" s="20" t="s">
        <v>2934</v>
      </c>
      <c r="J144" s="20" t="s">
        <v>2935</v>
      </c>
      <c r="K144" s="20" t="s">
        <v>931</v>
      </c>
      <c r="M144" s="20" t="n">
        <v>-1</v>
      </c>
    </row>
    <row r="145" s="150" customFormat="true" ht="13.5" hidden="false" customHeight="false" outlineLevel="0" collapsed="false">
      <c r="A145" s="20"/>
      <c r="B145" s="150" t="s">
        <v>3384</v>
      </c>
      <c r="C145" s="150" t="s">
        <v>3385</v>
      </c>
      <c r="E145" s="150" t="s">
        <v>3386</v>
      </c>
      <c r="I145" s="150" t="s">
        <v>2934</v>
      </c>
      <c r="K145" s="150" t="s">
        <v>931</v>
      </c>
      <c r="M145" s="150" t="n">
        <v>0</v>
      </c>
    </row>
    <row r="146" s="150" customFormat="true" ht="13.5" hidden="false" customHeight="false" outlineLevel="0" collapsed="false">
      <c r="A146" s="20"/>
      <c r="B146" s="150" t="s">
        <v>3387</v>
      </c>
      <c r="C146" s="150" t="s">
        <v>3385</v>
      </c>
      <c r="I146" s="150" t="s">
        <v>2934</v>
      </c>
      <c r="K146" s="150" t="s">
        <v>931</v>
      </c>
      <c r="M146" s="150" t="n">
        <v>0</v>
      </c>
    </row>
    <row r="147" s="150" customFormat="true" ht="13.5" hidden="false" customHeight="false" outlineLevel="0" collapsed="false">
      <c r="A147" s="20"/>
      <c r="B147" s="150" t="s">
        <v>3388</v>
      </c>
      <c r="C147" s="150" t="s">
        <v>3385</v>
      </c>
      <c r="I147" s="150" t="s">
        <v>2934</v>
      </c>
      <c r="K147" s="150" t="s">
        <v>931</v>
      </c>
      <c r="M147" s="150" t="n">
        <v>0</v>
      </c>
    </row>
    <row r="148" s="150" customFormat="true" ht="13.5" hidden="false" customHeight="false" outlineLevel="0" collapsed="false">
      <c r="A148" s="20"/>
      <c r="B148" s="150" t="s">
        <v>3389</v>
      </c>
      <c r="C148" s="150" t="s">
        <v>3390</v>
      </c>
      <c r="I148" s="150" t="s">
        <v>2934</v>
      </c>
      <c r="K148" s="150" t="s">
        <v>931</v>
      </c>
      <c r="M148" s="150" t="n">
        <v>0</v>
      </c>
    </row>
    <row r="149" s="150" customFormat="true" ht="13.5" hidden="false" customHeight="false" outlineLevel="0" collapsed="false">
      <c r="A149" s="20"/>
      <c r="B149" s="150" t="s">
        <v>3391</v>
      </c>
      <c r="C149" s="150" t="s">
        <v>3390</v>
      </c>
      <c r="I149" s="150" t="s">
        <v>2934</v>
      </c>
      <c r="K149" s="150" t="s">
        <v>931</v>
      </c>
      <c r="M149" s="150" t="n">
        <v>0</v>
      </c>
    </row>
    <row r="150" s="150" customFormat="true" ht="13.5" hidden="false" customHeight="false" outlineLevel="0" collapsed="false">
      <c r="A150" s="20"/>
      <c r="B150" s="150" t="s">
        <v>3392</v>
      </c>
      <c r="C150" s="150" t="s">
        <v>3390</v>
      </c>
      <c r="I150" s="150" t="s">
        <v>2934</v>
      </c>
      <c r="K150" s="150" t="s">
        <v>931</v>
      </c>
      <c r="M150" s="150" t="n">
        <v>0</v>
      </c>
    </row>
    <row r="151" s="20" customFormat="true" ht="23.85" hidden="false" customHeight="false" outlineLevel="0" collapsed="false">
      <c r="B151" s="20" t="s">
        <v>3393</v>
      </c>
      <c r="C151" s="20" t="s">
        <v>3394</v>
      </c>
      <c r="F151" s="20" t="s">
        <v>1406</v>
      </c>
      <c r="I151" s="20" t="s">
        <v>2133</v>
      </c>
      <c r="K151" s="20" t="s">
        <v>931</v>
      </c>
      <c r="L151" s="20" t="s">
        <v>3395</v>
      </c>
      <c r="M151" s="20" t="n">
        <v>0</v>
      </c>
      <c r="O151" s="20" t="s">
        <v>2953</v>
      </c>
      <c r="P151" s="20" t="s">
        <v>3396</v>
      </c>
      <c r="Q151" s="20" t="s">
        <v>3397</v>
      </c>
      <c r="R151" s="20" t="s">
        <v>3398</v>
      </c>
      <c r="S151" s="20" t="s">
        <v>3399</v>
      </c>
      <c r="T151" s="20" t="s">
        <v>3400</v>
      </c>
      <c r="U151" s="20" t="s">
        <v>3401</v>
      </c>
      <c r="V151" s="20" t="s">
        <v>3402</v>
      </c>
      <c r="W151" s="20" t="s">
        <v>3403</v>
      </c>
      <c r="X151" s="20" t="s">
        <v>3404</v>
      </c>
    </row>
    <row r="152" s="20" customFormat="true" ht="23.85" hidden="false" customHeight="false" outlineLevel="0" collapsed="false">
      <c r="B152" s="20" t="s">
        <v>3405</v>
      </c>
      <c r="C152" s="20" t="s">
        <v>3394</v>
      </c>
      <c r="F152" s="20" t="s">
        <v>1406</v>
      </c>
      <c r="I152" s="20" t="s">
        <v>2133</v>
      </c>
      <c r="K152" s="20" t="s">
        <v>931</v>
      </c>
      <c r="L152" s="20" t="s">
        <v>3395</v>
      </c>
      <c r="M152" s="20" t="n">
        <v>0</v>
      </c>
      <c r="O152" s="20" t="s">
        <v>2953</v>
      </c>
      <c r="P152" s="20" t="s">
        <v>3396</v>
      </c>
      <c r="Q152" s="20" t="s">
        <v>3397</v>
      </c>
      <c r="R152" s="20" t="s">
        <v>3398</v>
      </c>
      <c r="S152" s="20" t="s">
        <v>3399</v>
      </c>
      <c r="T152" s="20" t="s">
        <v>3400</v>
      </c>
      <c r="U152" s="20" t="s">
        <v>3401</v>
      </c>
      <c r="V152" s="20" t="s">
        <v>3402</v>
      </c>
      <c r="W152" s="20" t="s">
        <v>3403</v>
      </c>
      <c r="X152" s="20" t="s">
        <v>3404</v>
      </c>
    </row>
    <row r="153" s="20" customFormat="true" ht="23.85" hidden="false" customHeight="false" outlineLevel="0" collapsed="false">
      <c r="B153" s="20" t="s">
        <v>3406</v>
      </c>
      <c r="C153" s="20" t="s">
        <v>3394</v>
      </c>
      <c r="F153" s="20" t="s">
        <v>1406</v>
      </c>
      <c r="I153" s="20" t="s">
        <v>2133</v>
      </c>
      <c r="K153" s="20" t="s">
        <v>931</v>
      </c>
      <c r="L153" s="20" t="s">
        <v>3395</v>
      </c>
      <c r="M153" s="20" t="n">
        <v>0</v>
      </c>
      <c r="O153" s="20" t="s">
        <v>2953</v>
      </c>
      <c r="P153" s="20" t="s">
        <v>3396</v>
      </c>
      <c r="Q153" s="20" t="s">
        <v>3397</v>
      </c>
      <c r="R153" s="20" t="s">
        <v>3398</v>
      </c>
      <c r="S153" s="20" t="s">
        <v>3399</v>
      </c>
      <c r="T153" s="20" t="s">
        <v>3400</v>
      </c>
      <c r="U153" s="20" t="s">
        <v>3401</v>
      </c>
      <c r="V153" s="20" t="s">
        <v>3402</v>
      </c>
      <c r="W153" s="20" t="s">
        <v>3403</v>
      </c>
      <c r="X153" s="20" t="s">
        <v>3404</v>
      </c>
    </row>
    <row r="154" s="20" customFormat="true" ht="23.85" hidden="false" customHeight="false" outlineLevel="0" collapsed="false">
      <c r="B154" s="20" t="s">
        <v>3407</v>
      </c>
      <c r="C154" s="20" t="s">
        <v>3408</v>
      </c>
      <c r="F154" s="20" t="s">
        <v>1406</v>
      </c>
      <c r="I154" s="20" t="s">
        <v>2133</v>
      </c>
      <c r="K154" s="20" t="s">
        <v>931</v>
      </c>
      <c r="L154" s="20" t="s">
        <v>3409</v>
      </c>
      <c r="M154" s="20" t="n">
        <v>0</v>
      </c>
      <c r="O154" s="20" t="s">
        <v>2953</v>
      </c>
      <c r="P154" s="20" t="s">
        <v>3402</v>
      </c>
      <c r="Q154" s="20" t="s">
        <v>3403</v>
      </c>
      <c r="R154" s="20" t="s">
        <v>3404</v>
      </c>
      <c r="S154" s="20" t="s">
        <v>3410</v>
      </c>
      <c r="T154" s="20" t="s">
        <v>3411</v>
      </c>
      <c r="U154" s="20" t="s">
        <v>3412</v>
      </c>
      <c r="V154" s="20" t="s">
        <v>3413</v>
      </c>
    </row>
    <row r="155" s="20" customFormat="true" ht="23.85" hidden="false" customHeight="false" outlineLevel="0" collapsed="false">
      <c r="B155" s="20" t="s">
        <v>3414</v>
      </c>
      <c r="C155" s="20" t="s">
        <v>3408</v>
      </c>
      <c r="F155" s="20" t="s">
        <v>1406</v>
      </c>
      <c r="I155" s="20" t="s">
        <v>2133</v>
      </c>
      <c r="K155" s="20" t="s">
        <v>931</v>
      </c>
      <c r="L155" s="20" t="s">
        <v>3409</v>
      </c>
      <c r="M155" s="20" t="n">
        <v>0</v>
      </c>
      <c r="O155" s="20" t="s">
        <v>2953</v>
      </c>
      <c r="P155" s="20" t="s">
        <v>3402</v>
      </c>
      <c r="Q155" s="20" t="s">
        <v>3403</v>
      </c>
      <c r="R155" s="20" t="s">
        <v>3404</v>
      </c>
      <c r="S155" s="20" t="s">
        <v>3410</v>
      </c>
      <c r="T155" s="20" t="s">
        <v>3411</v>
      </c>
      <c r="U155" s="20" t="s">
        <v>3412</v>
      </c>
      <c r="V155" s="20" t="s">
        <v>3413</v>
      </c>
    </row>
    <row r="156" s="20" customFormat="true" ht="23.85" hidden="false" customHeight="false" outlineLevel="0" collapsed="false">
      <c r="B156" s="20" t="s">
        <v>3415</v>
      </c>
      <c r="C156" s="20" t="s">
        <v>3408</v>
      </c>
      <c r="F156" s="20" t="s">
        <v>1406</v>
      </c>
      <c r="I156" s="20" t="s">
        <v>2133</v>
      </c>
      <c r="K156" s="20" t="s">
        <v>931</v>
      </c>
      <c r="L156" s="20" t="s">
        <v>3409</v>
      </c>
      <c r="M156" s="20" t="n">
        <v>0</v>
      </c>
      <c r="O156" s="20" t="s">
        <v>2953</v>
      </c>
      <c r="P156" s="20" t="s">
        <v>3402</v>
      </c>
      <c r="Q156" s="20" t="s">
        <v>3403</v>
      </c>
      <c r="R156" s="20" t="s">
        <v>3404</v>
      </c>
      <c r="S156" s="20" t="s">
        <v>3410</v>
      </c>
      <c r="T156" s="20" t="s">
        <v>3411</v>
      </c>
      <c r="U156" s="20" t="s">
        <v>3412</v>
      </c>
      <c r="V156" s="20" t="s">
        <v>3413</v>
      </c>
    </row>
    <row r="157" s="20" customFormat="true" ht="23.85" hidden="false" customHeight="false" outlineLevel="0" collapsed="false">
      <c r="B157" s="20" t="s">
        <v>3416</v>
      </c>
      <c r="C157" s="20" t="s">
        <v>3417</v>
      </c>
      <c r="I157" s="20" t="s">
        <v>2959</v>
      </c>
      <c r="K157" s="20" t="s">
        <v>933</v>
      </c>
      <c r="L157" s="20" t="s">
        <v>2998</v>
      </c>
      <c r="M157" s="20" t="b">
        <f aca="false">FALSE()</f>
        <v>0</v>
      </c>
      <c r="P157" s="20" t="s">
        <v>2999</v>
      </c>
      <c r="Q157" s="20" t="s">
        <v>3000</v>
      </c>
    </row>
    <row r="158" s="20" customFormat="true" ht="23.85" hidden="false" customHeight="false" outlineLevel="0" collapsed="false">
      <c r="B158" s="20" t="s">
        <v>3418</v>
      </c>
      <c r="C158" s="20" t="s">
        <v>3417</v>
      </c>
      <c r="I158" s="20" t="s">
        <v>2959</v>
      </c>
      <c r="K158" s="20" t="s">
        <v>933</v>
      </c>
      <c r="L158" s="20" t="s">
        <v>2998</v>
      </c>
      <c r="M158" s="20" t="b">
        <f aca="false">FALSE()</f>
        <v>0</v>
      </c>
      <c r="P158" s="20" t="s">
        <v>2999</v>
      </c>
      <c r="Q158" s="20" t="s">
        <v>3000</v>
      </c>
    </row>
    <row r="159" s="20" customFormat="true" ht="23.85" hidden="false" customHeight="false" outlineLevel="0" collapsed="false">
      <c r="B159" s="20" t="s">
        <v>3419</v>
      </c>
      <c r="C159" s="20" t="s">
        <v>3417</v>
      </c>
      <c r="I159" s="20" t="s">
        <v>2959</v>
      </c>
      <c r="K159" s="20" t="s">
        <v>933</v>
      </c>
      <c r="L159" s="20" t="s">
        <v>2998</v>
      </c>
      <c r="M159" s="20" t="b">
        <f aca="false">FALSE()</f>
        <v>0</v>
      </c>
      <c r="P159" s="20" t="s">
        <v>2999</v>
      </c>
      <c r="Q159" s="20" t="s">
        <v>3000</v>
      </c>
    </row>
    <row r="160" s="20" customFormat="true" ht="23.85" hidden="false" customHeight="false" outlineLevel="0" collapsed="false">
      <c r="B160" s="20" t="s">
        <v>3420</v>
      </c>
      <c r="C160" s="20" t="s">
        <v>3421</v>
      </c>
      <c r="I160" s="20" t="s">
        <v>2959</v>
      </c>
      <c r="K160" s="20" t="s">
        <v>933</v>
      </c>
      <c r="L160" s="20" t="s">
        <v>2998</v>
      </c>
      <c r="M160" s="20" t="b">
        <f aca="false">FALSE()</f>
        <v>0</v>
      </c>
      <c r="P160" s="20" t="s">
        <v>2999</v>
      </c>
      <c r="Q160" s="20" t="s">
        <v>3000</v>
      </c>
    </row>
    <row r="161" s="20" customFormat="true" ht="23.85" hidden="false" customHeight="false" outlineLevel="0" collapsed="false">
      <c r="B161" s="20" t="s">
        <v>3422</v>
      </c>
      <c r="C161" s="20" t="s">
        <v>3421</v>
      </c>
      <c r="I161" s="20" t="s">
        <v>2959</v>
      </c>
      <c r="K161" s="20" t="s">
        <v>933</v>
      </c>
      <c r="L161" s="20" t="s">
        <v>2998</v>
      </c>
      <c r="M161" s="20" t="b">
        <f aca="false">FALSE()</f>
        <v>0</v>
      </c>
      <c r="P161" s="20" t="s">
        <v>2999</v>
      </c>
      <c r="Q161" s="20" t="s">
        <v>3000</v>
      </c>
    </row>
    <row r="162" s="20" customFormat="true" ht="23.85" hidden="false" customHeight="false" outlineLevel="0" collapsed="false">
      <c r="B162" s="20" t="s">
        <v>3423</v>
      </c>
      <c r="C162" s="20" t="s">
        <v>3421</v>
      </c>
      <c r="I162" s="20" t="s">
        <v>2959</v>
      </c>
      <c r="K162" s="20" t="s">
        <v>933</v>
      </c>
      <c r="L162" s="20" t="s">
        <v>2998</v>
      </c>
      <c r="M162" s="20" t="b">
        <f aca="false">FALSE()</f>
        <v>0</v>
      </c>
      <c r="P162" s="20" t="s">
        <v>2999</v>
      </c>
      <c r="Q162" s="20" t="s">
        <v>3000</v>
      </c>
    </row>
    <row r="163" s="20" customFormat="true" ht="46.25" hidden="false" customHeight="false" outlineLevel="0" collapsed="false">
      <c r="B163" s="20" t="s">
        <v>3424</v>
      </c>
      <c r="C163" s="20" t="s">
        <v>3425</v>
      </c>
      <c r="E163" s="20" t="s">
        <v>3426</v>
      </c>
      <c r="F163" s="20" t="s">
        <v>1004</v>
      </c>
      <c r="I163" s="20" t="s">
        <v>2133</v>
      </c>
      <c r="K163" s="20" t="s">
        <v>931</v>
      </c>
      <c r="L163" s="20" t="s">
        <v>3367</v>
      </c>
      <c r="M163" s="20" t="n">
        <v>0</v>
      </c>
      <c r="O163" s="20" t="s">
        <v>2953</v>
      </c>
      <c r="P163" s="20" t="s">
        <v>3427</v>
      </c>
      <c r="Q163" s="20" t="s">
        <v>3428</v>
      </c>
      <c r="R163" s="155" t="s">
        <v>3429</v>
      </c>
      <c r="S163" s="155" t="s">
        <v>3430</v>
      </c>
      <c r="T163" s="155" t="s">
        <v>3431</v>
      </c>
    </row>
    <row r="164" s="20" customFormat="true" ht="46.25" hidden="false" customHeight="false" outlineLevel="0" collapsed="false">
      <c r="B164" s="20" t="s">
        <v>3432</v>
      </c>
      <c r="C164" s="20" t="s">
        <v>3425</v>
      </c>
      <c r="E164" s="20" t="s">
        <v>3426</v>
      </c>
      <c r="F164" s="20" t="s">
        <v>1004</v>
      </c>
      <c r="I164" s="20" t="s">
        <v>2133</v>
      </c>
      <c r="K164" s="20" t="s">
        <v>931</v>
      </c>
      <c r="L164" s="20" t="s">
        <v>3367</v>
      </c>
      <c r="M164" s="20" t="n">
        <v>0</v>
      </c>
      <c r="O164" s="20" t="s">
        <v>2953</v>
      </c>
      <c r="P164" s="20" t="s">
        <v>3427</v>
      </c>
      <c r="Q164" s="20" t="s">
        <v>3428</v>
      </c>
      <c r="R164" s="155" t="s">
        <v>3429</v>
      </c>
      <c r="S164" s="155" t="s">
        <v>3430</v>
      </c>
      <c r="T164" s="155" t="s">
        <v>3431</v>
      </c>
    </row>
    <row r="165" s="20" customFormat="true" ht="46.25" hidden="false" customHeight="false" outlineLevel="0" collapsed="false">
      <c r="B165" s="20" t="s">
        <v>3433</v>
      </c>
      <c r="C165" s="20" t="s">
        <v>3425</v>
      </c>
      <c r="E165" s="20" t="s">
        <v>3426</v>
      </c>
      <c r="F165" s="20" t="s">
        <v>1004</v>
      </c>
      <c r="I165" s="20" t="s">
        <v>2133</v>
      </c>
      <c r="K165" s="20" t="s">
        <v>931</v>
      </c>
      <c r="L165" s="20" t="s">
        <v>3367</v>
      </c>
      <c r="M165" s="20" t="n">
        <v>0</v>
      </c>
      <c r="O165" s="20" t="s">
        <v>2953</v>
      </c>
      <c r="P165" s="20" t="s">
        <v>3427</v>
      </c>
      <c r="Q165" s="20" t="s">
        <v>3428</v>
      </c>
      <c r="R165" s="155" t="s">
        <v>3429</v>
      </c>
      <c r="S165" s="155" t="s">
        <v>3430</v>
      </c>
      <c r="T165" s="155" t="s">
        <v>3431</v>
      </c>
    </row>
    <row r="166" s="20" customFormat="true" ht="23.85" hidden="false" customHeight="false" outlineLevel="0" collapsed="false">
      <c r="B166" s="20" t="s">
        <v>3434</v>
      </c>
      <c r="C166" s="20" t="s">
        <v>3435</v>
      </c>
      <c r="I166" s="20" t="s">
        <v>2959</v>
      </c>
      <c r="K166" s="20" t="s">
        <v>933</v>
      </c>
      <c r="L166" s="20" t="s">
        <v>2998</v>
      </c>
      <c r="M166" s="20" t="b">
        <f aca="false">FALSE()</f>
        <v>0</v>
      </c>
      <c r="P166" s="20" t="s">
        <v>2999</v>
      </c>
      <c r="Q166" s="20" t="s">
        <v>3000</v>
      </c>
      <c r="R166" s="155"/>
      <c r="S166" s="155"/>
      <c r="T166" s="155"/>
    </row>
    <row r="167" s="20" customFormat="true" ht="23.85" hidden="false" customHeight="false" outlineLevel="0" collapsed="false">
      <c r="B167" s="20" t="s">
        <v>3436</v>
      </c>
      <c r="C167" s="20" t="s">
        <v>3435</v>
      </c>
      <c r="I167" s="20" t="s">
        <v>2959</v>
      </c>
      <c r="K167" s="20" t="s">
        <v>933</v>
      </c>
      <c r="L167" s="20" t="s">
        <v>2998</v>
      </c>
      <c r="M167" s="20" t="b">
        <f aca="false">FALSE()</f>
        <v>0</v>
      </c>
      <c r="P167" s="20" t="s">
        <v>2999</v>
      </c>
      <c r="Q167" s="20" t="s">
        <v>3000</v>
      </c>
      <c r="R167" s="155"/>
      <c r="S167" s="155"/>
      <c r="T167" s="155"/>
    </row>
    <row r="168" s="20" customFormat="true" ht="23.85" hidden="false" customHeight="false" outlineLevel="0" collapsed="false">
      <c r="B168" s="20" t="s">
        <v>3437</v>
      </c>
      <c r="C168" s="20" t="s">
        <v>3435</v>
      </c>
      <c r="I168" s="20" t="s">
        <v>2959</v>
      </c>
      <c r="K168" s="20" t="s">
        <v>933</v>
      </c>
      <c r="L168" s="20" t="s">
        <v>2998</v>
      </c>
      <c r="M168" s="20" t="b">
        <f aca="false">FALSE()</f>
        <v>0</v>
      </c>
      <c r="P168" s="20" t="s">
        <v>2999</v>
      </c>
      <c r="Q168" s="20" t="s">
        <v>3000</v>
      </c>
      <c r="R168" s="155"/>
      <c r="S168" s="155"/>
      <c r="T168" s="155"/>
    </row>
    <row r="169" s="20" customFormat="true" ht="23.85" hidden="false" customHeight="false" outlineLevel="0" collapsed="false">
      <c r="B169" s="20" t="s">
        <v>3438</v>
      </c>
      <c r="C169" s="20" t="s">
        <v>3439</v>
      </c>
      <c r="I169" s="20" t="s">
        <v>2959</v>
      </c>
      <c r="K169" s="20" t="s">
        <v>933</v>
      </c>
      <c r="L169" s="20" t="s">
        <v>2998</v>
      </c>
      <c r="M169" s="20" t="b">
        <f aca="false">FALSE()</f>
        <v>0</v>
      </c>
      <c r="P169" s="20" t="s">
        <v>2999</v>
      </c>
      <c r="Q169" s="20" t="s">
        <v>3000</v>
      </c>
      <c r="R169" s="155"/>
      <c r="S169" s="155"/>
      <c r="T169" s="155"/>
    </row>
    <row r="170" s="20" customFormat="true" ht="23.85" hidden="false" customHeight="false" outlineLevel="0" collapsed="false">
      <c r="B170" s="20" t="s">
        <v>3440</v>
      </c>
      <c r="C170" s="20" t="s">
        <v>3439</v>
      </c>
      <c r="I170" s="20" t="s">
        <v>2959</v>
      </c>
      <c r="K170" s="20" t="s">
        <v>933</v>
      </c>
      <c r="L170" s="20" t="s">
        <v>2998</v>
      </c>
      <c r="M170" s="20" t="b">
        <f aca="false">FALSE()</f>
        <v>0</v>
      </c>
      <c r="P170" s="20" t="s">
        <v>2999</v>
      </c>
      <c r="Q170" s="20" t="s">
        <v>3000</v>
      </c>
      <c r="R170" s="155"/>
      <c r="S170" s="155"/>
      <c r="T170" s="155"/>
    </row>
    <row r="171" s="20" customFormat="true" ht="23.85" hidden="false" customHeight="false" outlineLevel="0" collapsed="false">
      <c r="B171" s="20" t="s">
        <v>3441</v>
      </c>
      <c r="C171" s="20" t="s">
        <v>3439</v>
      </c>
      <c r="I171" s="20" t="s">
        <v>2959</v>
      </c>
      <c r="K171" s="20" t="s">
        <v>933</v>
      </c>
      <c r="L171" s="20" t="s">
        <v>2998</v>
      </c>
      <c r="M171" s="20" t="b">
        <f aca="false">FALSE()</f>
        <v>0</v>
      </c>
      <c r="P171" s="20" t="s">
        <v>2999</v>
      </c>
      <c r="Q171" s="20" t="s">
        <v>3000</v>
      </c>
      <c r="R171" s="155"/>
      <c r="S171" s="155"/>
      <c r="T171" s="155"/>
    </row>
    <row r="172" s="20" customFormat="true" ht="23.85" hidden="false" customHeight="false" outlineLevel="0" collapsed="false">
      <c r="B172" s="20" t="s">
        <v>3442</v>
      </c>
      <c r="C172" s="20" t="s">
        <v>3443</v>
      </c>
      <c r="E172" s="20" t="s">
        <v>3444</v>
      </c>
      <c r="I172" s="20" t="s">
        <v>2133</v>
      </c>
      <c r="K172" s="20" t="s">
        <v>931</v>
      </c>
      <c r="L172" s="20" t="s">
        <v>3019</v>
      </c>
      <c r="M172" s="20" t="n">
        <v>0</v>
      </c>
      <c r="O172" s="20" t="s">
        <v>2953</v>
      </c>
      <c r="P172" s="20" t="s">
        <v>3445</v>
      </c>
      <c r="Q172" s="20" t="s">
        <v>3446</v>
      </c>
      <c r="R172" s="20" t="s">
        <v>3447</v>
      </c>
      <c r="S172" s="20" t="s">
        <v>3448</v>
      </c>
      <c r="T172" s="20" t="s">
        <v>3449</v>
      </c>
    </row>
    <row r="173" s="20" customFormat="true" ht="23.85" hidden="false" customHeight="false" outlineLevel="0" collapsed="false">
      <c r="B173" s="20" t="s">
        <v>3450</v>
      </c>
      <c r="C173" s="20" t="s">
        <v>3451</v>
      </c>
      <c r="I173" s="20" t="s">
        <v>2133</v>
      </c>
      <c r="K173" s="20" t="s">
        <v>931</v>
      </c>
      <c r="L173" s="20" t="s">
        <v>3019</v>
      </c>
      <c r="M173" s="20" t="n">
        <v>0</v>
      </c>
      <c r="O173" s="20" t="s">
        <v>2953</v>
      </c>
      <c r="P173" s="20" t="s">
        <v>3452</v>
      </c>
      <c r="Q173" s="20" t="s">
        <v>3453</v>
      </c>
      <c r="R173" s="155" t="s">
        <v>3454</v>
      </c>
      <c r="S173" s="155" t="s">
        <v>3455</v>
      </c>
      <c r="T173" s="155" t="s">
        <v>3456</v>
      </c>
    </row>
    <row r="174" s="20" customFormat="true" ht="23.85" hidden="false" customHeight="false" outlineLevel="0" collapsed="false">
      <c r="B174" s="20" t="s">
        <v>3457</v>
      </c>
      <c r="C174" s="20" t="s">
        <v>3451</v>
      </c>
      <c r="I174" s="20" t="s">
        <v>2133</v>
      </c>
      <c r="K174" s="20" t="s">
        <v>931</v>
      </c>
      <c r="L174" s="20" t="s">
        <v>3019</v>
      </c>
      <c r="M174" s="20" t="n">
        <v>0</v>
      </c>
      <c r="O174" s="20" t="s">
        <v>2953</v>
      </c>
      <c r="P174" s="20" t="s">
        <v>3452</v>
      </c>
      <c r="Q174" s="20" t="s">
        <v>3453</v>
      </c>
      <c r="R174" s="155" t="s">
        <v>3454</v>
      </c>
      <c r="S174" s="155" t="s">
        <v>3455</v>
      </c>
      <c r="T174" s="155" t="s">
        <v>3456</v>
      </c>
    </row>
    <row r="175" s="20" customFormat="true" ht="23.85" hidden="false" customHeight="false" outlineLevel="0" collapsed="false">
      <c r="B175" s="20" t="s">
        <v>3458</v>
      </c>
      <c r="C175" s="20" t="s">
        <v>3451</v>
      </c>
      <c r="I175" s="20" t="s">
        <v>2133</v>
      </c>
      <c r="K175" s="20" t="s">
        <v>931</v>
      </c>
      <c r="L175" s="20" t="s">
        <v>3019</v>
      </c>
      <c r="M175" s="20" t="n">
        <v>0</v>
      </c>
      <c r="O175" s="20" t="s">
        <v>2953</v>
      </c>
      <c r="P175" s="20" t="s">
        <v>3452</v>
      </c>
      <c r="Q175" s="20" t="s">
        <v>3453</v>
      </c>
      <c r="R175" s="155" t="s">
        <v>3454</v>
      </c>
      <c r="S175" s="155" t="s">
        <v>3455</v>
      </c>
      <c r="T175" s="155" t="s">
        <v>3456</v>
      </c>
    </row>
    <row r="176" s="20" customFormat="true" ht="23.85" hidden="false" customHeight="false" outlineLevel="0" collapsed="false">
      <c r="B176" s="20" t="s">
        <v>3459</v>
      </c>
      <c r="C176" s="20" t="s">
        <v>3460</v>
      </c>
      <c r="I176" s="20" t="s">
        <v>2959</v>
      </c>
      <c r="K176" s="20" t="s">
        <v>933</v>
      </c>
      <c r="L176" s="20" t="s">
        <v>2998</v>
      </c>
      <c r="M176" s="20" t="b">
        <f aca="false">FALSE()</f>
        <v>0</v>
      </c>
      <c r="P176" s="20" t="s">
        <v>2999</v>
      </c>
      <c r="Q176" s="20" t="s">
        <v>3000</v>
      </c>
      <c r="R176" s="155"/>
      <c r="S176" s="155"/>
      <c r="T176" s="155"/>
    </row>
    <row r="177" s="20" customFormat="true" ht="23.85" hidden="false" customHeight="false" outlineLevel="0" collapsed="false">
      <c r="B177" s="20" t="s">
        <v>3461</v>
      </c>
      <c r="C177" s="20" t="s">
        <v>3460</v>
      </c>
      <c r="I177" s="20" t="s">
        <v>2959</v>
      </c>
      <c r="K177" s="20" t="s">
        <v>933</v>
      </c>
      <c r="L177" s="20" t="s">
        <v>2998</v>
      </c>
      <c r="M177" s="20" t="b">
        <f aca="false">FALSE()</f>
        <v>0</v>
      </c>
      <c r="P177" s="20" t="s">
        <v>2999</v>
      </c>
      <c r="Q177" s="20" t="s">
        <v>3000</v>
      </c>
      <c r="R177" s="155"/>
      <c r="S177" s="155"/>
      <c r="T177" s="155"/>
    </row>
    <row r="178" s="20" customFormat="true" ht="23.85" hidden="false" customHeight="false" outlineLevel="0" collapsed="false">
      <c r="B178" s="20" t="s">
        <v>3462</v>
      </c>
      <c r="C178" s="20" t="s">
        <v>3460</v>
      </c>
      <c r="I178" s="20" t="s">
        <v>2959</v>
      </c>
      <c r="K178" s="20" t="s">
        <v>933</v>
      </c>
      <c r="L178" s="20" t="s">
        <v>2998</v>
      </c>
      <c r="M178" s="20" t="b">
        <f aca="false">FALSE()</f>
        <v>0</v>
      </c>
      <c r="P178" s="20" t="s">
        <v>2999</v>
      </c>
      <c r="Q178" s="20" t="s">
        <v>3000</v>
      </c>
      <c r="R178" s="155"/>
      <c r="S178" s="155"/>
      <c r="T178" s="155"/>
    </row>
    <row r="179" s="20" customFormat="true" ht="23.85" hidden="false" customHeight="false" outlineLevel="0" collapsed="false">
      <c r="B179" s="20" t="s">
        <v>3463</v>
      </c>
      <c r="C179" s="20" t="s">
        <v>3464</v>
      </c>
      <c r="E179" s="20" t="s">
        <v>3465</v>
      </c>
      <c r="I179" s="20" t="s">
        <v>2133</v>
      </c>
      <c r="K179" s="20" t="s">
        <v>931</v>
      </c>
      <c r="L179" s="20" t="s">
        <v>3040</v>
      </c>
      <c r="M179" s="20" t="n">
        <v>0</v>
      </c>
      <c r="O179" s="20" t="s">
        <v>2953</v>
      </c>
      <c r="P179" s="20" t="s">
        <v>3466</v>
      </c>
      <c r="Q179" s="20" t="s">
        <v>3467</v>
      </c>
      <c r="R179" s="20" t="s">
        <v>3468</v>
      </c>
    </row>
    <row r="180" s="20" customFormat="true" ht="23.85" hidden="false" customHeight="false" outlineLevel="0" collapsed="false">
      <c r="B180" s="20" t="s">
        <v>3469</v>
      </c>
      <c r="C180" s="20" t="s">
        <v>3464</v>
      </c>
      <c r="I180" s="20" t="s">
        <v>2133</v>
      </c>
      <c r="K180" s="20" t="s">
        <v>931</v>
      </c>
      <c r="L180" s="20" t="s">
        <v>3040</v>
      </c>
      <c r="M180" s="20" t="n">
        <v>0</v>
      </c>
      <c r="O180" s="20" t="s">
        <v>2953</v>
      </c>
      <c r="P180" s="20" t="s">
        <v>3466</v>
      </c>
      <c r="Q180" s="20" t="s">
        <v>3467</v>
      </c>
      <c r="R180" s="20" t="s">
        <v>3468</v>
      </c>
    </row>
    <row r="181" s="148" customFormat="true" ht="23.85" hidden="false" customHeight="false" outlineLevel="0" collapsed="false">
      <c r="B181" s="148" t="s">
        <v>3470</v>
      </c>
      <c r="C181" s="148" t="s">
        <v>3464</v>
      </c>
      <c r="I181" s="148" t="s">
        <v>2133</v>
      </c>
      <c r="K181" s="148" t="s">
        <v>931</v>
      </c>
      <c r="L181" s="148" t="s">
        <v>3040</v>
      </c>
      <c r="M181" s="148" t="n">
        <v>0</v>
      </c>
      <c r="O181" s="148" t="s">
        <v>2953</v>
      </c>
      <c r="P181" s="148" t="s">
        <v>3466</v>
      </c>
      <c r="Q181" s="148" t="s">
        <v>3467</v>
      </c>
      <c r="R181" s="148" t="s">
        <v>3468</v>
      </c>
    </row>
    <row r="182" s="20" customFormat="true" ht="23.85" hidden="false" customHeight="false" outlineLevel="0" collapsed="false">
      <c r="A182" s="20" t="s">
        <v>82</v>
      </c>
      <c r="B182" s="20" t="s">
        <v>3471</v>
      </c>
      <c r="C182" s="20" t="s">
        <v>3472</v>
      </c>
      <c r="E182" s="20" t="s">
        <v>1937</v>
      </c>
      <c r="F182" s="20" t="s">
        <v>3473</v>
      </c>
      <c r="I182" s="20" t="s">
        <v>2934</v>
      </c>
      <c r="J182" s="20" t="s">
        <v>2935</v>
      </c>
      <c r="K182" s="20" t="s">
        <v>931</v>
      </c>
      <c r="M182" s="20" t="n">
        <v>-1</v>
      </c>
    </row>
    <row r="183" s="20" customFormat="true" ht="23.85" hidden="false" customHeight="false" outlineLevel="0" collapsed="false">
      <c r="B183" s="20" t="s">
        <v>3474</v>
      </c>
      <c r="C183" s="20" t="s">
        <v>3472</v>
      </c>
      <c r="E183" s="20" t="s">
        <v>1938</v>
      </c>
      <c r="F183" s="20" t="s">
        <v>3473</v>
      </c>
      <c r="I183" s="20" t="s">
        <v>2934</v>
      </c>
      <c r="J183" s="20" t="s">
        <v>2935</v>
      </c>
      <c r="K183" s="20" t="s">
        <v>931</v>
      </c>
      <c r="M183" s="20" t="n">
        <v>-1</v>
      </c>
    </row>
    <row r="184" s="20" customFormat="true" ht="23.85" hidden="false" customHeight="false" outlineLevel="0" collapsed="false">
      <c r="B184" s="20" t="s">
        <v>3475</v>
      </c>
      <c r="C184" s="20" t="s">
        <v>3476</v>
      </c>
      <c r="E184" s="20" t="s">
        <v>1937</v>
      </c>
      <c r="I184" s="20" t="s">
        <v>2959</v>
      </c>
      <c r="K184" s="20" t="s">
        <v>3282</v>
      </c>
      <c r="L184" s="20" t="s">
        <v>2998</v>
      </c>
      <c r="M184" s="20" t="b">
        <f aca="false">FALSE()</f>
        <v>0</v>
      </c>
      <c r="P184" s="20" t="s">
        <v>3477</v>
      </c>
      <c r="Q184" s="20" t="s">
        <v>3478</v>
      </c>
    </row>
    <row r="185" s="20" customFormat="true" ht="23.85" hidden="false" customHeight="false" outlineLevel="0" collapsed="false">
      <c r="B185" s="20" t="s">
        <v>3479</v>
      </c>
      <c r="C185" s="20" t="s">
        <v>3476</v>
      </c>
      <c r="E185" s="20" t="s">
        <v>1938</v>
      </c>
      <c r="I185" s="20" t="s">
        <v>2959</v>
      </c>
      <c r="K185" s="20" t="s">
        <v>3282</v>
      </c>
      <c r="L185" s="20" t="s">
        <v>2998</v>
      </c>
      <c r="M185" s="20" t="b">
        <f aca="false">FALSE()</f>
        <v>0</v>
      </c>
      <c r="P185" s="20" t="s">
        <v>3477</v>
      </c>
      <c r="Q185" s="20" t="s">
        <v>3478</v>
      </c>
    </row>
    <row r="186" s="20" customFormat="true" ht="23.85" hidden="false" customHeight="false" outlineLevel="0" collapsed="false">
      <c r="B186" s="20" t="s">
        <v>3480</v>
      </c>
      <c r="C186" s="20" t="s">
        <v>3481</v>
      </c>
      <c r="E186" s="20" t="s">
        <v>1937</v>
      </c>
      <c r="I186" s="20" t="s">
        <v>2133</v>
      </c>
      <c r="K186" s="20" t="s">
        <v>931</v>
      </c>
      <c r="L186" s="20" t="s">
        <v>3019</v>
      </c>
      <c r="M186" s="20" t="n">
        <v>0</v>
      </c>
      <c r="O186" s="20" t="s">
        <v>2953</v>
      </c>
      <c r="P186" s="20" t="s">
        <v>3482</v>
      </c>
      <c r="Q186" s="20" t="s">
        <v>3483</v>
      </c>
      <c r="R186" s="20" t="s">
        <v>3484</v>
      </c>
      <c r="S186" s="20" t="s">
        <v>3485</v>
      </c>
      <c r="T186" s="20" t="s">
        <v>3486</v>
      </c>
    </row>
    <row r="187" s="20" customFormat="true" ht="23.85" hidden="false" customHeight="false" outlineLevel="0" collapsed="false">
      <c r="B187" s="20" t="s">
        <v>3487</v>
      </c>
      <c r="C187" s="20" t="s">
        <v>3481</v>
      </c>
      <c r="E187" s="20" t="s">
        <v>1938</v>
      </c>
      <c r="I187" s="20" t="s">
        <v>2133</v>
      </c>
      <c r="K187" s="20" t="s">
        <v>931</v>
      </c>
      <c r="L187" s="20" t="s">
        <v>3019</v>
      </c>
      <c r="M187" s="20" t="n">
        <v>0</v>
      </c>
      <c r="O187" s="20" t="s">
        <v>2953</v>
      </c>
      <c r="P187" s="20" t="s">
        <v>3482</v>
      </c>
      <c r="Q187" s="20" t="s">
        <v>3483</v>
      </c>
      <c r="R187" s="20" t="s">
        <v>3484</v>
      </c>
      <c r="S187" s="20" t="s">
        <v>3485</v>
      </c>
      <c r="T187" s="20" t="s">
        <v>3486</v>
      </c>
    </row>
    <row r="188" s="20" customFormat="true" ht="23.85" hidden="false" customHeight="false" outlineLevel="0" collapsed="false">
      <c r="B188" s="20" t="s">
        <v>3488</v>
      </c>
      <c r="C188" s="20" t="s">
        <v>3489</v>
      </c>
      <c r="E188" s="20" t="s">
        <v>1937</v>
      </c>
      <c r="I188" s="20" t="s">
        <v>2959</v>
      </c>
      <c r="K188" s="20" t="s">
        <v>3282</v>
      </c>
      <c r="L188" s="20" t="s">
        <v>2998</v>
      </c>
      <c r="M188" s="20" t="b">
        <f aca="false">FALSE()</f>
        <v>0</v>
      </c>
      <c r="P188" s="20" t="s">
        <v>2999</v>
      </c>
      <c r="Q188" s="20" t="s">
        <v>3000</v>
      </c>
    </row>
    <row r="189" s="20" customFormat="true" ht="23.85" hidden="false" customHeight="false" outlineLevel="0" collapsed="false">
      <c r="B189" s="20" t="s">
        <v>3490</v>
      </c>
      <c r="C189" s="20" t="s">
        <v>3489</v>
      </c>
      <c r="E189" s="20" t="s">
        <v>1938</v>
      </c>
      <c r="I189" s="20" t="s">
        <v>2959</v>
      </c>
      <c r="K189" s="20" t="s">
        <v>3282</v>
      </c>
      <c r="L189" s="20" t="s">
        <v>2998</v>
      </c>
      <c r="M189" s="20" t="b">
        <f aca="false">FALSE()</f>
        <v>0</v>
      </c>
      <c r="P189" s="20" t="s">
        <v>2999</v>
      </c>
      <c r="Q189" s="20" t="s">
        <v>3000</v>
      </c>
    </row>
    <row r="190" s="20" customFormat="true" ht="23.85" hidden="false" customHeight="false" outlineLevel="0" collapsed="false">
      <c r="B190" s="20" t="s">
        <v>3491</v>
      </c>
      <c r="C190" s="20" t="s">
        <v>3492</v>
      </c>
      <c r="E190" s="20" t="s">
        <v>1937</v>
      </c>
      <c r="I190" s="20" t="s">
        <v>2133</v>
      </c>
      <c r="K190" s="20" t="s">
        <v>931</v>
      </c>
      <c r="L190" s="20" t="s">
        <v>3027</v>
      </c>
      <c r="M190" s="20" t="n">
        <v>0</v>
      </c>
      <c r="O190" s="20" t="s">
        <v>2953</v>
      </c>
      <c r="P190" s="20" t="s">
        <v>3493</v>
      </c>
      <c r="Q190" s="20" t="s">
        <v>3494</v>
      </c>
      <c r="R190" s="20" t="s">
        <v>3495</v>
      </c>
      <c r="S190" s="20" t="s">
        <v>3448</v>
      </c>
    </row>
    <row r="191" s="20" customFormat="true" ht="23.85" hidden="false" customHeight="false" outlineLevel="0" collapsed="false">
      <c r="B191" s="20" t="s">
        <v>3496</v>
      </c>
      <c r="C191" s="20" t="s">
        <v>3492</v>
      </c>
      <c r="E191" s="20" t="s">
        <v>1938</v>
      </c>
      <c r="I191" s="20" t="s">
        <v>2133</v>
      </c>
      <c r="J191" s="20" t="s">
        <v>3497</v>
      </c>
      <c r="K191" s="20" t="s">
        <v>931</v>
      </c>
      <c r="L191" s="20" t="s">
        <v>3027</v>
      </c>
      <c r="M191" s="20" t="n">
        <v>0</v>
      </c>
      <c r="O191" s="20" t="s">
        <v>2953</v>
      </c>
      <c r="P191" s="20" t="s">
        <v>3493</v>
      </c>
      <c r="Q191" s="20" t="s">
        <v>3494</v>
      </c>
      <c r="R191" s="20" t="s">
        <v>3495</v>
      </c>
      <c r="S191" s="20" t="s">
        <v>3448</v>
      </c>
    </row>
    <row r="192" s="157" customFormat="true" ht="13.8" hidden="false" customHeight="false" outlineLevel="0" collapsed="false">
      <c r="A192" s="20"/>
      <c r="B192" s="157" t="s">
        <v>3225</v>
      </c>
      <c r="C192" s="157" t="s">
        <v>3498</v>
      </c>
    </row>
    <row r="193" s="157" customFormat="true" ht="13.8" hidden="false" customHeight="false" outlineLevel="0" collapsed="false">
      <c r="A193" s="20"/>
      <c r="B193" s="157" t="s">
        <v>3229</v>
      </c>
      <c r="C193" s="157" t="s">
        <v>3498</v>
      </c>
    </row>
    <row r="194" s="157" customFormat="true" ht="13.8" hidden="false" customHeight="false" outlineLevel="0" collapsed="false">
      <c r="A194" s="20"/>
      <c r="B194" s="157" t="s">
        <v>3231</v>
      </c>
      <c r="C194" s="157" t="s">
        <v>3499</v>
      </c>
    </row>
    <row r="195" s="158" customFormat="true" ht="13.8" hidden="false" customHeight="false" outlineLevel="0" collapsed="false">
      <c r="A195" s="148"/>
      <c r="B195" s="158" t="s">
        <v>3233</v>
      </c>
      <c r="C195" s="158" t="s">
        <v>3499</v>
      </c>
    </row>
    <row r="196" s="20" customFormat="true" ht="13.8" hidden="false" customHeight="false" outlineLevel="0" collapsed="false">
      <c r="A196" s="20" t="s">
        <v>77</v>
      </c>
      <c r="B196" s="20" t="s">
        <v>3500</v>
      </c>
      <c r="C196" s="20" t="s">
        <v>1737</v>
      </c>
      <c r="E196" s="20" t="s">
        <v>3501</v>
      </c>
      <c r="I196" s="20" t="s">
        <v>938</v>
      </c>
      <c r="K196" s="20" t="s">
        <v>932</v>
      </c>
    </row>
    <row r="197" s="20" customFormat="true" ht="13.8" hidden="false" customHeight="false" outlineLevel="0" collapsed="false">
      <c r="B197" s="20" t="s">
        <v>3502</v>
      </c>
      <c r="C197" s="20" t="s">
        <v>1737</v>
      </c>
      <c r="E197" s="20" t="s">
        <v>3503</v>
      </c>
      <c r="I197" s="20" t="s">
        <v>938</v>
      </c>
      <c r="K197" s="20" t="s">
        <v>932</v>
      </c>
    </row>
    <row r="198" s="20" customFormat="true" ht="13.8" hidden="false" customHeight="false" outlineLevel="0" collapsed="false">
      <c r="B198" s="20" t="s">
        <v>3504</v>
      </c>
      <c r="C198" s="20" t="s">
        <v>1737</v>
      </c>
      <c r="E198" s="20" t="s">
        <v>3505</v>
      </c>
      <c r="I198" s="20" t="s">
        <v>938</v>
      </c>
      <c r="K198" s="20" t="s">
        <v>932</v>
      </c>
    </row>
    <row r="199" s="20" customFormat="true" ht="13.8" hidden="false" customHeight="false" outlineLevel="0" collapsed="false">
      <c r="B199" s="20" t="s">
        <v>3506</v>
      </c>
      <c r="C199" s="20" t="s">
        <v>1737</v>
      </c>
      <c r="E199" s="20" t="s">
        <v>3507</v>
      </c>
      <c r="I199" s="20" t="s">
        <v>938</v>
      </c>
      <c r="K199" s="20" t="s">
        <v>932</v>
      </c>
    </row>
    <row r="200" s="20" customFormat="true" ht="13.8" hidden="false" customHeight="false" outlineLevel="0" collapsed="false">
      <c r="B200" s="20" t="s">
        <v>3508</v>
      </c>
      <c r="C200" s="20" t="s">
        <v>1737</v>
      </c>
      <c r="E200" s="20" t="s">
        <v>3509</v>
      </c>
      <c r="I200" s="20" t="s">
        <v>938</v>
      </c>
      <c r="K200" s="20" t="s">
        <v>932</v>
      </c>
    </row>
    <row r="201" s="20" customFormat="true" ht="13.8" hidden="false" customHeight="false" outlineLevel="0" collapsed="false">
      <c r="B201" s="20" t="s">
        <v>3510</v>
      </c>
      <c r="C201" s="20" t="s">
        <v>1737</v>
      </c>
      <c r="E201" s="20" t="s">
        <v>3511</v>
      </c>
      <c r="I201" s="20" t="s">
        <v>938</v>
      </c>
      <c r="K201" s="20" t="s">
        <v>932</v>
      </c>
    </row>
    <row r="202" s="20" customFormat="true" ht="35.05" hidden="false" customHeight="false" outlineLevel="0" collapsed="false">
      <c r="B202" s="20" t="s">
        <v>3512</v>
      </c>
      <c r="C202" s="20" t="s">
        <v>1746</v>
      </c>
      <c r="I202" s="20" t="s">
        <v>2133</v>
      </c>
      <c r="K202" s="20" t="s">
        <v>931</v>
      </c>
      <c r="L202" s="20" t="s">
        <v>3104</v>
      </c>
      <c r="M202" s="20" t="n">
        <v>0</v>
      </c>
      <c r="O202" s="20" t="s">
        <v>2953</v>
      </c>
      <c r="P202" s="20" t="s">
        <v>3513</v>
      </c>
      <c r="Q202" s="20" t="s">
        <v>3514</v>
      </c>
      <c r="R202" s="20" t="s">
        <v>3515</v>
      </c>
      <c r="S202" s="20" t="s">
        <v>3516</v>
      </c>
      <c r="T202" s="20" t="s">
        <v>3517</v>
      </c>
      <c r="U202" s="20" t="s">
        <v>3518</v>
      </c>
      <c r="V202" s="20" t="s">
        <v>3519</v>
      </c>
    </row>
    <row r="203" s="20" customFormat="true" ht="35.05" hidden="false" customHeight="false" outlineLevel="0" collapsed="false">
      <c r="B203" s="20" t="s">
        <v>3520</v>
      </c>
      <c r="C203" s="20" t="s">
        <v>1746</v>
      </c>
      <c r="I203" s="20" t="s">
        <v>2133</v>
      </c>
      <c r="K203" s="20" t="s">
        <v>931</v>
      </c>
      <c r="L203" s="20" t="s">
        <v>3104</v>
      </c>
      <c r="M203" s="20" t="n">
        <v>0</v>
      </c>
      <c r="O203" s="20" t="s">
        <v>2953</v>
      </c>
      <c r="P203" s="20" t="s">
        <v>3513</v>
      </c>
      <c r="Q203" s="20" t="s">
        <v>3514</v>
      </c>
      <c r="R203" s="20" t="s">
        <v>3515</v>
      </c>
      <c r="S203" s="20" t="s">
        <v>3516</v>
      </c>
      <c r="T203" s="20" t="s">
        <v>3517</v>
      </c>
      <c r="U203" s="20" t="s">
        <v>3518</v>
      </c>
      <c r="V203" s="20" t="s">
        <v>3519</v>
      </c>
    </row>
    <row r="204" s="20" customFormat="true" ht="35.05" hidden="false" customHeight="false" outlineLevel="0" collapsed="false">
      <c r="B204" s="20" t="s">
        <v>3521</v>
      </c>
      <c r="C204" s="20" t="s">
        <v>1746</v>
      </c>
      <c r="I204" s="20" t="s">
        <v>2133</v>
      </c>
      <c r="K204" s="20" t="s">
        <v>931</v>
      </c>
      <c r="L204" s="20" t="s">
        <v>3104</v>
      </c>
      <c r="M204" s="20" t="n">
        <v>0</v>
      </c>
      <c r="O204" s="20" t="s">
        <v>2953</v>
      </c>
      <c r="P204" s="20" t="s">
        <v>3513</v>
      </c>
      <c r="Q204" s="20" t="s">
        <v>3514</v>
      </c>
      <c r="R204" s="20" t="s">
        <v>3515</v>
      </c>
      <c r="S204" s="20" t="s">
        <v>3516</v>
      </c>
      <c r="T204" s="20" t="s">
        <v>3517</v>
      </c>
      <c r="U204" s="20" t="s">
        <v>3518</v>
      </c>
      <c r="V204" s="20" t="s">
        <v>3519</v>
      </c>
    </row>
    <row r="205" s="20" customFormat="true" ht="35.05" hidden="false" customHeight="false" outlineLevel="0" collapsed="false">
      <c r="B205" s="20" t="s">
        <v>3522</v>
      </c>
      <c r="C205" s="20" t="s">
        <v>1746</v>
      </c>
      <c r="I205" s="20" t="s">
        <v>2133</v>
      </c>
      <c r="K205" s="20" t="s">
        <v>931</v>
      </c>
      <c r="L205" s="20" t="s">
        <v>3104</v>
      </c>
      <c r="M205" s="20" t="n">
        <v>0</v>
      </c>
      <c r="O205" s="20" t="s">
        <v>2953</v>
      </c>
      <c r="P205" s="20" t="s">
        <v>3513</v>
      </c>
      <c r="Q205" s="20" t="s">
        <v>3514</v>
      </c>
      <c r="R205" s="20" t="s">
        <v>3515</v>
      </c>
      <c r="S205" s="20" t="s">
        <v>3516</v>
      </c>
      <c r="T205" s="20" t="s">
        <v>3517</v>
      </c>
      <c r="U205" s="20" t="s">
        <v>3518</v>
      </c>
      <c r="V205" s="20" t="s">
        <v>3519</v>
      </c>
    </row>
    <row r="206" s="20" customFormat="true" ht="35.05" hidden="false" customHeight="false" outlineLevel="0" collapsed="false">
      <c r="B206" s="20" t="s">
        <v>3523</v>
      </c>
      <c r="C206" s="20" t="s">
        <v>1746</v>
      </c>
      <c r="I206" s="20" t="s">
        <v>2133</v>
      </c>
      <c r="K206" s="20" t="s">
        <v>931</v>
      </c>
      <c r="L206" s="20" t="s">
        <v>3104</v>
      </c>
      <c r="M206" s="20" t="n">
        <v>0</v>
      </c>
      <c r="O206" s="20" t="s">
        <v>2953</v>
      </c>
      <c r="P206" s="20" t="s">
        <v>3513</v>
      </c>
      <c r="Q206" s="20" t="s">
        <v>3514</v>
      </c>
      <c r="R206" s="20" t="s">
        <v>3515</v>
      </c>
      <c r="S206" s="20" t="s">
        <v>3516</v>
      </c>
      <c r="T206" s="20" t="s">
        <v>3517</v>
      </c>
      <c r="U206" s="20" t="s">
        <v>3518</v>
      </c>
      <c r="V206" s="20" t="s">
        <v>3519</v>
      </c>
    </row>
    <row r="207" s="20" customFormat="true" ht="35.05" hidden="false" customHeight="false" outlineLevel="0" collapsed="false">
      <c r="B207" s="20" t="s">
        <v>3524</v>
      </c>
      <c r="C207" s="20" t="s">
        <v>1746</v>
      </c>
      <c r="I207" s="20" t="s">
        <v>2133</v>
      </c>
      <c r="K207" s="20" t="s">
        <v>931</v>
      </c>
      <c r="L207" s="20" t="s">
        <v>3104</v>
      </c>
      <c r="M207" s="20" t="n">
        <v>0</v>
      </c>
      <c r="O207" s="20" t="s">
        <v>2953</v>
      </c>
      <c r="P207" s="20" t="s">
        <v>3513</v>
      </c>
      <c r="Q207" s="20" t="s">
        <v>3514</v>
      </c>
      <c r="R207" s="20" t="s">
        <v>3515</v>
      </c>
      <c r="S207" s="20" t="s">
        <v>3516</v>
      </c>
      <c r="T207" s="20" t="s">
        <v>3517</v>
      </c>
      <c r="U207" s="20" t="s">
        <v>3518</v>
      </c>
      <c r="V207" s="20" t="s">
        <v>3519</v>
      </c>
    </row>
    <row r="208" s="20" customFormat="true" ht="13.5" hidden="false" customHeight="false" outlineLevel="0" collapsed="false">
      <c r="B208" s="20" t="s">
        <v>3525</v>
      </c>
      <c r="C208" s="20" t="s">
        <v>2854</v>
      </c>
      <c r="F208" s="20" t="s">
        <v>1724</v>
      </c>
      <c r="I208" s="20" t="s">
        <v>2934</v>
      </c>
      <c r="J208" s="20" t="s">
        <v>2935</v>
      </c>
      <c r="K208" s="20" t="s">
        <v>931</v>
      </c>
      <c r="M208" s="20" t="n">
        <v>0</v>
      </c>
    </row>
    <row r="209" s="20" customFormat="true" ht="13.5" hidden="false" customHeight="false" outlineLevel="0" collapsed="false">
      <c r="B209" s="20" t="s">
        <v>3526</v>
      </c>
      <c r="C209" s="20" t="s">
        <v>2854</v>
      </c>
      <c r="F209" s="20" t="s">
        <v>1724</v>
      </c>
      <c r="I209" s="20" t="s">
        <v>2934</v>
      </c>
      <c r="J209" s="20" t="s">
        <v>2935</v>
      </c>
      <c r="K209" s="20" t="s">
        <v>931</v>
      </c>
      <c r="M209" s="20" t="n">
        <v>0</v>
      </c>
    </row>
    <row r="210" s="20" customFormat="true" ht="13.5" hidden="false" customHeight="false" outlineLevel="0" collapsed="false">
      <c r="B210" s="20" t="s">
        <v>3527</v>
      </c>
      <c r="C210" s="20" t="s">
        <v>2854</v>
      </c>
      <c r="F210" s="20" t="s">
        <v>1724</v>
      </c>
      <c r="I210" s="20" t="s">
        <v>2934</v>
      </c>
      <c r="J210" s="20" t="s">
        <v>2935</v>
      </c>
      <c r="K210" s="20" t="s">
        <v>931</v>
      </c>
      <c r="M210" s="20" t="n">
        <v>0</v>
      </c>
    </row>
    <row r="211" s="20" customFormat="true" ht="13.5" hidden="false" customHeight="false" outlineLevel="0" collapsed="false">
      <c r="B211" s="20" t="s">
        <v>3528</v>
      </c>
      <c r="C211" s="20" t="s">
        <v>2854</v>
      </c>
      <c r="F211" s="20" t="s">
        <v>1724</v>
      </c>
      <c r="I211" s="20" t="s">
        <v>2934</v>
      </c>
      <c r="J211" s="20" t="s">
        <v>2935</v>
      </c>
      <c r="K211" s="20" t="s">
        <v>931</v>
      </c>
      <c r="M211" s="20" t="n">
        <v>0</v>
      </c>
    </row>
    <row r="212" s="20" customFormat="true" ht="13.5" hidden="false" customHeight="false" outlineLevel="0" collapsed="false">
      <c r="B212" s="20" t="s">
        <v>3529</v>
      </c>
      <c r="C212" s="20" t="s">
        <v>2854</v>
      </c>
      <c r="F212" s="20" t="s">
        <v>1724</v>
      </c>
      <c r="I212" s="20" t="s">
        <v>2934</v>
      </c>
      <c r="J212" s="20" t="s">
        <v>2935</v>
      </c>
      <c r="K212" s="20" t="s">
        <v>931</v>
      </c>
      <c r="M212" s="20" t="n">
        <v>0</v>
      </c>
    </row>
    <row r="213" s="20" customFormat="true" ht="13.5" hidden="false" customHeight="false" outlineLevel="0" collapsed="false">
      <c r="B213" s="20" t="s">
        <v>3530</v>
      </c>
      <c r="C213" s="20" t="s">
        <v>2854</v>
      </c>
      <c r="F213" s="20" t="s">
        <v>1724</v>
      </c>
      <c r="I213" s="20" t="s">
        <v>2934</v>
      </c>
      <c r="J213" s="20" t="s">
        <v>2935</v>
      </c>
      <c r="K213" s="20" t="s">
        <v>931</v>
      </c>
      <c r="M213" s="20" t="n">
        <v>0</v>
      </c>
    </row>
    <row r="214" s="20" customFormat="true" ht="23.85" hidden="false" customHeight="false" outlineLevel="0" collapsed="false">
      <c r="B214" s="20" t="s">
        <v>3531</v>
      </c>
      <c r="C214" s="20" t="s">
        <v>3532</v>
      </c>
      <c r="E214" s="20" t="s">
        <v>3533</v>
      </c>
      <c r="F214" s="20" t="s">
        <v>1780</v>
      </c>
      <c r="I214" s="20" t="s">
        <v>2133</v>
      </c>
      <c r="K214" s="20" t="s">
        <v>931</v>
      </c>
      <c r="L214" s="20" t="s">
        <v>3191</v>
      </c>
      <c r="M214" s="20" t="n">
        <v>0</v>
      </c>
      <c r="O214" s="20" t="s">
        <v>2953</v>
      </c>
      <c r="P214" s="20" t="s">
        <v>1400</v>
      </c>
      <c r="Q214" s="20" t="s">
        <v>1401</v>
      </c>
      <c r="R214" s="20" t="s">
        <v>1297</v>
      </c>
      <c r="S214" s="20" t="s">
        <v>1402</v>
      </c>
      <c r="T214" s="20" t="s">
        <v>3534</v>
      </c>
      <c r="U214" s="20" t="s">
        <v>3535</v>
      </c>
    </row>
    <row r="215" s="20" customFormat="true" ht="23.85" hidden="false" customHeight="false" outlineLevel="0" collapsed="false">
      <c r="B215" s="20" t="s">
        <v>3536</v>
      </c>
      <c r="C215" s="20" t="s">
        <v>3532</v>
      </c>
      <c r="F215" s="20" t="s">
        <v>1780</v>
      </c>
      <c r="I215" s="20" t="s">
        <v>2133</v>
      </c>
      <c r="K215" s="20" t="s">
        <v>931</v>
      </c>
      <c r="L215" s="20" t="s">
        <v>3191</v>
      </c>
      <c r="M215" s="20" t="n">
        <v>0</v>
      </c>
      <c r="O215" s="20" t="s">
        <v>2953</v>
      </c>
      <c r="P215" s="20" t="s">
        <v>1400</v>
      </c>
      <c r="Q215" s="20" t="s">
        <v>1401</v>
      </c>
      <c r="R215" s="20" t="s">
        <v>1297</v>
      </c>
      <c r="S215" s="20" t="s">
        <v>1402</v>
      </c>
      <c r="T215" s="20" t="s">
        <v>3534</v>
      </c>
      <c r="U215" s="20" t="s">
        <v>3535</v>
      </c>
    </row>
    <row r="216" s="20" customFormat="true" ht="23.85" hidden="false" customHeight="false" outlineLevel="0" collapsed="false">
      <c r="B216" s="20" t="s">
        <v>3537</v>
      </c>
      <c r="C216" s="20" t="s">
        <v>3532</v>
      </c>
      <c r="F216" s="20" t="s">
        <v>1780</v>
      </c>
      <c r="I216" s="20" t="s">
        <v>2133</v>
      </c>
      <c r="K216" s="20" t="s">
        <v>931</v>
      </c>
      <c r="L216" s="20" t="s">
        <v>3191</v>
      </c>
      <c r="M216" s="20" t="n">
        <v>0</v>
      </c>
      <c r="O216" s="20" t="s">
        <v>2953</v>
      </c>
      <c r="P216" s="20" t="s">
        <v>1400</v>
      </c>
      <c r="Q216" s="20" t="s">
        <v>1401</v>
      </c>
      <c r="R216" s="20" t="s">
        <v>1297</v>
      </c>
      <c r="S216" s="20" t="s">
        <v>1402</v>
      </c>
      <c r="T216" s="20" t="s">
        <v>3534</v>
      </c>
      <c r="U216" s="20" t="s">
        <v>3535</v>
      </c>
    </row>
    <row r="217" s="20" customFormat="true" ht="23.85" hidden="false" customHeight="false" outlineLevel="0" collapsed="false">
      <c r="B217" s="20" t="s">
        <v>3538</v>
      </c>
      <c r="C217" s="20" t="s">
        <v>3532</v>
      </c>
      <c r="F217" s="20" t="s">
        <v>1780</v>
      </c>
      <c r="I217" s="20" t="s">
        <v>2133</v>
      </c>
      <c r="K217" s="20" t="s">
        <v>931</v>
      </c>
      <c r="L217" s="20" t="s">
        <v>3191</v>
      </c>
      <c r="M217" s="20" t="n">
        <v>0</v>
      </c>
      <c r="O217" s="20" t="s">
        <v>2953</v>
      </c>
      <c r="P217" s="20" t="s">
        <v>1400</v>
      </c>
      <c r="Q217" s="20" t="s">
        <v>1401</v>
      </c>
      <c r="R217" s="20" t="s">
        <v>1297</v>
      </c>
      <c r="S217" s="20" t="s">
        <v>1402</v>
      </c>
      <c r="T217" s="20" t="s">
        <v>3534</v>
      </c>
      <c r="U217" s="20" t="s">
        <v>3535</v>
      </c>
    </row>
    <row r="218" s="20" customFormat="true" ht="23.85" hidden="false" customHeight="false" outlineLevel="0" collapsed="false">
      <c r="B218" s="20" t="s">
        <v>3539</v>
      </c>
      <c r="C218" s="20" t="s">
        <v>3532</v>
      </c>
      <c r="F218" s="20" t="s">
        <v>1780</v>
      </c>
      <c r="I218" s="20" t="s">
        <v>2133</v>
      </c>
      <c r="K218" s="20" t="s">
        <v>931</v>
      </c>
      <c r="L218" s="20" t="s">
        <v>3191</v>
      </c>
      <c r="M218" s="20" t="n">
        <v>0</v>
      </c>
      <c r="O218" s="20" t="s">
        <v>2953</v>
      </c>
      <c r="P218" s="20" t="s">
        <v>1400</v>
      </c>
      <c r="Q218" s="20" t="s">
        <v>1401</v>
      </c>
      <c r="R218" s="20" t="s">
        <v>1297</v>
      </c>
      <c r="S218" s="20" t="s">
        <v>1402</v>
      </c>
      <c r="T218" s="20" t="s">
        <v>3534</v>
      </c>
      <c r="U218" s="20" t="s">
        <v>3535</v>
      </c>
    </row>
    <row r="219" s="148" customFormat="true" ht="23.85" hidden="false" customHeight="false" outlineLevel="0" collapsed="false">
      <c r="B219" s="148" t="s">
        <v>3540</v>
      </c>
      <c r="C219" s="148" t="s">
        <v>3532</v>
      </c>
      <c r="F219" s="148" t="s">
        <v>1780</v>
      </c>
      <c r="I219" s="148" t="s">
        <v>2133</v>
      </c>
      <c r="K219" s="148" t="s">
        <v>931</v>
      </c>
      <c r="L219" s="148" t="s">
        <v>3191</v>
      </c>
      <c r="M219" s="148" t="n">
        <v>0</v>
      </c>
      <c r="O219" s="148" t="s">
        <v>2953</v>
      </c>
      <c r="P219" s="148" t="s">
        <v>1400</v>
      </c>
      <c r="Q219" s="148" t="s">
        <v>1401</v>
      </c>
      <c r="R219" s="148" t="s">
        <v>1297</v>
      </c>
      <c r="S219" s="148" t="s">
        <v>1402</v>
      </c>
      <c r="T219" s="148" t="s">
        <v>3534</v>
      </c>
      <c r="U219" s="148" t="s">
        <v>3535</v>
      </c>
    </row>
    <row r="220" s="20" customFormat="true" ht="23.85" hidden="false" customHeight="false" outlineLevel="0" collapsed="false">
      <c r="A220" s="20" t="s">
        <v>410</v>
      </c>
      <c r="B220" s="20" t="s">
        <v>3130</v>
      </c>
      <c r="C220" s="20" t="s">
        <v>1296</v>
      </c>
      <c r="F220" s="20" t="s">
        <v>1780</v>
      </c>
      <c r="I220" s="20" t="s">
        <v>2133</v>
      </c>
      <c r="K220" s="20" t="s">
        <v>932</v>
      </c>
      <c r="L220" s="20" t="s">
        <v>3209</v>
      </c>
      <c r="M220" s="20" t="n">
        <v>-1</v>
      </c>
      <c r="N220" s="20" t="s">
        <v>2953</v>
      </c>
      <c r="P220" s="20" t="s">
        <v>3535</v>
      </c>
      <c r="Q220" s="20" t="s">
        <v>3541</v>
      </c>
      <c r="R220" s="20" t="s">
        <v>3542</v>
      </c>
      <c r="S220" s="20" t="s">
        <v>3543</v>
      </c>
      <c r="T220" s="20" t="s">
        <v>3195</v>
      </c>
      <c r="U220" s="20" t="s">
        <v>3544</v>
      </c>
      <c r="V220" s="20" t="s">
        <v>3545</v>
      </c>
    </row>
    <row r="221" s="20" customFormat="true" ht="35.05" hidden="false" customHeight="false" outlineLevel="0" collapsed="false">
      <c r="B221" s="20" t="s">
        <v>3546</v>
      </c>
      <c r="C221" s="20" t="s">
        <v>3547</v>
      </c>
      <c r="E221" s="20" t="str">
        <f aca="false">P221&amp;","&amp;Q221&amp;","&amp;R221&amp;","&amp;S221&amp;","&amp;T221</f>
        <v>1:電気温水器,2:エコキュート,3:ガス給湯器,4:ガス給湯器（エコジョーズ）,5：灯油ボイラー</v>
      </c>
      <c r="I221" s="20" t="s">
        <v>2133</v>
      </c>
      <c r="K221" s="20" t="s">
        <v>932</v>
      </c>
      <c r="L221" s="20" t="s">
        <v>3155</v>
      </c>
      <c r="M221" s="20" t="n">
        <v>0</v>
      </c>
      <c r="O221" s="20" t="s">
        <v>2953</v>
      </c>
      <c r="P221" s="20" t="s">
        <v>3548</v>
      </c>
      <c r="Q221" s="20" t="s">
        <v>3549</v>
      </c>
      <c r="R221" s="20" t="s">
        <v>3550</v>
      </c>
      <c r="S221" s="20" t="s">
        <v>3551</v>
      </c>
      <c r="T221" s="20" t="s">
        <v>3552</v>
      </c>
      <c r="U221" s="20" t="s">
        <v>3553</v>
      </c>
    </row>
    <row r="222" s="20" customFormat="true" ht="23.85" hidden="false" customHeight="false" outlineLevel="0" collapsed="false">
      <c r="B222" s="20" t="s">
        <v>3554</v>
      </c>
      <c r="C222" s="20" t="s">
        <v>3555</v>
      </c>
      <c r="I222" s="20" t="s">
        <v>2959</v>
      </c>
      <c r="K222" s="20" t="s">
        <v>933</v>
      </c>
      <c r="L222" s="20" t="s">
        <v>2998</v>
      </c>
      <c r="M222" s="20" t="b">
        <f aca="false">FALSE()</f>
        <v>0</v>
      </c>
      <c r="P222" s="20" t="s">
        <v>2999</v>
      </c>
      <c r="Q222" s="20" t="s">
        <v>3000</v>
      </c>
    </row>
    <row r="223" s="20" customFormat="true" ht="23.85" hidden="false" customHeight="false" outlineLevel="0" collapsed="false">
      <c r="B223" s="20" t="s">
        <v>3556</v>
      </c>
      <c r="C223" s="20" t="s">
        <v>1252</v>
      </c>
      <c r="I223" s="20" t="s">
        <v>2959</v>
      </c>
      <c r="K223" s="20" t="s">
        <v>933</v>
      </c>
      <c r="L223" s="20" t="s">
        <v>2998</v>
      </c>
      <c r="M223" s="20" t="b">
        <f aca="false">FALSE()</f>
        <v>0</v>
      </c>
      <c r="P223" s="20" t="s">
        <v>2999</v>
      </c>
      <c r="Q223" s="20" t="s">
        <v>3000</v>
      </c>
    </row>
    <row r="224" s="20" customFormat="true" ht="23.85" hidden="false" customHeight="false" outlineLevel="0" collapsed="false">
      <c r="B224" s="20" t="s">
        <v>3557</v>
      </c>
      <c r="C224" s="20" t="s">
        <v>1352</v>
      </c>
      <c r="I224" s="20" t="s">
        <v>2959</v>
      </c>
      <c r="K224" s="20" t="s">
        <v>933</v>
      </c>
      <c r="L224" s="20" t="s">
        <v>2998</v>
      </c>
      <c r="M224" s="20" t="b">
        <f aca="false">FALSE()</f>
        <v>0</v>
      </c>
      <c r="P224" s="20" t="s">
        <v>2999</v>
      </c>
      <c r="Q224" s="20" t="s">
        <v>3000</v>
      </c>
    </row>
    <row r="225" s="148" customFormat="true" ht="23.85" hidden="false" customHeight="false" outlineLevel="0" collapsed="false">
      <c r="B225" s="148" t="s">
        <v>3558</v>
      </c>
      <c r="C225" s="148" t="s">
        <v>3559</v>
      </c>
      <c r="I225" s="148" t="s">
        <v>2959</v>
      </c>
      <c r="K225" s="148" t="s">
        <v>933</v>
      </c>
      <c r="L225" s="148" t="s">
        <v>2998</v>
      </c>
      <c r="M225" s="153" t="b">
        <f aca="false">FALSE()</f>
        <v>0</v>
      </c>
      <c r="P225" s="148" t="s">
        <v>2999</v>
      </c>
      <c r="Q225" s="148" t="s">
        <v>3000</v>
      </c>
    </row>
    <row r="226" s="20" customFormat="true" ht="23.85" hidden="false" customHeight="false" outlineLevel="0" collapsed="false">
      <c r="A226" s="20" t="s">
        <v>394</v>
      </c>
      <c r="B226" s="20" t="s">
        <v>3560</v>
      </c>
      <c r="C226" s="20" t="s">
        <v>3561</v>
      </c>
      <c r="I226" s="20" t="s">
        <v>2959</v>
      </c>
      <c r="K226" s="20" t="s">
        <v>933</v>
      </c>
      <c r="L226" s="20" t="s">
        <v>2998</v>
      </c>
      <c r="M226" s="20" t="b">
        <f aca="false">FALSE()</f>
        <v>0</v>
      </c>
      <c r="P226" s="20" t="s">
        <v>2999</v>
      </c>
      <c r="Q226" s="20" t="s">
        <v>3000</v>
      </c>
    </row>
    <row r="227" s="20" customFormat="true" ht="23.85" hidden="false" customHeight="false" outlineLevel="0" collapsed="false">
      <c r="B227" s="20" t="s">
        <v>3562</v>
      </c>
      <c r="C227" s="20" t="s">
        <v>3563</v>
      </c>
      <c r="I227" s="20" t="s">
        <v>2959</v>
      </c>
      <c r="K227" s="20" t="s">
        <v>933</v>
      </c>
      <c r="L227" s="20" t="s">
        <v>2998</v>
      </c>
      <c r="M227" s="20" t="b">
        <f aca="false">FALSE()</f>
        <v>0</v>
      </c>
      <c r="P227" s="20" t="s">
        <v>2999</v>
      </c>
      <c r="Q227" s="20" t="s">
        <v>3000</v>
      </c>
    </row>
    <row r="228" s="20" customFormat="true" ht="23.85" hidden="false" customHeight="false" outlineLevel="0" collapsed="false">
      <c r="B228" s="20" t="s">
        <v>3564</v>
      </c>
      <c r="C228" s="20" t="s">
        <v>3565</v>
      </c>
      <c r="I228" s="20" t="s">
        <v>2959</v>
      </c>
      <c r="K228" s="20" t="s">
        <v>933</v>
      </c>
      <c r="L228" s="20" t="s">
        <v>2998</v>
      </c>
      <c r="M228" s="20" t="b">
        <f aca="false">FALSE()</f>
        <v>0</v>
      </c>
      <c r="P228" s="20" t="s">
        <v>2999</v>
      </c>
      <c r="Q228" s="20" t="s">
        <v>3000</v>
      </c>
    </row>
    <row r="229" s="148" customFormat="true" ht="23.85" hidden="false" customHeight="false" outlineLevel="0" collapsed="false">
      <c r="B229" s="148" t="s">
        <v>3566</v>
      </c>
      <c r="C229" s="148" t="s">
        <v>3567</v>
      </c>
      <c r="F229" s="148" t="s">
        <v>1272</v>
      </c>
      <c r="I229" s="148" t="s">
        <v>2934</v>
      </c>
      <c r="J229" s="148" t="s">
        <v>2935</v>
      </c>
      <c r="K229" s="148" t="s">
        <v>931</v>
      </c>
      <c r="M229" s="148" t="n">
        <v>0</v>
      </c>
    </row>
    <row r="230" s="20" customFormat="true" ht="23.85" hidden="false" customHeight="false" outlineLevel="0" collapsed="false">
      <c r="A230" s="20" t="s">
        <v>3568</v>
      </c>
      <c r="B230" s="20" t="s">
        <v>3569</v>
      </c>
      <c r="C230" s="20" t="s">
        <v>3570</v>
      </c>
      <c r="I230" s="20" t="s">
        <v>2959</v>
      </c>
      <c r="K230" s="20" t="s">
        <v>933</v>
      </c>
      <c r="L230" s="20" t="s">
        <v>2998</v>
      </c>
      <c r="M230" s="20" t="b">
        <f aca="false">FALSE()</f>
        <v>0</v>
      </c>
      <c r="P230" s="20" t="s">
        <v>2999</v>
      </c>
      <c r="Q230" s="20" t="s">
        <v>3000</v>
      </c>
    </row>
    <row r="231" s="20" customFormat="true" ht="23.85" hidden="false" customHeight="false" outlineLevel="0" collapsed="false">
      <c r="B231" s="20" t="s">
        <v>3571</v>
      </c>
      <c r="C231" s="20" t="s">
        <v>3572</v>
      </c>
      <c r="I231" s="20" t="s">
        <v>2959</v>
      </c>
      <c r="K231" s="20" t="s">
        <v>933</v>
      </c>
      <c r="L231" s="20" t="s">
        <v>2998</v>
      </c>
      <c r="M231" s="20" t="b">
        <f aca="false">FALSE()</f>
        <v>0</v>
      </c>
      <c r="P231" s="20" t="s">
        <v>2999</v>
      </c>
      <c r="Q231" s="20" t="s">
        <v>3000</v>
      </c>
    </row>
    <row r="232" s="148" customFormat="true" ht="23.85" hidden="false" customHeight="false" outlineLevel="0" collapsed="false">
      <c r="B232" s="148" t="s">
        <v>3573</v>
      </c>
      <c r="C232" s="148" t="s">
        <v>3574</v>
      </c>
      <c r="I232" s="148" t="s">
        <v>2133</v>
      </c>
      <c r="K232" s="148" t="s">
        <v>931</v>
      </c>
      <c r="L232" s="148" t="s">
        <v>3027</v>
      </c>
      <c r="M232" s="148" t="n">
        <v>0</v>
      </c>
      <c r="O232" s="148" t="s">
        <v>2953</v>
      </c>
      <c r="P232" s="148" t="s">
        <v>3575</v>
      </c>
      <c r="Q232" s="148" t="s">
        <v>3576</v>
      </c>
      <c r="R232" s="148" t="s">
        <v>3577</v>
      </c>
      <c r="S232" s="148" t="s">
        <v>3578</v>
      </c>
    </row>
    <row r="233" s="150" customFormat="true" ht="23.85" hidden="false" customHeight="false" outlineLevel="0" collapsed="false">
      <c r="A233" s="150" t="s">
        <v>2581</v>
      </c>
      <c r="B233" s="150" t="s">
        <v>3579</v>
      </c>
      <c r="C233" s="150" t="s">
        <v>3580</v>
      </c>
      <c r="E233" s="150" t="s">
        <v>3581</v>
      </c>
      <c r="I233" s="150" t="s">
        <v>2133</v>
      </c>
      <c r="K233" s="150" t="s">
        <v>931</v>
      </c>
      <c r="L233" s="150" t="s">
        <v>3209</v>
      </c>
      <c r="M233" s="150" t="n">
        <v>-1</v>
      </c>
      <c r="O233" s="150" t="s">
        <v>2953</v>
      </c>
      <c r="P233" s="150" t="s">
        <v>3582</v>
      </c>
      <c r="Q233" s="150" t="s">
        <v>3192</v>
      </c>
      <c r="R233" s="150" t="s">
        <v>3193</v>
      </c>
      <c r="S233" s="150" t="s">
        <v>3195</v>
      </c>
      <c r="T233" s="150" t="s">
        <v>3197</v>
      </c>
      <c r="U233" s="150" t="s">
        <v>3541</v>
      </c>
      <c r="V233" s="150" t="s">
        <v>3200</v>
      </c>
    </row>
    <row r="234" s="150" customFormat="true" ht="23.85" hidden="false" customHeight="false" outlineLevel="0" collapsed="false">
      <c r="B234" s="150" t="s">
        <v>3583</v>
      </c>
      <c r="C234" s="150" t="s">
        <v>3584</v>
      </c>
      <c r="E234" s="150" t="s">
        <v>3581</v>
      </c>
      <c r="I234" s="150" t="s">
        <v>2133</v>
      </c>
      <c r="K234" s="150" t="s">
        <v>931</v>
      </c>
      <c r="L234" s="150" t="s">
        <v>3209</v>
      </c>
      <c r="M234" s="150" t="n">
        <v>-1</v>
      </c>
      <c r="O234" s="150" t="s">
        <v>2953</v>
      </c>
      <c r="P234" s="150" t="s">
        <v>3582</v>
      </c>
      <c r="Q234" s="150" t="s">
        <v>3192</v>
      </c>
      <c r="R234" s="150" t="s">
        <v>3193</v>
      </c>
      <c r="S234" s="150" t="s">
        <v>3195</v>
      </c>
      <c r="T234" s="150" t="s">
        <v>3197</v>
      </c>
      <c r="U234" s="150" t="s">
        <v>3541</v>
      </c>
      <c r="V234" s="150" t="s">
        <v>3200</v>
      </c>
    </row>
    <row r="235" s="159" customFormat="true" ht="23.85" hidden="false" customHeight="false" outlineLevel="0" collapsed="false">
      <c r="B235" s="159" t="s">
        <v>3585</v>
      </c>
      <c r="C235" s="159" t="s">
        <v>3586</v>
      </c>
      <c r="E235" s="159" t="s">
        <v>3581</v>
      </c>
      <c r="I235" s="159" t="s">
        <v>2133</v>
      </c>
      <c r="K235" s="159" t="s">
        <v>931</v>
      </c>
      <c r="L235" s="159" t="s">
        <v>3209</v>
      </c>
      <c r="M235" s="159" t="n">
        <v>-1</v>
      </c>
      <c r="O235" s="159" t="s">
        <v>2953</v>
      </c>
      <c r="P235" s="159" t="s">
        <v>3582</v>
      </c>
      <c r="Q235" s="159" t="s">
        <v>3192</v>
      </c>
      <c r="R235" s="159" t="s">
        <v>3193</v>
      </c>
      <c r="S235" s="159" t="s">
        <v>3195</v>
      </c>
      <c r="T235" s="159" t="s">
        <v>3197</v>
      </c>
      <c r="U235" s="159" t="s">
        <v>3541</v>
      </c>
      <c r="V235" s="159" t="s">
        <v>3200</v>
      </c>
    </row>
    <row r="236" s="20" customFormat="true" ht="13.8" hidden="false" customHeight="false" outlineLevel="0" collapsed="false">
      <c r="A236" s="20" t="s">
        <v>79</v>
      </c>
      <c r="B236" s="20" t="s">
        <v>3587</v>
      </c>
      <c r="C236" s="20" t="s">
        <v>3588</v>
      </c>
      <c r="E236" s="20" t="s">
        <v>3501</v>
      </c>
      <c r="I236" s="20" t="s">
        <v>938</v>
      </c>
      <c r="K236" s="20" t="s">
        <v>932</v>
      </c>
    </row>
    <row r="237" s="20" customFormat="true" ht="13.8" hidden="false" customHeight="false" outlineLevel="0" collapsed="false">
      <c r="B237" s="20" t="s">
        <v>3589</v>
      </c>
      <c r="C237" s="20" t="s">
        <v>3588</v>
      </c>
      <c r="E237" s="20" t="s">
        <v>3503</v>
      </c>
      <c r="I237" s="20" t="s">
        <v>938</v>
      </c>
      <c r="K237" s="20" t="s">
        <v>932</v>
      </c>
    </row>
    <row r="238" s="20" customFormat="true" ht="13.8" hidden="false" customHeight="false" outlineLevel="0" collapsed="false">
      <c r="B238" s="20" t="s">
        <v>3590</v>
      </c>
      <c r="C238" s="20" t="s">
        <v>3588</v>
      </c>
      <c r="E238" s="20" t="s">
        <v>3505</v>
      </c>
      <c r="I238" s="20" t="s">
        <v>938</v>
      </c>
      <c r="K238" s="20" t="s">
        <v>932</v>
      </c>
    </row>
    <row r="239" s="20" customFormat="true" ht="23.85" hidden="false" customHeight="false" outlineLevel="0" collapsed="false">
      <c r="B239" s="20" t="s">
        <v>3591</v>
      </c>
      <c r="C239" s="20" t="s">
        <v>3592</v>
      </c>
      <c r="E239" s="20" t="str">
        <f aca="false">P239&amp;","&amp;Q239&amp;","&amp;R239&amp;","&amp;S239&amp;","&amp;T239</f>
        <v>1：デジタル液晶,2：デジタルプラズマ,3：アナログ液晶,4：アナログブラウン管,</v>
      </c>
      <c r="I239" s="20" t="s">
        <v>2133</v>
      </c>
      <c r="K239" s="20" t="s">
        <v>931</v>
      </c>
      <c r="L239" s="20" t="s">
        <v>3027</v>
      </c>
      <c r="M239" s="20" t="n">
        <v>0</v>
      </c>
      <c r="O239" s="20" t="s">
        <v>2953</v>
      </c>
      <c r="P239" s="20" t="s">
        <v>3593</v>
      </c>
      <c r="Q239" s="20" t="s">
        <v>3594</v>
      </c>
      <c r="R239" s="20" t="s">
        <v>3595</v>
      </c>
      <c r="S239" s="20" t="s">
        <v>3596</v>
      </c>
    </row>
    <row r="240" s="20" customFormat="true" ht="23.85" hidden="false" customHeight="false" outlineLevel="0" collapsed="false">
      <c r="B240" s="20" t="s">
        <v>3597</v>
      </c>
      <c r="C240" s="20" t="s">
        <v>3592</v>
      </c>
      <c r="E240" s="20" t="str">
        <f aca="false">P240&amp;","&amp;Q240&amp;","&amp;R240&amp;","&amp;S240&amp;","&amp;T240</f>
        <v>1：デジタル液晶,2：デジタルプラズマ,3：アナログ液晶,4：アナログブラウン管,</v>
      </c>
      <c r="I240" s="20" t="s">
        <v>2133</v>
      </c>
      <c r="K240" s="20" t="s">
        <v>931</v>
      </c>
      <c r="L240" s="20" t="s">
        <v>3027</v>
      </c>
      <c r="M240" s="20" t="n">
        <v>0</v>
      </c>
      <c r="O240" s="20" t="s">
        <v>2953</v>
      </c>
      <c r="P240" s="20" t="s">
        <v>3593</v>
      </c>
      <c r="Q240" s="20" t="s">
        <v>3594</v>
      </c>
      <c r="R240" s="20" t="s">
        <v>3595</v>
      </c>
      <c r="S240" s="20" t="s">
        <v>3596</v>
      </c>
    </row>
    <row r="241" s="20" customFormat="true" ht="23.85" hidden="false" customHeight="false" outlineLevel="0" collapsed="false">
      <c r="B241" s="20" t="s">
        <v>3598</v>
      </c>
      <c r="C241" s="20" t="s">
        <v>3592</v>
      </c>
      <c r="E241" s="20" t="str">
        <f aca="false">P241&amp;","&amp;Q241&amp;","&amp;R241&amp;","&amp;S241&amp;","&amp;T241</f>
        <v>1：デジタル液晶,2：デジタルプラズマ,3：アナログ液晶,4：アナログブラウン管,</v>
      </c>
      <c r="I241" s="20" t="s">
        <v>2133</v>
      </c>
      <c r="K241" s="20" t="s">
        <v>931</v>
      </c>
      <c r="L241" s="20" t="s">
        <v>3027</v>
      </c>
      <c r="M241" s="20" t="n">
        <v>0</v>
      </c>
      <c r="O241" s="20" t="s">
        <v>2953</v>
      </c>
      <c r="P241" s="20" t="s">
        <v>3593</v>
      </c>
      <c r="Q241" s="20" t="s">
        <v>3594</v>
      </c>
      <c r="R241" s="20" t="s">
        <v>3595</v>
      </c>
      <c r="S241" s="20" t="s">
        <v>3596</v>
      </c>
    </row>
    <row r="242" s="20" customFormat="true" ht="23.85" hidden="false" customHeight="false" outlineLevel="0" collapsed="false">
      <c r="B242" s="20" t="s">
        <v>3599</v>
      </c>
      <c r="C242" s="20" t="s">
        <v>3600</v>
      </c>
      <c r="E242" s="20" t="s">
        <v>3601</v>
      </c>
      <c r="F242" s="20" t="s">
        <v>1789</v>
      </c>
      <c r="I242" s="20" t="s">
        <v>2133</v>
      </c>
      <c r="K242" s="20" t="s">
        <v>931</v>
      </c>
      <c r="L242" s="20" t="s">
        <v>3602</v>
      </c>
      <c r="M242" s="20" t="n">
        <v>0</v>
      </c>
      <c r="O242" s="20" t="s">
        <v>2953</v>
      </c>
      <c r="P242" s="20" t="s">
        <v>3603</v>
      </c>
      <c r="Q242" s="20" t="s">
        <v>3604</v>
      </c>
      <c r="R242" s="20" t="s">
        <v>3605</v>
      </c>
      <c r="S242" s="160" t="s">
        <v>3606</v>
      </c>
      <c r="T242" s="20" t="s">
        <v>3607</v>
      </c>
    </row>
    <row r="243" s="20" customFormat="true" ht="23.85" hidden="false" customHeight="false" outlineLevel="0" collapsed="false">
      <c r="B243" s="20" t="s">
        <v>3608</v>
      </c>
      <c r="C243" s="20" t="s">
        <v>3600</v>
      </c>
      <c r="F243" s="20" t="s">
        <v>1789</v>
      </c>
      <c r="I243" s="20" t="s">
        <v>2133</v>
      </c>
      <c r="K243" s="20" t="s">
        <v>931</v>
      </c>
      <c r="L243" s="20" t="s">
        <v>3602</v>
      </c>
      <c r="M243" s="20" t="n">
        <v>0</v>
      </c>
      <c r="O243" s="20" t="s">
        <v>2953</v>
      </c>
      <c r="P243" s="20" t="s">
        <v>3603</v>
      </c>
      <c r="Q243" s="20" t="s">
        <v>3604</v>
      </c>
      <c r="R243" s="20" t="s">
        <v>3605</v>
      </c>
      <c r="S243" s="160" t="s">
        <v>3606</v>
      </c>
      <c r="T243" s="20" t="s">
        <v>3607</v>
      </c>
    </row>
    <row r="244" s="20" customFormat="true" ht="23.85" hidden="false" customHeight="false" outlineLevel="0" collapsed="false">
      <c r="B244" s="20" t="s">
        <v>3609</v>
      </c>
      <c r="C244" s="20" t="s">
        <v>3600</v>
      </c>
      <c r="F244" s="20" t="s">
        <v>1789</v>
      </c>
      <c r="I244" s="20" t="s">
        <v>2133</v>
      </c>
      <c r="K244" s="20" t="s">
        <v>931</v>
      </c>
      <c r="L244" s="20" t="s">
        <v>3602</v>
      </c>
      <c r="M244" s="20" t="n">
        <v>0</v>
      </c>
      <c r="O244" s="20" t="s">
        <v>2953</v>
      </c>
      <c r="P244" s="20" t="s">
        <v>3603</v>
      </c>
      <c r="Q244" s="20" t="s">
        <v>3604</v>
      </c>
      <c r="R244" s="20" t="s">
        <v>3605</v>
      </c>
      <c r="S244" s="160" t="s">
        <v>3606</v>
      </c>
      <c r="T244" s="20" t="s">
        <v>3607</v>
      </c>
    </row>
    <row r="245" s="20" customFormat="true" ht="13.5" hidden="false" customHeight="false" outlineLevel="0" collapsed="false">
      <c r="B245" s="20" t="s">
        <v>3610</v>
      </c>
      <c r="C245" s="20" t="s">
        <v>2854</v>
      </c>
      <c r="F245" s="20" t="s">
        <v>1724</v>
      </c>
      <c r="I245" s="20" t="s">
        <v>2934</v>
      </c>
      <c r="J245" s="20" t="s">
        <v>2935</v>
      </c>
      <c r="K245" s="20" t="s">
        <v>931</v>
      </c>
    </row>
    <row r="246" s="20" customFormat="true" ht="13.5" hidden="false" customHeight="false" outlineLevel="0" collapsed="false">
      <c r="B246" s="20" t="s">
        <v>3611</v>
      </c>
      <c r="C246" s="20" t="s">
        <v>2854</v>
      </c>
      <c r="F246" s="20" t="s">
        <v>1724</v>
      </c>
      <c r="I246" s="20" t="s">
        <v>2934</v>
      </c>
      <c r="J246" s="20" t="s">
        <v>2935</v>
      </c>
      <c r="K246" s="20" t="s">
        <v>931</v>
      </c>
    </row>
    <row r="247" s="20" customFormat="true" ht="13.5" hidden="false" customHeight="false" outlineLevel="0" collapsed="false">
      <c r="B247" s="20" t="s">
        <v>3612</v>
      </c>
      <c r="C247" s="20" t="s">
        <v>2854</v>
      </c>
      <c r="F247" s="20" t="s">
        <v>1724</v>
      </c>
      <c r="I247" s="20" t="s">
        <v>2934</v>
      </c>
      <c r="J247" s="20" t="s">
        <v>2935</v>
      </c>
      <c r="K247" s="20" t="s">
        <v>931</v>
      </c>
    </row>
    <row r="248" s="20" customFormat="true" ht="23.85" hidden="false" customHeight="false" outlineLevel="0" collapsed="false">
      <c r="B248" s="20" t="s">
        <v>3613</v>
      </c>
      <c r="C248" s="20" t="s">
        <v>3614</v>
      </c>
      <c r="E248" s="20" t="s">
        <v>3533</v>
      </c>
      <c r="F248" s="20" t="s">
        <v>1295</v>
      </c>
      <c r="I248" s="20" t="s">
        <v>2133</v>
      </c>
      <c r="K248" s="20" t="s">
        <v>931</v>
      </c>
      <c r="L248" s="20" t="s">
        <v>3191</v>
      </c>
      <c r="M248" s="20" t="n">
        <v>0</v>
      </c>
      <c r="O248" s="20" t="s">
        <v>2953</v>
      </c>
      <c r="P248" s="20" t="s">
        <v>1400</v>
      </c>
      <c r="Q248" s="20" t="s">
        <v>1401</v>
      </c>
      <c r="R248" s="20" t="s">
        <v>1297</v>
      </c>
      <c r="S248" s="20" t="s">
        <v>1402</v>
      </c>
      <c r="T248" s="20" t="s">
        <v>3534</v>
      </c>
      <c r="U248" s="20" t="s">
        <v>3535</v>
      </c>
    </row>
    <row r="249" s="20" customFormat="true" ht="23.85" hidden="false" customHeight="false" outlineLevel="0" collapsed="false">
      <c r="B249" s="20" t="s">
        <v>3615</v>
      </c>
      <c r="C249" s="20" t="s">
        <v>3614</v>
      </c>
      <c r="F249" s="20" t="s">
        <v>1295</v>
      </c>
      <c r="I249" s="20" t="s">
        <v>2133</v>
      </c>
      <c r="K249" s="20" t="s">
        <v>931</v>
      </c>
      <c r="L249" s="20" t="s">
        <v>3191</v>
      </c>
      <c r="M249" s="20" t="n">
        <v>0</v>
      </c>
      <c r="O249" s="20" t="s">
        <v>2953</v>
      </c>
      <c r="P249" s="20" t="s">
        <v>1400</v>
      </c>
      <c r="Q249" s="20" t="s">
        <v>1401</v>
      </c>
      <c r="R249" s="20" t="s">
        <v>1297</v>
      </c>
      <c r="S249" s="20" t="s">
        <v>1402</v>
      </c>
      <c r="T249" s="20" t="s">
        <v>3534</v>
      </c>
      <c r="U249" s="20" t="s">
        <v>3535</v>
      </c>
    </row>
    <row r="250" s="20" customFormat="true" ht="23.85" hidden="false" customHeight="false" outlineLevel="0" collapsed="false">
      <c r="B250" s="20" t="s">
        <v>3616</v>
      </c>
      <c r="C250" s="20" t="s">
        <v>3614</v>
      </c>
      <c r="F250" s="20" t="s">
        <v>1295</v>
      </c>
      <c r="I250" s="20" t="s">
        <v>2133</v>
      </c>
      <c r="K250" s="20" t="s">
        <v>931</v>
      </c>
      <c r="L250" s="20" t="s">
        <v>3191</v>
      </c>
      <c r="M250" s="20" t="n">
        <v>0</v>
      </c>
      <c r="O250" s="20" t="s">
        <v>2953</v>
      </c>
      <c r="P250" s="20" t="s">
        <v>1400</v>
      </c>
      <c r="Q250" s="20" t="s">
        <v>1401</v>
      </c>
      <c r="R250" s="20" t="s">
        <v>1297</v>
      </c>
      <c r="S250" s="20" t="s">
        <v>1402</v>
      </c>
      <c r="T250" s="20" t="s">
        <v>3534</v>
      </c>
      <c r="U250" s="20" t="s">
        <v>3535</v>
      </c>
    </row>
    <row r="251" s="20" customFormat="true" ht="35.05" hidden="false" customHeight="false" outlineLevel="0" collapsed="false">
      <c r="B251" s="20" t="s">
        <v>3617</v>
      </c>
      <c r="C251" s="20" t="s">
        <v>3618</v>
      </c>
      <c r="I251" s="20" t="s">
        <v>2133</v>
      </c>
      <c r="K251" s="20" t="s">
        <v>931</v>
      </c>
      <c r="L251" s="20" t="s">
        <v>3019</v>
      </c>
      <c r="M251" s="20" t="n">
        <v>0</v>
      </c>
      <c r="O251" s="20" t="s">
        <v>2953</v>
      </c>
      <c r="P251" s="20" t="s">
        <v>3619</v>
      </c>
      <c r="Q251" s="20" t="s">
        <v>3620</v>
      </c>
      <c r="R251" s="20" t="s">
        <v>3621</v>
      </c>
      <c r="S251" s="20" t="s">
        <v>3622</v>
      </c>
      <c r="T251" s="20" t="s">
        <v>3623</v>
      </c>
    </row>
    <row r="252" s="20" customFormat="true" ht="35.05" hidden="false" customHeight="false" outlineLevel="0" collapsed="false">
      <c r="B252" s="20" t="s">
        <v>3624</v>
      </c>
      <c r="C252" s="20" t="s">
        <v>3618</v>
      </c>
      <c r="I252" s="20" t="s">
        <v>2133</v>
      </c>
      <c r="K252" s="20" t="s">
        <v>931</v>
      </c>
      <c r="L252" s="20" t="s">
        <v>3019</v>
      </c>
      <c r="M252" s="20" t="n">
        <v>0</v>
      </c>
      <c r="O252" s="20" t="s">
        <v>2953</v>
      </c>
      <c r="P252" s="20" t="s">
        <v>3619</v>
      </c>
      <c r="Q252" s="20" t="s">
        <v>3620</v>
      </c>
      <c r="R252" s="20" t="s">
        <v>3621</v>
      </c>
      <c r="S252" s="20" t="s">
        <v>3622</v>
      </c>
      <c r="T252" s="20" t="s">
        <v>3623</v>
      </c>
    </row>
    <row r="253" s="148" customFormat="true" ht="35.05" hidden="false" customHeight="false" outlineLevel="0" collapsed="false">
      <c r="B253" s="148" t="s">
        <v>3625</v>
      </c>
      <c r="C253" s="148" t="s">
        <v>3618</v>
      </c>
      <c r="I253" s="148" t="s">
        <v>2133</v>
      </c>
      <c r="K253" s="148" t="s">
        <v>931</v>
      </c>
      <c r="L253" s="148" t="s">
        <v>3019</v>
      </c>
      <c r="M253" s="148" t="n">
        <v>0</v>
      </c>
      <c r="O253" s="148" t="s">
        <v>2953</v>
      </c>
      <c r="P253" s="148" t="s">
        <v>3619</v>
      </c>
      <c r="Q253" s="148" t="s">
        <v>3620</v>
      </c>
      <c r="R253" s="148" t="s">
        <v>3621</v>
      </c>
      <c r="S253" s="148" t="s">
        <v>3622</v>
      </c>
      <c r="T253" s="148" t="s">
        <v>3623</v>
      </c>
    </row>
    <row r="254" s="20" customFormat="true" ht="23.85" hidden="false" customHeight="false" outlineLevel="0" collapsed="false">
      <c r="A254" s="20" t="s">
        <v>324</v>
      </c>
      <c r="B254" s="20" t="s">
        <v>3626</v>
      </c>
      <c r="C254" s="20" t="s">
        <v>1860</v>
      </c>
      <c r="F254" s="20" t="s">
        <v>1780</v>
      </c>
      <c r="I254" s="20" t="s">
        <v>2133</v>
      </c>
      <c r="K254" s="20" t="s">
        <v>931</v>
      </c>
      <c r="L254" s="20" t="s">
        <v>3191</v>
      </c>
      <c r="M254" s="20" t="n">
        <v>0</v>
      </c>
      <c r="N254" s="20" t="s">
        <v>3627</v>
      </c>
      <c r="O254" s="20" t="s">
        <v>3628</v>
      </c>
      <c r="P254" s="20" t="s">
        <v>3629</v>
      </c>
      <c r="Q254" s="20" t="s">
        <v>3630</v>
      </c>
      <c r="R254" s="20" t="s">
        <v>3200</v>
      </c>
    </row>
    <row r="255" s="20" customFormat="true" ht="23.85" hidden="false" customHeight="false" outlineLevel="0" collapsed="false">
      <c r="B255" s="20" t="s">
        <v>3631</v>
      </c>
      <c r="C255" s="20" t="s">
        <v>3632</v>
      </c>
      <c r="E255" s="151" t="s">
        <v>3633</v>
      </c>
      <c r="F255" s="20" t="s">
        <v>1780</v>
      </c>
      <c r="I255" s="20" t="s">
        <v>2133</v>
      </c>
      <c r="K255" s="20" t="s">
        <v>931</v>
      </c>
      <c r="L255" s="20" t="s">
        <v>3191</v>
      </c>
      <c r="M255" s="20" t="n">
        <v>0</v>
      </c>
      <c r="N255" s="20" t="s">
        <v>3627</v>
      </c>
      <c r="O255" s="20" t="s">
        <v>3628</v>
      </c>
      <c r="P255" s="20" t="s">
        <v>3629</v>
      </c>
      <c r="Q255" s="20" t="s">
        <v>3630</v>
      </c>
      <c r="R255" s="20" t="s">
        <v>3200</v>
      </c>
    </row>
    <row r="256" s="20" customFormat="true" ht="23.85" hidden="false" customHeight="false" outlineLevel="0" collapsed="false">
      <c r="B256" s="20" t="s">
        <v>3634</v>
      </c>
      <c r="C256" s="20" t="s">
        <v>1869</v>
      </c>
      <c r="I256" s="20" t="s">
        <v>2133</v>
      </c>
      <c r="K256" s="20" t="s">
        <v>931</v>
      </c>
      <c r="L256" s="20" t="s">
        <v>3040</v>
      </c>
      <c r="M256" s="20" t="n">
        <v>0</v>
      </c>
      <c r="O256" s="20" t="s">
        <v>2953</v>
      </c>
      <c r="P256" s="20" t="s">
        <v>3635</v>
      </c>
      <c r="Q256" s="20" t="s">
        <v>3636</v>
      </c>
      <c r="R256" s="20" t="s">
        <v>3468</v>
      </c>
    </row>
    <row r="257" s="20" customFormat="true" ht="23.85" hidden="false" customHeight="false" outlineLevel="0" collapsed="false">
      <c r="B257" s="20" t="s">
        <v>3637</v>
      </c>
      <c r="C257" s="20" t="s">
        <v>1362</v>
      </c>
      <c r="I257" s="20" t="s">
        <v>2133</v>
      </c>
      <c r="K257" s="20" t="s">
        <v>931</v>
      </c>
      <c r="L257" s="20" t="s">
        <v>3027</v>
      </c>
      <c r="M257" s="20" t="n">
        <v>0</v>
      </c>
      <c r="O257" s="20" t="s">
        <v>2953</v>
      </c>
      <c r="P257" s="20" t="s">
        <v>3638</v>
      </c>
      <c r="Q257" s="20" t="s">
        <v>3639</v>
      </c>
      <c r="R257" s="20" t="s">
        <v>3640</v>
      </c>
      <c r="S257" s="20" t="s">
        <v>3641</v>
      </c>
    </row>
    <row r="258" s="20" customFormat="true" ht="23.85" hidden="false" customHeight="false" outlineLevel="0" collapsed="false">
      <c r="B258" s="20" t="s">
        <v>3642</v>
      </c>
      <c r="C258" s="20" t="s">
        <v>1368</v>
      </c>
      <c r="I258" s="20" t="s">
        <v>2133</v>
      </c>
      <c r="K258" s="20" t="s">
        <v>931</v>
      </c>
      <c r="L258" s="20" t="s">
        <v>3027</v>
      </c>
      <c r="M258" s="20" t="n">
        <v>0</v>
      </c>
      <c r="O258" s="20" t="s">
        <v>2953</v>
      </c>
      <c r="P258" s="20" t="s">
        <v>3643</v>
      </c>
      <c r="Q258" s="20" t="s">
        <v>3644</v>
      </c>
      <c r="R258" s="20" t="s">
        <v>3645</v>
      </c>
      <c r="S258" s="20" t="s">
        <v>3448</v>
      </c>
    </row>
    <row r="259" s="20" customFormat="true" ht="23.85" hidden="false" customHeight="false" outlineLevel="0" collapsed="false">
      <c r="B259" s="20" t="s">
        <v>3646</v>
      </c>
      <c r="C259" s="20" t="s">
        <v>1374</v>
      </c>
      <c r="I259" s="20" t="s">
        <v>2959</v>
      </c>
      <c r="K259" s="20" t="s">
        <v>933</v>
      </c>
      <c r="L259" s="20" t="s">
        <v>2998</v>
      </c>
      <c r="M259" s="20" t="b">
        <f aca="false">FALSE()</f>
        <v>0</v>
      </c>
      <c r="P259" s="20" t="s">
        <v>2999</v>
      </c>
      <c r="Q259" s="20" t="s">
        <v>3000</v>
      </c>
    </row>
    <row r="260" s="20" customFormat="true" ht="23.85" hidden="false" customHeight="false" outlineLevel="0" collapsed="false">
      <c r="B260" s="20" t="s">
        <v>3647</v>
      </c>
      <c r="C260" s="20" t="s">
        <v>1376</v>
      </c>
      <c r="I260" s="20" t="s">
        <v>2959</v>
      </c>
      <c r="K260" s="20" t="s">
        <v>933</v>
      </c>
      <c r="L260" s="20" t="s">
        <v>2998</v>
      </c>
      <c r="M260" s="20" t="b">
        <f aca="false">FALSE()</f>
        <v>0</v>
      </c>
      <c r="P260" s="20" t="s">
        <v>2999</v>
      </c>
      <c r="Q260" s="20" t="s">
        <v>3000</v>
      </c>
    </row>
    <row r="261" s="148" customFormat="true" ht="23.85" hidden="false" customHeight="false" outlineLevel="0" collapsed="false">
      <c r="B261" s="148" t="s">
        <v>3648</v>
      </c>
      <c r="C261" s="148" t="s">
        <v>3649</v>
      </c>
      <c r="I261" s="148" t="s">
        <v>2959</v>
      </c>
      <c r="K261" s="148" t="s">
        <v>933</v>
      </c>
      <c r="L261" s="148" t="s">
        <v>2998</v>
      </c>
      <c r="M261" s="153" t="b">
        <f aca="false">FALSE()</f>
        <v>0</v>
      </c>
      <c r="P261" s="148" t="s">
        <v>2999</v>
      </c>
      <c r="Q261" s="148" t="s">
        <v>3000</v>
      </c>
    </row>
    <row r="262" s="20" customFormat="true" ht="23.85" hidden="false" customHeight="false" outlineLevel="0" collapsed="false">
      <c r="A262" s="20" t="s">
        <v>84</v>
      </c>
      <c r="B262" s="20" t="s">
        <v>3650</v>
      </c>
      <c r="C262" s="20" t="s">
        <v>1944</v>
      </c>
      <c r="I262" s="20" t="s">
        <v>2133</v>
      </c>
      <c r="K262" s="20" t="s">
        <v>931</v>
      </c>
      <c r="L262" s="20" t="s">
        <v>3040</v>
      </c>
      <c r="M262" s="20" t="n">
        <v>0</v>
      </c>
      <c r="O262" s="20" t="s">
        <v>2953</v>
      </c>
      <c r="P262" s="20" t="s">
        <v>3651</v>
      </c>
      <c r="Q262" s="20" t="s">
        <v>3652</v>
      </c>
      <c r="R262" s="20" t="s">
        <v>3653</v>
      </c>
    </row>
    <row r="263" s="20" customFormat="true" ht="23.85" hidden="false" customHeight="false" outlineLevel="0" collapsed="false">
      <c r="B263" s="20" t="s">
        <v>3654</v>
      </c>
      <c r="C263" s="20" t="s">
        <v>1948</v>
      </c>
      <c r="I263" s="20" t="s">
        <v>2133</v>
      </c>
      <c r="K263" s="20" t="s">
        <v>931</v>
      </c>
      <c r="L263" s="20" t="s">
        <v>3040</v>
      </c>
      <c r="M263" s="20" t="n">
        <v>0</v>
      </c>
      <c r="O263" s="20" t="s">
        <v>2953</v>
      </c>
      <c r="P263" s="20" t="s">
        <v>3651</v>
      </c>
      <c r="Q263" s="20" t="s">
        <v>3652</v>
      </c>
      <c r="R263" s="20" t="s">
        <v>3653</v>
      </c>
    </row>
    <row r="264" s="20" customFormat="true" ht="13.5" hidden="false" customHeight="false" outlineLevel="0" collapsed="false">
      <c r="B264" s="20" t="s">
        <v>3655</v>
      </c>
      <c r="C264" s="20" t="s">
        <v>3656</v>
      </c>
      <c r="E264" s="20" t="s">
        <v>3657</v>
      </c>
      <c r="I264" s="20" t="s">
        <v>938</v>
      </c>
      <c r="K264" s="20" t="s">
        <v>932</v>
      </c>
    </row>
    <row r="265" s="20" customFormat="true" ht="13.5" hidden="false" customHeight="false" outlineLevel="0" collapsed="false">
      <c r="B265" s="20" t="s">
        <v>3658</v>
      </c>
      <c r="C265" s="20" t="s">
        <v>3656</v>
      </c>
      <c r="E265" s="20" t="s">
        <v>3659</v>
      </c>
      <c r="I265" s="20" t="s">
        <v>938</v>
      </c>
      <c r="K265" s="20" t="s">
        <v>932</v>
      </c>
    </row>
    <row r="266" s="20" customFormat="true" ht="13.5" hidden="false" customHeight="false" outlineLevel="0" collapsed="false">
      <c r="B266" s="20" t="s">
        <v>3660</v>
      </c>
      <c r="C266" s="20" t="s">
        <v>3656</v>
      </c>
      <c r="E266" s="20" t="s">
        <v>3661</v>
      </c>
      <c r="I266" s="20" t="s">
        <v>938</v>
      </c>
      <c r="K266" s="20" t="s">
        <v>932</v>
      </c>
    </row>
    <row r="267" s="20" customFormat="true" ht="13.5" hidden="false" customHeight="false" outlineLevel="0" collapsed="false">
      <c r="B267" s="20" t="s">
        <v>3662</v>
      </c>
      <c r="C267" s="20" t="s">
        <v>1887</v>
      </c>
      <c r="E267" s="20" t="s">
        <v>3657</v>
      </c>
      <c r="F267" s="20" t="s">
        <v>3663</v>
      </c>
      <c r="I267" s="20" t="s">
        <v>2934</v>
      </c>
      <c r="J267" s="20" t="s">
        <v>2935</v>
      </c>
      <c r="K267" s="20" t="s">
        <v>931</v>
      </c>
    </row>
    <row r="268" s="20" customFormat="true" ht="13.5" hidden="false" customHeight="false" outlineLevel="0" collapsed="false">
      <c r="B268" s="20" t="s">
        <v>3664</v>
      </c>
      <c r="C268" s="20" t="s">
        <v>1887</v>
      </c>
      <c r="E268" s="20" t="s">
        <v>3659</v>
      </c>
      <c r="F268" s="20" t="s">
        <v>3663</v>
      </c>
      <c r="I268" s="20" t="s">
        <v>2934</v>
      </c>
      <c r="J268" s="20" t="s">
        <v>2935</v>
      </c>
      <c r="K268" s="20" t="s">
        <v>931</v>
      </c>
    </row>
    <row r="269" s="20" customFormat="true" ht="13.5" hidden="false" customHeight="false" outlineLevel="0" collapsed="false">
      <c r="B269" s="20" t="s">
        <v>3665</v>
      </c>
      <c r="C269" s="20" t="s">
        <v>1887</v>
      </c>
      <c r="E269" s="20" t="s">
        <v>3661</v>
      </c>
      <c r="F269" s="20" t="s">
        <v>3663</v>
      </c>
      <c r="I269" s="20" t="s">
        <v>2934</v>
      </c>
      <c r="J269" s="20" t="s">
        <v>2935</v>
      </c>
      <c r="K269" s="20" t="s">
        <v>931</v>
      </c>
    </row>
    <row r="270" s="20" customFormat="true" ht="23.85" hidden="false" customHeight="false" outlineLevel="0" collapsed="false">
      <c r="B270" s="150" t="s">
        <v>3666</v>
      </c>
      <c r="C270" s="150" t="s">
        <v>3667</v>
      </c>
      <c r="D270" s="150"/>
      <c r="E270" s="150" t="s">
        <v>3668</v>
      </c>
      <c r="F270" s="150"/>
      <c r="G270" s="150"/>
      <c r="H270" s="150"/>
      <c r="I270" s="150" t="s">
        <v>938</v>
      </c>
      <c r="J270" s="150"/>
      <c r="K270" s="150" t="s">
        <v>932</v>
      </c>
      <c r="L270" s="150"/>
      <c r="M270" s="150"/>
      <c r="N270" s="150"/>
      <c r="O270" s="150"/>
      <c r="P270" s="150"/>
      <c r="Q270" s="150"/>
      <c r="R270" s="150"/>
      <c r="S270" s="150"/>
      <c r="T270" s="150"/>
      <c r="U270" s="150"/>
      <c r="V270" s="150"/>
      <c r="W270" s="150"/>
      <c r="X270" s="150"/>
      <c r="Y270" s="150"/>
    </row>
    <row r="271" s="20" customFormat="true" ht="23.85" hidden="false" customHeight="false" outlineLevel="0" collapsed="false">
      <c r="B271" s="150" t="s">
        <v>3669</v>
      </c>
      <c r="C271" s="150" t="s">
        <v>3251</v>
      </c>
      <c r="D271" s="150"/>
      <c r="E271" s="150" t="s">
        <v>3668</v>
      </c>
      <c r="F271" s="150"/>
      <c r="G271" s="150"/>
      <c r="H271" s="150"/>
      <c r="I271" s="150" t="s">
        <v>2133</v>
      </c>
      <c r="J271" s="150" t="s">
        <v>3670</v>
      </c>
      <c r="K271" s="150" t="s">
        <v>931</v>
      </c>
      <c r="L271" s="150" t="s">
        <v>3155</v>
      </c>
      <c r="M271" s="150" t="n">
        <v>0</v>
      </c>
      <c r="N271" s="150"/>
      <c r="O271" s="150" t="s">
        <v>2953</v>
      </c>
      <c r="P271" s="150" t="s">
        <v>3215</v>
      </c>
      <c r="Q271" s="150" t="s">
        <v>3252</v>
      </c>
      <c r="R271" s="150" t="s">
        <v>3253</v>
      </c>
      <c r="S271" s="150" t="s">
        <v>3254</v>
      </c>
      <c r="T271" s="150" t="s">
        <v>3255</v>
      </c>
      <c r="U271" s="150" t="s">
        <v>3256</v>
      </c>
      <c r="V271" s="150" t="s">
        <v>3671</v>
      </c>
      <c r="W271" s="150"/>
      <c r="X271" s="150"/>
      <c r="Y271" s="150"/>
    </row>
    <row r="272" s="20" customFormat="true" ht="23.85" hidden="false" customHeight="false" outlineLevel="0" collapsed="false">
      <c r="B272" s="20" t="s">
        <v>3672</v>
      </c>
      <c r="C272" s="20" t="s">
        <v>3673</v>
      </c>
      <c r="E272" s="20" t="s">
        <v>3674</v>
      </c>
      <c r="I272" s="20" t="s">
        <v>2133</v>
      </c>
      <c r="K272" s="20" t="s">
        <v>931</v>
      </c>
      <c r="L272" s="20" t="s">
        <v>3040</v>
      </c>
      <c r="M272" s="20" t="n">
        <v>0</v>
      </c>
      <c r="O272" s="20" t="s">
        <v>2953</v>
      </c>
      <c r="P272" s="20" t="s">
        <v>3675</v>
      </c>
      <c r="Q272" s="20" t="s">
        <v>3676</v>
      </c>
      <c r="R272" s="20" t="s">
        <v>3677</v>
      </c>
    </row>
    <row r="273" s="20" customFormat="true" ht="23.85" hidden="false" customHeight="false" outlineLevel="0" collapsed="false">
      <c r="B273" s="20" t="s">
        <v>3678</v>
      </c>
      <c r="C273" s="20" t="s">
        <v>3673</v>
      </c>
      <c r="I273" s="20" t="s">
        <v>2133</v>
      </c>
      <c r="K273" s="20" t="s">
        <v>931</v>
      </c>
      <c r="L273" s="20" t="s">
        <v>3040</v>
      </c>
      <c r="M273" s="20" t="n">
        <v>0</v>
      </c>
      <c r="O273" s="20" t="s">
        <v>2953</v>
      </c>
      <c r="P273" s="20" t="s">
        <v>3675</v>
      </c>
      <c r="Q273" s="20" t="s">
        <v>3676</v>
      </c>
      <c r="R273" s="20" t="s">
        <v>3677</v>
      </c>
    </row>
    <row r="274" s="20" customFormat="true" ht="23.85" hidden="false" customHeight="false" outlineLevel="0" collapsed="false">
      <c r="B274" s="20" t="s">
        <v>3679</v>
      </c>
      <c r="C274" s="20" t="s">
        <v>3673</v>
      </c>
      <c r="I274" s="20" t="s">
        <v>2133</v>
      </c>
      <c r="K274" s="20" t="s">
        <v>931</v>
      </c>
      <c r="L274" s="20" t="s">
        <v>3040</v>
      </c>
      <c r="M274" s="20" t="n">
        <v>0</v>
      </c>
      <c r="O274" s="20" t="s">
        <v>2953</v>
      </c>
      <c r="P274" s="20" t="s">
        <v>3675</v>
      </c>
      <c r="Q274" s="20" t="s">
        <v>3676</v>
      </c>
      <c r="R274" s="20" t="s">
        <v>3677</v>
      </c>
    </row>
    <row r="275" s="20" customFormat="true" ht="23.85" hidden="false" customHeight="false" outlineLevel="0" collapsed="false">
      <c r="B275" s="20" t="s">
        <v>3680</v>
      </c>
      <c r="C275" s="20" t="s">
        <v>3673</v>
      </c>
      <c r="I275" s="20" t="s">
        <v>2133</v>
      </c>
      <c r="K275" s="20" t="s">
        <v>931</v>
      </c>
      <c r="L275" s="20" t="s">
        <v>3040</v>
      </c>
      <c r="M275" s="20" t="n">
        <v>0</v>
      </c>
      <c r="O275" s="20" t="s">
        <v>2953</v>
      </c>
      <c r="P275" s="20" t="s">
        <v>3675</v>
      </c>
      <c r="Q275" s="20" t="s">
        <v>3676</v>
      </c>
      <c r="R275" s="20" t="s">
        <v>3677</v>
      </c>
    </row>
    <row r="276" s="20" customFormat="true" ht="23.85" hidden="false" customHeight="false" outlineLevel="0" collapsed="false">
      <c r="B276" s="20" t="s">
        <v>3681</v>
      </c>
      <c r="C276" s="20" t="s">
        <v>3673</v>
      </c>
      <c r="I276" s="20" t="s">
        <v>2133</v>
      </c>
      <c r="K276" s="20" t="s">
        <v>931</v>
      </c>
      <c r="L276" s="20" t="s">
        <v>3040</v>
      </c>
      <c r="M276" s="20" t="n">
        <v>0</v>
      </c>
      <c r="O276" s="20" t="s">
        <v>2953</v>
      </c>
      <c r="P276" s="20" t="s">
        <v>3675</v>
      </c>
      <c r="Q276" s="20" t="s">
        <v>3676</v>
      </c>
      <c r="R276" s="20" t="s">
        <v>3677</v>
      </c>
    </row>
    <row r="277" s="20" customFormat="true" ht="23.85" hidden="false" customHeight="false" outlineLevel="0" collapsed="false">
      <c r="B277" s="20" t="s">
        <v>3682</v>
      </c>
      <c r="C277" s="20" t="s">
        <v>3683</v>
      </c>
      <c r="E277" s="20" t="str">
        <f aca="false">P277&amp;","&amp;Q277&amp;","&amp;R277&amp;","&amp;S277&amp;","&amp;T277</f>
        <v>鉄道,バス,電動自転車,自転車,徒歩</v>
      </c>
      <c r="I277" s="20" t="s">
        <v>2133</v>
      </c>
      <c r="K277" s="20" t="s">
        <v>931</v>
      </c>
      <c r="L277" s="20" t="s">
        <v>3019</v>
      </c>
      <c r="M277" s="20" t="n">
        <v>0</v>
      </c>
      <c r="O277" s="20" t="s">
        <v>2953</v>
      </c>
      <c r="P277" s="20" t="s">
        <v>3684</v>
      </c>
      <c r="Q277" s="20" t="s">
        <v>3685</v>
      </c>
      <c r="R277" s="20" t="s">
        <v>3686</v>
      </c>
      <c r="S277" s="20" t="s">
        <v>2577</v>
      </c>
      <c r="T277" s="20" t="s">
        <v>3687</v>
      </c>
    </row>
    <row r="278" s="20" customFormat="true" ht="23.85" hidden="false" customHeight="false" outlineLevel="0" collapsed="false">
      <c r="B278" s="20" t="s">
        <v>3688</v>
      </c>
      <c r="C278" s="20" t="s">
        <v>3683</v>
      </c>
      <c r="E278" s="20" t="str">
        <f aca="false">P278&amp;","&amp;Q278&amp;","&amp;R278&amp;","&amp;S278&amp;","&amp;T278</f>
        <v>鉄道,バス,電動自転車,自転車,徒歩</v>
      </c>
      <c r="I278" s="20" t="s">
        <v>2133</v>
      </c>
      <c r="K278" s="20" t="s">
        <v>931</v>
      </c>
      <c r="L278" s="20" t="s">
        <v>3019</v>
      </c>
      <c r="M278" s="20" t="n">
        <v>0</v>
      </c>
      <c r="O278" s="20" t="s">
        <v>2953</v>
      </c>
      <c r="P278" s="20" t="s">
        <v>3684</v>
      </c>
      <c r="Q278" s="20" t="s">
        <v>3685</v>
      </c>
      <c r="R278" s="20" t="s">
        <v>3686</v>
      </c>
      <c r="S278" s="20" t="s">
        <v>2577</v>
      </c>
      <c r="T278" s="20" t="s">
        <v>3687</v>
      </c>
    </row>
    <row r="279" s="20" customFormat="true" ht="23.85" hidden="false" customHeight="false" outlineLevel="0" collapsed="false">
      <c r="B279" s="20" t="s">
        <v>3689</v>
      </c>
      <c r="C279" s="20" t="s">
        <v>3683</v>
      </c>
      <c r="E279" s="20" t="str">
        <f aca="false">P279&amp;","&amp;Q279&amp;","&amp;R279&amp;","&amp;S279&amp;","&amp;T279</f>
        <v>鉄道,バス,電動自転車,自転車,徒歩</v>
      </c>
      <c r="I279" s="20" t="s">
        <v>2133</v>
      </c>
      <c r="K279" s="20" t="s">
        <v>931</v>
      </c>
      <c r="L279" s="20" t="s">
        <v>3019</v>
      </c>
      <c r="M279" s="20" t="n">
        <v>0</v>
      </c>
      <c r="O279" s="20" t="s">
        <v>2953</v>
      </c>
      <c r="P279" s="20" t="s">
        <v>3684</v>
      </c>
      <c r="Q279" s="20" t="s">
        <v>3685</v>
      </c>
      <c r="R279" s="20" t="s">
        <v>3686</v>
      </c>
      <c r="S279" s="20" t="s">
        <v>2577</v>
      </c>
      <c r="T279" s="20" t="s">
        <v>3687</v>
      </c>
    </row>
    <row r="280" s="20" customFormat="true" ht="23.85" hidden="false" customHeight="false" outlineLevel="0" collapsed="false">
      <c r="B280" s="20" t="s">
        <v>3690</v>
      </c>
      <c r="C280" s="20" t="s">
        <v>3683</v>
      </c>
      <c r="E280" s="20" t="str">
        <f aca="false">P280&amp;","&amp;Q280&amp;","&amp;R280&amp;","&amp;S280&amp;","&amp;T280</f>
        <v>鉄道,バス,電動自転車,自転車,徒歩</v>
      </c>
      <c r="I280" s="20" t="s">
        <v>2133</v>
      </c>
      <c r="K280" s="20" t="s">
        <v>931</v>
      </c>
      <c r="L280" s="20" t="s">
        <v>3019</v>
      </c>
      <c r="M280" s="20" t="n">
        <v>0</v>
      </c>
      <c r="O280" s="20" t="s">
        <v>2953</v>
      </c>
      <c r="P280" s="20" t="s">
        <v>3684</v>
      </c>
      <c r="Q280" s="20" t="s">
        <v>3685</v>
      </c>
      <c r="R280" s="20" t="s">
        <v>3686</v>
      </c>
      <c r="S280" s="20" t="s">
        <v>2577</v>
      </c>
      <c r="T280" s="20" t="s">
        <v>3687</v>
      </c>
    </row>
    <row r="281" s="148" customFormat="true" ht="23.85" hidden="false" customHeight="false" outlineLevel="0" collapsed="false">
      <c r="B281" s="148" t="s">
        <v>3691</v>
      </c>
      <c r="C281" s="148" t="s">
        <v>3683</v>
      </c>
      <c r="E281" s="148" t="str">
        <f aca="false">P281&amp;","&amp;Q281&amp;","&amp;R281&amp;","&amp;S281&amp;","&amp;T281</f>
        <v>鉄道,バス,電動自転車,自転車,徒歩</v>
      </c>
      <c r="I281" s="148" t="s">
        <v>2133</v>
      </c>
      <c r="K281" s="148" t="s">
        <v>931</v>
      </c>
      <c r="L281" s="148" t="s">
        <v>3019</v>
      </c>
      <c r="M281" s="148" t="n">
        <v>0</v>
      </c>
      <c r="O281" s="148" t="s">
        <v>2953</v>
      </c>
      <c r="P281" s="148" t="s">
        <v>3684</v>
      </c>
      <c r="Q281" s="148" t="s">
        <v>3685</v>
      </c>
      <c r="R281" s="148" t="s">
        <v>3686</v>
      </c>
      <c r="S281" s="148" t="s">
        <v>2577</v>
      </c>
      <c r="T281" s="148" t="s">
        <v>3687</v>
      </c>
    </row>
    <row r="282" s="20" customFormat="true" ht="23.85" hidden="false" customHeight="false" outlineLevel="0" collapsed="false">
      <c r="A282" s="20" t="s">
        <v>513</v>
      </c>
      <c r="B282" s="20" t="s">
        <v>3692</v>
      </c>
      <c r="C282" s="20" t="s">
        <v>3693</v>
      </c>
      <c r="E282" s="20" t="str">
        <f aca="false">P282&amp;","&amp;Q282&amp;","&amp;R282&amp;","&amp;S282&amp;","&amp;T282</f>
        <v>True:はい,False:いいえ,,,</v>
      </c>
      <c r="I282" s="20" t="s">
        <v>3694</v>
      </c>
      <c r="K282" s="20" t="s">
        <v>933</v>
      </c>
      <c r="L282" s="20" t="s">
        <v>2998</v>
      </c>
      <c r="M282" s="20" t="b">
        <f aca="false">FALSE()</f>
        <v>0</v>
      </c>
      <c r="P282" s="20" t="s">
        <v>2999</v>
      </c>
      <c r="Q282" s="20" t="s">
        <v>3000</v>
      </c>
    </row>
    <row r="283" s="20" customFormat="true" ht="23.85" hidden="false" customHeight="false" outlineLevel="0" collapsed="false">
      <c r="B283" s="20" t="s">
        <v>3695</v>
      </c>
      <c r="C283" s="20" t="s">
        <v>3696</v>
      </c>
      <c r="E283" s="20" t="str">
        <f aca="false">P283&amp;","&amp;Q283&amp;","&amp;R283&amp;","&amp;S283&amp;","&amp;T283</f>
        <v>20度なだらかな傾斜,30度標準的な傾斜,40度やや急な傾斜,,</v>
      </c>
      <c r="I283" s="20" t="s">
        <v>2133</v>
      </c>
      <c r="J283" s="20" t="s">
        <v>3697</v>
      </c>
      <c r="K283" s="20" t="s">
        <v>932</v>
      </c>
      <c r="L283" s="20" t="s">
        <v>3040</v>
      </c>
      <c r="M283" s="20" t="n">
        <v>0</v>
      </c>
      <c r="O283" s="20" t="s">
        <v>2953</v>
      </c>
      <c r="P283" s="20" t="s">
        <v>3698</v>
      </c>
      <c r="Q283" s="20" t="s">
        <v>3699</v>
      </c>
      <c r="R283" s="20" t="s">
        <v>3700</v>
      </c>
    </row>
    <row r="284" s="20" customFormat="true" ht="23.85" hidden="false" customHeight="false" outlineLevel="0" collapsed="false">
      <c r="B284" s="20" t="s">
        <v>3701</v>
      </c>
      <c r="C284" s="20" t="s">
        <v>3702</v>
      </c>
      <c r="E284" s="20" t="str">
        <f aca="false">P284&amp;","&amp;Q284&amp;","&amp;R284&amp;","&amp;S284&amp;","&amp;T284</f>
        <v>1：東,2：南東,3：南,4：南西,5：西</v>
      </c>
      <c r="I284" s="20" t="s">
        <v>2133</v>
      </c>
      <c r="J284" s="20" t="s">
        <v>3703</v>
      </c>
      <c r="K284" s="20" t="s">
        <v>931</v>
      </c>
      <c r="L284" s="20" t="s">
        <v>3155</v>
      </c>
      <c r="M284" s="20" t="n">
        <v>0</v>
      </c>
      <c r="O284" s="20" t="s">
        <v>2953</v>
      </c>
      <c r="P284" s="20" t="s">
        <v>3704</v>
      </c>
      <c r="Q284" s="20" t="s">
        <v>3705</v>
      </c>
      <c r="R284" s="20" t="s">
        <v>3706</v>
      </c>
      <c r="S284" s="20" t="s">
        <v>3707</v>
      </c>
      <c r="T284" s="20" t="s">
        <v>3708</v>
      </c>
      <c r="U284" s="20" t="s">
        <v>3709</v>
      </c>
    </row>
    <row r="285" s="20" customFormat="true" ht="23.85" hidden="false" customHeight="false" outlineLevel="0" collapsed="false">
      <c r="B285" s="20" t="s">
        <v>3710</v>
      </c>
      <c r="C285" s="20" t="s">
        <v>3711</v>
      </c>
      <c r="E285" s="20" t="str">
        <f aca="false">P285&amp;","&amp;Q285&amp;","&amp;R285&amp;","&amp;S285&amp;","&amp;T285</f>
        <v>1：3kW（18畳）,2：4kW（24畳）,3：5kW（30畳）,4：6kW（36畳）,5:2kW（12畳）</v>
      </c>
      <c r="I285" s="20" t="s">
        <v>2133</v>
      </c>
      <c r="J285" s="20" t="s">
        <v>3703</v>
      </c>
      <c r="K285" s="20" t="s">
        <v>931</v>
      </c>
      <c r="L285" s="20" t="s">
        <v>3019</v>
      </c>
      <c r="M285" s="20" t="n">
        <v>0</v>
      </c>
      <c r="O285" s="20" t="s">
        <v>2953</v>
      </c>
      <c r="P285" s="20" t="s">
        <v>3712</v>
      </c>
      <c r="Q285" s="20" t="s">
        <v>3713</v>
      </c>
      <c r="R285" s="20" t="s">
        <v>3714</v>
      </c>
      <c r="S285" s="20" t="s">
        <v>3715</v>
      </c>
      <c r="T285" s="20" t="s">
        <v>3716</v>
      </c>
    </row>
    <row r="286" s="20" customFormat="true" ht="23.85" hidden="false" customHeight="false" outlineLevel="0" collapsed="false">
      <c r="B286" s="20" t="s">
        <v>3717</v>
      </c>
      <c r="C286" s="20" t="s">
        <v>3718</v>
      </c>
      <c r="E286" s="20" t="str">
        <f aca="false">P286&amp;","&amp;Q286&amp;","&amp;R286&amp;","&amp;S286&amp;","&amp;T286</f>
        <v>1：いつもいる,2：時々いる,3：週1～2日いる,4：いない,</v>
      </c>
      <c r="I286" s="20" t="s">
        <v>2133</v>
      </c>
      <c r="J286" s="20" t="s">
        <v>3497</v>
      </c>
      <c r="K286" s="20" t="s">
        <v>931</v>
      </c>
      <c r="L286" s="20" t="s">
        <v>3027</v>
      </c>
      <c r="M286" s="20" t="n">
        <v>0</v>
      </c>
      <c r="O286" s="20" t="s">
        <v>2953</v>
      </c>
      <c r="P286" s="20" t="s">
        <v>3719</v>
      </c>
      <c r="Q286" s="20" t="s">
        <v>3720</v>
      </c>
      <c r="R286" s="20" t="s">
        <v>3721</v>
      </c>
      <c r="S286" s="20" t="s">
        <v>3722</v>
      </c>
    </row>
    <row r="287" s="148" customFormat="true" ht="13.8" hidden="false" customHeight="false" outlineLevel="0" collapsed="false">
      <c r="B287" s="148" t="s">
        <v>3723</v>
      </c>
      <c r="C287" s="148" t="s">
        <v>3724</v>
      </c>
      <c r="E287" s="148" t="s">
        <v>3725</v>
      </c>
      <c r="F287" s="148" t="s">
        <v>1110</v>
      </c>
      <c r="I287" s="148" t="s">
        <v>2934</v>
      </c>
      <c r="J287" s="148" t="s">
        <v>2935</v>
      </c>
      <c r="K287" s="148" t="s">
        <v>931</v>
      </c>
    </row>
    <row r="288" s="20" customFormat="true" ht="23.85" hidden="false" customHeight="false" outlineLevel="0" collapsed="false">
      <c r="A288" s="20" t="s">
        <v>3726</v>
      </c>
      <c r="B288" s="161" t="s">
        <v>3727</v>
      </c>
      <c r="C288" s="162" t="s">
        <v>3728</v>
      </c>
      <c r="D288" s="162"/>
      <c r="E288" s="162"/>
      <c r="I288" s="20" t="s">
        <v>938</v>
      </c>
      <c r="K288" s="20" t="s">
        <v>932</v>
      </c>
    </row>
    <row r="289" s="20" customFormat="true" ht="23.85" hidden="false" customHeight="false" outlineLevel="0" collapsed="false">
      <c r="B289" s="20" t="s">
        <v>3729</v>
      </c>
      <c r="C289" s="162" t="s">
        <v>3730</v>
      </c>
      <c r="D289" s="162"/>
      <c r="E289" s="162"/>
      <c r="I289" s="20" t="s">
        <v>938</v>
      </c>
      <c r="K289" s="20" t="s">
        <v>932</v>
      </c>
    </row>
    <row r="290" s="20" customFormat="true" ht="23.85" hidden="false" customHeight="false" outlineLevel="0" collapsed="false">
      <c r="B290" s="20" t="s">
        <v>3731</v>
      </c>
      <c r="C290" s="20" t="s">
        <v>3732</v>
      </c>
      <c r="I290" s="20" t="s">
        <v>938</v>
      </c>
      <c r="K290" s="20" t="s">
        <v>932</v>
      </c>
    </row>
    <row r="291" s="20" customFormat="true" ht="23.85" hidden="false" customHeight="false" outlineLevel="0" collapsed="false">
      <c r="B291" s="20" t="s">
        <v>3733</v>
      </c>
      <c r="C291" s="20" t="s">
        <v>3734</v>
      </c>
      <c r="I291" s="20" t="s">
        <v>938</v>
      </c>
      <c r="K291" s="20" t="s">
        <v>932</v>
      </c>
    </row>
    <row r="292" s="20" customFormat="true" ht="23.85" hidden="false" customHeight="false" outlineLevel="0" collapsed="false">
      <c r="B292" s="20" t="s">
        <v>3735</v>
      </c>
      <c r="C292" s="20" t="s">
        <v>3736</v>
      </c>
      <c r="I292" s="20" t="s">
        <v>938</v>
      </c>
      <c r="K292" s="20" t="s">
        <v>932</v>
      </c>
    </row>
    <row r="293" s="20" customFormat="true" ht="23.85" hidden="false" customHeight="false" outlineLevel="0" collapsed="false">
      <c r="B293" s="156" t="s">
        <v>3737</v>
      </c>
      <c r="C293" s="20" t="s">
        <v>3738</v>
      </c>
      <c r="I293" s="20" t="s">
        <v>2934</v>
      </c>
      <c r="K293" s="20" t="s">
        <v>3739</v>
      </c>
      <c r="L293" s="20" t="s">
        <v>3367</v>
      </c>
      <c r="M293" s="20" t="n">
        <v>0</v>
      </c>
    </row>
    <row r="294" s="20" customFormat="true" ht="23.85" hidden="false" customHeight="false" outlineLevel="0" collapsed="false">
      <c r="B294" s="156" t="s">
        <v>3740</v>
      </c>
      <c r="C294" s="20" t="s">
        <v>3741</v>
      </c>
      <c r="I294" s="20" t="s">
        <v>2965</v>
      </c>
      <c r="K294" s="20" t="s">
        <v>933</v>
      </c>
      <c r="L294" s="20" t="s">
        <v>2960</v>
      </c>
      <c r="M294" s="20" t="b">
        <f aca="false">FALSE()</f>
        <v>0</v>
      </c>
    </row>
    <row r="295" s="20" customFormat="true" ht="23.85" hidden="false" customHeight="false" outlineLevel="0" collapsed="false">
      <c r="B295" s="156" t="s">
        <v>3742</v>
      </c>
      <c r="C295" s="20" t="s">
        <v>3743</v>
      </c>
      <c r="I295" s="20" t="s">
        <v>2965</v>
      </c>
      <c r="K295" s="20" t="s">
        <v>933</v>
      </c>
      <c r="L295" s="20" t="s">
        <v>2960</v>
      </c>
      <c r="M295" s="20" t="b">
        <f aca="false">FALSE()</f>
        <v>0</v>
      </c>
    </row>
    <row r="296" s="20" customFormat="true" ht="23.85" hidden="false" customHeight="false" outlineLevel="0" collapsed="false">
      <c r="B296" s="156" t="s">
        <v>3744</v>
      </c>
      <c r="C296" s="20" t="s">
        <v>3745</v>
      </c>
      <c r="I296" s="20" t="s">
        <v>2965</v>
      </c>
      <c r="K296" s="20" t="s">
        <v>933</v>
      </c>
      <c r="L296" s="20" t="s">
        <v>2960</v>
      </c>
      <c r="M296" s="20" t="b">
        <f aca="false">FALSE()</f>
        <v>0</v>
      </c>
    </row>
    <row r="297" s="20" customFormat="true" ht="23.85" hidden="false" customHeight="false" outlineLevel="0" collapsed="false">
      <c r="B297" s="156" t="s">
        <v>3746</v>
      </c>
      <c r="C297" s="20" t="s">
        <v>3747</v>
      </c>
      <c r="I297" s="20" t="s">
        <v>2965</v>
      </c>
      <c r="K297" s="20" t="s">
        <v>933</v>
      </c>
      <c r="L297" s="20" t="s">
        <v>2960</v>
      </c>
      <c r="M297" s="20" t="b">
        <f aca="false">FALSE()</f>
        <v>0</v>
      </c>
    </row>
    <row r="298" s="20" customFormat="true" ht="23.85" hidden="false" customHeight="false" outlineLevel="0" collapsed="false">
      <c r="B298" s="156" t="s">
        <v>3748</v>
      </c>
      <c r="C298" s="20" t="s">
        <v>3749</v>
      </c>
      <c r="I298" s="20" t="s">
        <v>2965</v>
      </c>
      <c r="K298" s="20" t="s">
        <v>933</v>
      </c>
      <c r="L298" s="20" t="s">
        <v>2960</v>
      </c>
      <c r="M298" s="20" t="b">
        <f aca="false">FALSE()</f>
        <v>0</v>
      </c>
    </row>
    <row r="299" s="20" customFormat="true" ht="23.85" hidden="false" customHeight="false" outlineLevel="0" collapsed="false">
      <c r="B299" s="156" t="s">
        <v>3750</v>
      </c>
      <c r="C299" s="20" t="s">
        <v>3751</v>
      </c>
      <c r="I299" s="20" t="s">
        <v>2965</v>
      </c>
      <c r="K299" s="20" t="s">
        <v>933</v>
      </c>
      <c r="L299" s="20" t="s">
        <v>2960</v>
      </c>
      <c r="M299" s="20" t="b">
        <f aca="false">FALSE()</f>
        <v>0</v>
      </c>
    </row>
    <row r="300" s="20" customFormat="true" ht="23.85" hidden="false" customHeight="false" outlineLevel="0" collapsed="false">
      <c r="B300" s="156" t="s">
        <v>3752</v>
      </c>
      <c r="C300" s="20" t="s">
        <v>3753</v>
      </c>
      <c r="I300" s="20" t="s">
        <v>938</v>
      </c>
      <c r="K300" s="20" t="s">
        <v>932</v>
      </c>
    </row>
    <row r="301" s="20" customFormat="true" ht="22.35" hidden="false" customHeight="false" outlineLevel="0" collapsed="false">
      <c r="B301" s="163" t="s">
        <v>3754</v>
      </c>
      <c r="C301" s="20" t="s">
        <v>3755</v>
      </c>
      <c r="I301" s="20" t="s">
        <v>938</v>
      </c>
      <c r="K301" s="20" t="s">
        <v>932</v>
      </c>
    </row>
    <row r="302" s="20" customFormat="true" ht="35.05" hidden="false" customHeight="false" outlineLevel="0" collapsed="false">
      <c r="B302" s="156" t="s">
        <v>3756</v>
      </c>
      <c r="C302" s="20" t="s">
        <v>3757</v>
      </c>
      <c r="I302" s="20" t="s">
        <v>938</v>
      </c>
      <c r="K302" s="20" t="s">
        <v>932</v>
      </c>
    </row>
    <row r="303" s="20" customFormat="true" ht="23.85" hidden="false" customHeight="false" outlineLevel="0" collapsed="false">
      <c r="B303" s="156" t="s">
        <v>3758</v>
      </c>
      <c r="C303" s="20" t="s">
        <v>3759</v>
      </c>
      <c r="I303" s="20" t="s">
        <v>938</v>
      </c>
      <c r="K303" s="20" t="s">
        <v>932</v>
      </c>
    </row>
    <row r="304" s="20" customFormat="true" ht="23.85" hidden="false" customHeight="false" outlineLevel="0" collapsed="false">
      <c r="B304" s="20" t="s">
        <v>3760</v>
      </c>
      <c r="C304" s="20" t="s">
        <v>3761</v>
      </c>
      <c r="I304" s="20" t="s">
        <v>938</v>
      </c>
      <c r="K304" s="20" t="s">
        <v>932</v>
      </c>
    </row>
    <row r="305" s="20" customFormat="true" ht="13.5" hidden="false" customHeight="false" outlineLevel="0" collapsed="false">
      <c r="B305" s="20" t="s">
        <v>3762</v>
      </c>
      <c r="C305" s="20" t="s">
        <v>3763</v>
      </c>
      <c r="I305" s="20" t="s">
        <v>938</v>
      </c>
      <c r="K305" s="20" t="s">
        <v>932</v>
      </c>
    </row>
    <row r="306" s="20" customFormat="true" ht="13.5" hidden="false" customHeight="false" outlineLevel="0" collapsed="false">
      <c r="B306" s="20" t="s">
        <v>3764</v>
      </c>
      <c r="C306" s="20" t="s">
        <v>3765</v>
      </c>
      <c r="I306" s="20" t="s">
        <v>938</v>
      </c>
      <c r="K306" s="20" t="s">
        <v>932</v>
      </c>
    </row>
    <row r="307" s="150" customFormat="true" ht="23.85" hidden="false" customHeight="false" outlineLevel="0" collapsed="false">
      <c r="A307" s="20" t="s">
        <v>3766</v>
      </c>
      <c r="B307" s="150" t="s">
        <v>3767</v>
      </c>
      <c r="C307" s="150" t="s">
        <v>3768</v>
      </c>
      <c r="E307" s="150" t="s">
        <v>3769</v>
      </c>
      <c r="I307" s="150" t="s">
        <v>2965</v>
      </c>
      <c r="K307" s="150" t="s">
        <v>933</v>
      </c>
      <c r="L307" s="150" t="s">
        <v>2960</v>
      </c>
      <c r="M307" s="164" t="b">
        <f aca="false">FALSE()</f>
        <v>0</v>
      </c>
    </row>
    <row r="308" s="150" customFormat="true" ht="13.5" hidden="false" customHeight="false" outlineLevel="0" collapsed="false">
      <c r="A308" s="20"/>
      <c r="B308" s="150" t="s">
        <v>3770</v>
      </c>
      <c r="C308" s="165" t="s">
        <v>3771</v>
      </c>
      <c r="D308" s="165"/>
      <c r="E308" s="165"/>
      <c r="I308" s="150" t="s">
        <v>2965</v>
      </c>
      <c r="K308" s="150" t="s">
        <v>933</v>
      </c>
      <c r="L308" s="150" t="s">
        <v>2960</v>
      </c>
      <c r="M308" s="164" t="b">
        <f aca="false">FALSE()</f>
        <v>0</v>
      </c>
    </row>
    <row r="309" s="150" customFormat="true" ht="13.5" hidden="false" customHeight="false" outlineLevel="0" collapsed="false">
      <c r="A309" s="20"/>
      <c r="B309" s="150" t="s">
        <v>3772</v>
      </c>
      <c r="C309" s="150" t="s">
        <v>3773</v>
      </c>
      <c r="I309" s="150" t="s">
        <v>2965</v>
      </c>
      <c r="K309" s="150" t="s">
        <v>933</v>
      </c>
      <c r="L309" s="150" t="s">
        <v>2960</v>
      </c>
      <c r="M309" s="164" t="b">
        <f aca="false">FALSE()</f>
        <v>0</v>
      </c>
    </row>
    <row r="310" s="150" customFormat="true" ht="13.5" hidden="false" customHeight="false" outlineLevel="0" collapsed="false">
      <c r="A310" s="20"/>
      <c r="B310" s="150" t="s">
        <v>3774</v>
      </c>
      <c r="C310" s="150" t="s">
        <v>3775</v>
      </c>
      <c r="I310" s="150" t="s">
        <v>2965</v>
      </c>
      <c r="K310" s="150" t="s">
        <v>933</v>
      </c>
      <c r="L310" s="150" t="s">
        <v>2960</v>
      </c>
      <c r="M310" s="164" t="b">
        <f aca="false">FALSE()</f>
        <v>0</v>
      </c>
    </row>
    <row r="311" s="150" customFormat="true" ht="13.5" hidden="false" customHeight="false" outlineLevel="0" collapsed="false">
      <c r="A311" s="20"/>
      <c r="B311" s="150" t="s">
        <v>3776</v>
      </c>
      <c r="C311" s="150" t="s">
        <v>3775</v>
      </c>
      <c r="I311" s="150" t="s">
        <v>2965</v>
      </c>
      <c r="K311" s="150" t="s">
        <v>933</v>
      </c>
      <c r="L311" s="150" t="s">
        <v>2960</v>
      </c>
      <c r="M311" s="164" t="b">
        <f aca="false">FALSE()</f>
        <v>0</v>
      </c>
    </row>
    <row r="312" s="150" customFormat="true" ht="13.5" hidden="false" customHeight="false" outlineLevel="0" collapsed="false">
      <c r="A312" s="20"/>
      <c r="B312" s="150" t="s">
        <v>3777</v>
      </c>
      <c r="C312" s="150" t="s">
        <v>3775</v>
      </c>
      <c r="I312" s="150" t="s">
        <v>2965</v>
      </c>
      <c r="K312" s="150" t="s">
        <v>933</v>
      </c>
      <c r="L312" s="150" t="s">
        <v>2960</v>
      </c>
      <c r="M312" s="164" t="b">
        <f aca="false">FALSE()</f>
        <v>0</v>
      </c>
    </row>
    <row r="313" s="150" customFormat="true" ht="13.5" hidden="false" customHeight="false" outlineLevel="0" collapsed="false">
      <c r="A313" s="20"/>
      <c r="B313" s="150" t="s">
        <v>3778</v>
      </c>
      <c r="C313" s="150" t="s">
        <v>3775</v>
      </c>
      <c r="I313" s="150" t="s">
        <v>2965</v>
      </c>
      <c r="K313" s="150" t="s">
        <v>933</v>
      </c>
      <c r="L313" s="150" t="s">
        <v>2960</v>
      </c>
      <c r="M313" s="164" t="b">
        <f aca="false">FALSE()</f>
        <v>0</v>
      </c>
    </row>
    <row r="314" s="150" customFormat="true" ht="13.5" hidden="false" customHeight="false" outlineLevel="0" collapsed="false">
      <c r="A314" s="20"/>
      <c r="B314" s="150" t="s">
        <v>3779</v>
      </c>
      <c r="C314" s="150" t="s">
        <v>3775</v>
      </c>
      <c r="I314" s="150" t="s">
        <v>2965</v>
      </c>
      <c r="K314" s="150" t="s">
        <v>933</v>
      </c>
      <c r="L314" s="150" t="s">
        <v>2960</v>
      </c>
      <c r="M314" s="164" t="b">
        <f aca="false">FALSE()</f>
        <v>0</v>
      </c>
    </row>
    <row r="315" s="150" customFormat="true" ht="13.5" hidden="false" customHeight="false" outlineLevel="0" collapsed="false">
      <c r="A315" s="20"/>
      <c r="B315" s="150" t="s">
        <v>3780</v>
      </c>
      <c r="C315" s="150" t="s">
        <v>3775</v>
      </c>
      <c r="I315" s="150" t="s">
        <v>2965</v>
      </c>
      <c r="K315" s="150" t="s">
        <v>933</v>
      </c>
      <c r="L315" s="150" t="s">
        <v>2960</v>
      </c>
      <c r="M315" s="164" t="b">
        <f aca="false">FALSE()</f>
        <v>0</v>
      </c>
    </row>
    <row r="316" s="150" customFormat="true" ht="13.5" hidden="false" customHeight="false" outlineLevel="0" collapsed="false">
      <c r="A316" s="20"/>
      <c r="B316" s="150" t="s">
        <v>3781</v>
      </c>
      <c r="C316" s="150" t="s">
        <v>3775</v>
      </c>
      <c r="I316" s="150" t="s">
        <v>2965</v>
      </c>
      <c r="K316" s="150" t="s">
        <v>933</v>
      </c>
      <c r="L316" s="150" t="s">
        <v>2960</v>
      </c>
      <c r="M316" s="164" t="b">
        <f aca="false">FALSE()</f>
        <v>0</v>
      </c>
    </row>
    <row r="317" s="150" customFormat="true" ht="13.5" hidden="false" customHeight="false" outlineLevel="0" collapsed="false">
      <c r="A317" s="20"/>
      <c r="B317" s="150" t="s">
        <v>3782</v>
      </c>
      <c r="C317" s="150" t="s">
        <v>3775</v>
      </c>
      <c r="I317" s="150" t="s">
        <v>2965</v>
      </c>
      <c r="K317" s="150" t="s">
        <v>933</v>
      </c>
      <c r="L317" s="150" t="s">
        <v>2960</v>
      </c>
      <c r="M317" s="164" t="b">
        <f aca="false">FALSE()</f>
        <v>0</v>
      </c>
    </row>
    <row r="318" s="150" customFormat="true" ht="13.5" hidden="false" customHeight="false" outlineLevel="0" collapsed="false">
      <c r="A318" s="20"/>
      <c r="B318" s="150" t="s">
        <v>3783</v>
      </c>
      <c r="C318" s="150" t="s">
        <v>3775</v>
      </c>
      <c r="I318" s="150" t="s">
        <v>2965</v>
      </c>
      <c r="K318" s="150" t="s">
        <v>933</v>
      </c>
      <c r="L318" s="150" t="s">
        <v>2960</v>
      </c>
      <c r="M318" s="164" t="b">
        <f aca="false">FALSE()</f>
        <v>0</v>
      </c>
    </row>
    <row r="319" s="150" customFormat="true" ht="13.5" hidden="false" customHeight="false" outlineLevel="0" collapsed="false">
      <c r="A319" s="20"/>
      <c r="B319" s="150" t="s">
        <v>3784</v>
      </c>
      <c r="C319" s="150" t="s">
        <v>3775</v>
      </c>
      <c r="I319" s="150" t="s">
        <v>2965</v>
      </c>
      <c r="K319" s="150" t="s">
        <v>933</v>
      </c>
      <c r="L319" s="150" t="s">
        <v>2960</v>
      </c>
      <c r="M319" s="164" t="b">
        <f aca="false">FALSE()</f>
        <v>0</v>
      </c>
    </row>
    <row r="320" s="150" customFormat="true" ht="13.5" hidden="false" customHeight="false" outlineLevel="0" collapsed="false">
      <c r="A320" s="20"/>
      <c r="B320" s="150" t="s">
        <v>3785</v>
      </c>
      <c r="C320" s="150" t="s">
        <v>3775</v>
      </c>
      <c r="I320" s="150" t="s">
        <v>2965</v>
      </c>
      <c r="K320" s="150" t="s">
        <v>933</v>
      </c>
      <c r="L320" s="150" t="s">
        <v>2960</v>
      </c>
      <c r="M320" s="164" t="b">
        <f aca="false">FALSE()</f>
        <v>0</v>
      </c>
    </row>
    <row r="321" s="20" customFormat="true" ht="13.5" hidden="false" customHeight="false" outlineLevel="0" collapsed="false">
      <c r="B321" s="20" t="s">
        <v>3786</v>
      </c>
      <c r="C321" s="20" t="s">
        <v>3787</v>
      </c>
      <c r="F321" s="20" t="s">
        <v>3788</v>
      </c>
      <c r="I321" s="20" t="s">
        <v>938</v>
      </c>
      <c r="J321" s="20" t="s">
        <v>2935</v>
      </c>
      <c r="K321" s="20" t="s">
        <v>931</v>
      </c>
    </row>
    <row r="322" s="20" customFormat="true" ht="23.85" hidden="false" customHeight="false" outlineLevel="0" collapsed="false">
      <c r="B322" s="20" t="s">
        <v>3789</v>
      </c>
      <c r="C322" s="20" t="s">
        <v>3790</v>
      </c>
      <c r="F322" s="20" t="s">
        <v>1144</v>
      </c>
      <c r="I322" s="20" t="s">
        <v>938</v>
      </c>
      <c r="J322" s="20" t="s">
        <v>2935</v>
      </c>
      <c r="K322" s="20" t="s">
        <v>931</v>
      </c>
    </row>
    <row r="323" s="20" customFormat="true" ht="23.85" hidden="false" customHeight="false" outlineLevel="0" collapsed="false">
      <c r="B323" s="20" t="s">
        <v>3791</v>
      </c>
      <c r="C323" s="20" t="s">
        <v>3792</v>
      </c>
      <c r="F323" s="20" t="s">
        <v>3793</v>
      </c>
      <c r="I323" s="20" t="s">
        <v>2133</v>
      </c>
      <c r="K323" s="20" t="s">
        <v>931</v>
      </c>
      <c r="L323" s="20" t="s">
        <v>3794</v>
      </c>
      <c r="M323" s="20" t="n">
        <v>60</v>
      </c>
      <c r="P323" s="20" t="s">
        <v>3795</v>
      </c>
      <c r="Q323" s="20" t="s">
        <v>3796</v>
      </c>
      <c r="R323" s="20" t="s">
        <v>3797</v>
      </c>
      <c r="S323" s="20" t="s">
        <v>3798</v>
      </c>
      <c r="T323" s="20" t="s">
        <v>3799</v>
      </c>
      <c r="U323" s="20" t="s">
        <v>3800</v>
      </c>
      <c r="V323" s="20" t="s">
        <v>3801</v>
      </c>
    </row>
    <row r="324" s="20" customFormat="true" ht="23.85" hidden="false" customHeight="false" outlineLevel="0" collapsed="false">
      <c r="B324" s="20" t="s">
        <v>3802</v>
      </c>
      <c r="C324" s="20" t="s">
        <v>3803</v>
      </c>
      <c r="F324" s="20" t="s">
        <v>1144</v>
      </c>
      <c r="I324" s="20" t="s">
        <v>938</v>
      </c>
      <c r="J324" s="20" t="s">
        <v>2935</v>
      </c>
      <c r="K324" s="20" t="s">
        <v>931</v>
      </c>
    </row>
    <row r="325" s="20" customFormat="true" ht="13.5" hidden="false" customHeight="false" outlineLevel="0" collapsed="false">
      <c r="B325" s="20" t="s">
        <v>3804</v>
      </c>
      <c r="C325" s="20" t="s">
        <v>3805</v>
      </c>
      <c r="F325" s="20" t="s">
        <v>1144</v>
      </c>
      <c r="I325" s="20" t="s">
        <v>938</v>
      </c>
      <c r="J325" s="20" t="s">
        <v>2935</v>
      </c>
      <c r="K325" s="20" t="s">
        <v>931</v>
      </c>
    </row>
    <row r="326" s="20" customFormat="true" ht="23.85" hidden="false" customHeight="false" outlineLevel="0" collapsed="false">
      <c r="B326" s="20" t="s">
        <v>3806</v>
      </c>
      <c r="C326" s="20" t="s">
        <v>3807</v>
      </c>
      <c r="F326" s="20" t="s">
        <v>1144</v>
      </c>
      <c r="I326" s="20" t="s">
        <v>938</v>
      </c>
      <c r="J326" s="20" t="s">
        <v>2935</v>
      </c>
      <c r="K326" s="20" t="s">
        <v>931</v>
      </c>
    </row>
    <row r="327" s="20" customFormat="true" ht="13.5" hidden="false" customHeight="false" outlineLevel="0" collapsed="false">
      <c r="B327" s="20" t="s">
        <v>3808</v>
      </c>
      <c r="C327" s="20" t="s">
        <v>3809</v>
      </c>
      <c r="F327" s="20" t="s">
        <v>1144</v>
      </c>
      <c r="I327" s="20" t="s">
        <v>938</v>
      </c>
      <c r="J327" s="20" t="s">
        <v>2935</v>
      </c>
      <c r="K327" s="20" t="s">
        <v>931</v>
      </c>
    </row>
    <row r="328" s="20" customFormat="true" ht="23.85" hidden="false" customHeight="false" outlineLevel="0" collapsed="false">
      <c r="B328" s="20" t="s">
        <v>3810</v>
      </c>
      <c r="C328" s="20" t="s">
        <v>3811</v>
      </c>
      <c r="F328" s="20" t="s">
        <v>1144</v>
      </c>
      <c r="I328" s="20" t="s">
        <v>938</v>
      </c>
      <c r="J328" s="20" t="s">
        <v>2935</v>
      </c>
      <c r="K328" s="20" t="s">
        <v>931</v>
      </c>
    </row>
    <row r="329" s="20" customFormat="true" ht="13.5" hidden="false" customHeight="false" outlineLevel="0" collapsed="false">
      <c r="B329" s="20" t="s">
        <v>3812</v>
      </c>
      <c r="C329" s="20" t="s">
        <v>3813</v>
      </c>
      <c r="F329" s="20" t="s">
        <v>3814</v>
      </c>
      <c r="I329" s="20" t="s">
        <v>938</v>
      </c>
      <c r="J329" s="20" t="s">
        <v>2935</v>
      </c>
      <c r="K329" s="20" t="s">
        <v>931</v>
      </c>
    </row>
    <row r="330" s="20" customFormat="true" ht="23.85" hidden="false" customHeight="false" outlineLevel="0" collapsed="false">
      <c r="B330" s="20" t="s">
        <v>3815</v>
      </c>
      <c r="C330" s="20" t="s">
        <v>3816</v>
      </c>
      <c r="F330" s="20" t="s">
        <v>3788</v>
      </c>
      <c r="I330" s="20" t="s">
        <v>2133</v>
      </c>
      <c r="K330" s="20" t="s">
        <v>931</v>
      </c>
      <c r="L330" s="149" t="s">
        <v>3817</v>
      </c>
      <c r="M330" s="20" t="n">
        <v>10</v>
      </c>
      <c r="P330" s="20" t="s">
        <v>3818</v>
      </c>
      <c r="Q330" s="20" t="s">
        <v>3819</v>
      </c>
      <c r="R330" s="20" t="s">
        <v>3820</v>
      </c>
      <c r="S330" s="20" t="s">
        <v>3821</v>
      </c>
    </row>
    <row r="331" s="148" customFormat="true" ht="23.85" hidden="false" customHeight="false" outlineLevel="0" collapsed="false">
      <c r="B331" s="148" t="s">
        <v>3822</v>
      </c>
      <c r="C331" s="148" t="s">
        <v>3823</v>
      </c>
      <c r="F331" s="148" t="s">
        <v>1144</v>
      </c>
      <c r="I331" s="148" t="s">
        <v>938</v>
      </c>
      <c r="J331" s="148" t="s">
        <v>2935</v>
      </c>
      <c r="K331" s="148" t="s">
        <v>931</v>
      </c>
    </row>
    <row r="332" s="20" customFormat="true" ht="13.8" hidden="false" customHeight="false" outlineLevel="0" collapsed="false">
      <c r="A332" s="20" t="s">
        <v>3824</v>
      </c>
      <c r="B332" s="20" t="s">
        <v>3825</v>
      </c>
      <c r="C332" s="20" t="s">
        <v>3826</v>
      </c>
      <c r="E332" s="20" t="s">
        <v>3302</v>
      </c>
      <c r="F332" s="20" t="s">
        <v>3827</v>
      </c>
      <c r="I332" s="20" t="s">
        <v>3828</v>
      </c>
      <c r="K332" s="20" t="s">
        <v>931</v>
      </c>
    </row>
    <row r="333" s="20" customFormat="true" ht="13.8" hidden="false" customHeight="false" outlineLevel="0" collapsed="false">
      <c r="B333" s="20" t="s">
        <v>3829</v>
      </c>
      <c r="C333" s="20" t="s">
        <v>3830</v>
      </c>
      <c r="E333" s="20" t="s">
        <v>3302</v>
      </c>
      <c r="F333" s="20" t="s">
        <v>3827</v>
      </c>
      <c r="I333" s="20" t="s">
        <v>3828</v>
      </c>
      <c r="K333" s="20" t="s">
        <v>931</v>
      </c>
    </row>
    <row r="334" s="20" customFormat="true" ht="13.8" hidden="false" customHeight="false" outlineLevel="0" collapsed="false">
      <c r="B334" s="20" t="s">
        <v>3831</v>
      </c>
      <c r="C334" s="20" t="s">
        <v>3832</v>
      </c>
      <c r="E334" s="20" t="s">
        <v>3302</v>
      </c>
      <c r="F334" s="20" t="s">
        <v>2100</v>
      </c>
      <c r="I334" s="20" t="s">
        <v>3828</v>
      </c>
      <c r="K334" s="20" t="s">
        <v>931</v>
      </c>
    </row>
    <row r="335" s="20" customFormat="true" ht="13.8" hidden="false" customHeight="false" outlineLevel="0" collapsed="false">
      <c r="B335" s="20" t="s">
        <v>3833</v>
      </c>
      <c r="C335" s="20" t="s">
        <v>3834</v>
      </c>
      <c r="E335" s="20" t="s">
        <v>3302</v>
      </c>
      <c r="F335" s="20" t="s">
        <v>2100</v>
      </c>
      <c r="I335" s="20" t="s">
        <v>3828</v>
      </c>
      <c r="K335" s="20" t="s">
        <v>931</v>
      </c>
    </row>
    <row r="336" s="20" customFormat="true" ht="23.85" hidden="false" customHeight="false" outlineLevel="0" collapsed="false">
      <c r="B336" s="20" t="s">
        <v>3835</v>
      </c>
      <c r="C336" s="20" t="s">
        <v>3836</v>
      </c>
      <c r="E336" s="20" t="s">
        <v>3837</v>
      </c>
      <c r="I336" s="20" t="s">
        <v>3828</v>
      </c>
      <c r="K336" s="20" t="s">
        <v>931</v>
      </c>
      <c r="L336" s="20" t="s">
        <v>3040</v>
      </c>
    </row>
    <row r="337" s="20" customFormat="true" ht="23.85" hidden="false" customHeight="false" outlineLevel="0" collapsed="false">
      <c r="B337" s="20" t="s">
        <v>3838</v>
      </c>
      <c r="C337" s="20" t="s">
        <v>3839</v>
      </c>
      <c r="E337" s="20" t="s">
        <v>3840</v>
      </c>
      <c r="I337" s="20" t="s">
        <v>3828</v>
      </c>
      <c r="K337" s="20" t="s">
        <v>932</v>
      </c>
    </row>
  </sheetData>
  <printOptions headings="false" gridLines="false" gridLinesSet="true" horizontalCentered="false" verticalCentered="false"/>
  <pageMargins left="0.7875" right="0.7875" top="0.984027777777778" bottom="0.984027777777778" header="0.511811023622047" footer="0.511805555555556"/>
  <pageSetup paperSize="8" scale="90" fitToWidth="1" fitToHeight="1" pageOrder="downThenOver" orientation="landscape" blackAndWhite="false" draft="false" cellComments="none" horizontalDpi="300" verticalDpi="300" copies="1"/>
  <headerFooter differentFirst="false" differentOddEven="false">
    <oddHeader/>
    <oddFooter>&amp;L&amp;D&amp;C兵庫省エネ診断ソフト　&amp;A&amp;RPage &amp;P</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3.5" customHeight="false" zeroHeight="false" outlineLevelRow="0" outlineLevelCol="0"/>
  <cols>
    <col collapsed="false" customWidth="true" hidden="false" outlineLevel="0" max="1" min="1" style="1" width="14.36"/>
    <col collapsed="false" customWidth="true" hidden="false" outlineLevel="0" max="2" min="2" style="1" width="17.51"/>
    <col collapsed="false" customWidth="true" hidden="false" outlineLevel="0" max="3" min="3" style="1" width="14.63"/>
    <col collapsed="false" customWidth="true" hidden="false" outlineLevel="0" max="4" min="4" style="1" width="40.12"/>
    <col collapsed="false" customWidth="true" hidden="false" outlineLevel="0" max="5" min="5" style="1" width="30.37"/>
    <col collapsed="false" customWidth="true" hidden="false" outlineLevel="0" max="6" min="6" style="1" width="28.63"/>
    <col collapsed="false" customWidth="true" hidden="false" outlineLevel="0" max="7" min="7" style="1" width="12.51"/>
  </cols>
  <sheetData>
    <row r="1" customFormat="false" ht="13.5" hidden="false" customHeight="false" outlineLevel="0" collapsed="false">
      <c r="A1" s="1" t="s">
        <v>3841</v>
      </c>
      <c r="B1" s="1" t="s">
        <v>3842</v>
      </c>
      <c r="C1" s="1" t="s">
        <v>3843</v>
      </c>
      <c r="D1" s="1" t="s">
        <v>3844</v>
      </c>
      <c r="E1" s="1" t="s">
        <v>3845</v>
      </c>
      <c r="F1" s="1" t="s">
        <v>3846</v>
      </c>
      <c r="G1" s="1" t="s">
        <v>3847</v>
      </c>
    </row>
    <row r="2" customFormat="false" ht="13.5" hidden="false" customHeight="false" outlineLevel="0" collapsed="false">
      <c r="A2" s="1" t="s">
        <v>3848</v>
      </c>
      <c r="B2" s="1" t="s">
        <v>3849</v>
      </c>
      <c r="C2" s="1" t="s">
        <v>3850</v>
      </c>
      <c r="D2" s="1" t="s">
        <v>3851</v>
      </c>
      <c r="E2" s="140" t="s">
        <v>3852</v>
      </c>
      <c r="G2" s="1" t="s">
        <v>3853</v>
      </c>
    </row>
    <row r="4" customFormat="false" ht="13.5" hidden="false" customHeight="false" outlineLevel="0" collapsed="false">
      <c r="A4" s="1" t="s">
        <v>3854</v>
      </c>
      <c r="B4" s="1" t="s">
        <v>3855</v>
      </c>
      <c r="C4" s="1" t="s">
        <v>3856</v>
      </c>
      <c r="D4" s="1" t="s">
        <v>3857</v>
      </c>
      <c r="E4" s="140" t="s">
        <v>3858</v>
      </c>
    </row>
    <row r="5" customFormat="false" ht="13.5" hidden="false" customHeight="false" outlineLevel="0" collapsed="false">
      <c r="D5" s="1" t="s">
        <v>3859</v>
      </c>
      <c r="E5" s="1" t="s">
        <v>3860</v>
      </c>
      <c r="F5" s="1" t="s">
        <v>3861</v>
      </c>
    </row>
    <row r="7" customFormat="false" ht="13.5" hidden="false" customHeight="false" outlineLevel="0" collapsed="false">
      <c r="A7" s="1" t="s">
        <v>3862</v>
      </c>
      <c r="B7" s="1" t="s">
        <v>3863</v>
      </c>
      <c r="C7" s="1" t="s">
        <v>3864</v>
      </c>
      <c r="E7" s="1" t="s">
        <v>3865</v>
      </c>
    </row>
    <row r="10" customFormat="false" ht="13.5" hidden="false" customHeight="false" outlineLevel="0" collapsed="false">
      <c r="A10" s="1" t="s">
        <v>3866</v>
      </c>
      <c r="B10" s="1" t="s">
        <v>3867</v>
      </c>
      <c r="C10" s="1" t="s">
        <v>3868</v>
      </c>
      <c r="D10" s="1" t="s">
        <v>3869</v>
      </c>
      <c r="E10" s="140" t="s">
        <v>3870</v>
      </c>
      <c r="F10" s="1" t="s">
        <v>3861</v>
      </c>
      <c r="G10" s="1" t="s">
        <v>3871</v>
      </c>
    </row>
    <row r="11" customFormat="false" ht="13.5" hidden="false" customHeight="false" outlineLevel="0" collapsed="false">
      <c r="D11" s="1" t="s">
        <v>3872</v>
      </c>
      <c r="F11" s="1" t="s">
        <v>3861</v>
      </c>
    </row>
    <row r="12" customFormat="false" ht="13.5" hidden="false" customHeight="false" outlineLevel="0" collapsed="false">
      <c r="D12" s="1" t="s">
        <v>3873</v>
      </c>
      <c r="F12" s="1" t="s">
        <v>3861</v>
      </c>
    </row>
    <row r="13" customFormat="false" ht="13.5" hidden="false" customHeight="false" outlineLevel="0" collapsed="false">
      <c r="F13" s="1" t="s">
        <v>3861</v>
      </c>
    </row>
    <row r="15" customFormat="false" ht="13.5" hidden="false" customHeight="false" outlineLevel="0" collapsed="false">
      <c r="A15" s="1" t="s">
        <v>3866</v>
      </c>
      <c r="B15" s="1" t="s">
        <v>3874</v>
      </c>
      <c r="C15" s="1" t="s">
        <v>3856</v>
      </c>
      <c r="D15" s="1" t="s">
        <v>3857</v>
      </c>
      <c r="E15" s="140" t="s">
        <v>3858</v>
      </c>
      <c r="G15" s="1" t="s">
        <v>3875</v>
      </c>
    </row>
    <row r="16" customFormat="false" ht="13.5" hidden="false" customHeight="false" outlineLevel="0" collapsed="false">
      <c r="D16" s="1" t="s">
        <v>3869</v>
      </c>
      <c r="E16" s="140" t="s">
        <v>3870</v>
      </c>
      <c r="F16" s="1" t="s">
        <v>3861</v>
      </c>
    </row>
    <row r="17" customFormat="false" ht="13.5" hidden="false" customHeight="false" outlineLevel="0" collapsed="false">
      <c r="D17" s="1" t="s">
        <v>3872</v>
      </c>
      <c r="F17" s="1" t="s">
        <v>3861</v>
      </c>
    </row>
    <row r="18" customFormat="false" ht="13.5" hidden="false" customHeight="false" outlineLevel="0" collapsed="false">
      <c r="D18" s="1" t="s">
        <v>3873</v>
      </c>
      <c r="F18" s="1" t="s">
        <v>3861</v>
      </c>
    </row>
    <row r="19" customFormat="false" ht="13.5" hidden="false" customHeight="false" outlineLevel="0" collapsed="false">
      <c r="F19" s="1" t="s">
        <v>3861</v>
      </c>
    </row>
    <row r="21" customFormat="false" ht="13.5" hidden="false" customHeight="false" outlineLevel="0" collapsed="false">
      <c r="A21" s="1" t="s">
        <v>3866</v>
      </c>
      <c r="B21" s="1" t="s">
        <v>3876</v>
      </c>
      <c r="C21" s="1" t="s">
        <v>3877</v>
      </c>
      <c r="D21" s="1" t="s">
        <v>3878</v>
      </c>
      <c r="E21" s="1" t="s">
        <v>3878</v>
      </c>
      <c r="G21" s="1" t="s">
        <v>3879</v>
      </c>
    </row>
    <row r="23" customFormat="false" ht="13.5" hidden="false" customHeight="false" outlineLevel="0" collapsed="false">
      <c r="A23" s="1" t="s">
        <v>3866</v>
      </c>
      <c r="B23" s="1" t="s">
        <v>3880</v>
      </c>
      <c r="C23" s="1" t="s">
        <v>3881</v>
      </c>
      <c r="D23" s="1" t="s">
        <v>3882</v>
      </c>
    </row>
    <row r="25" customFormat="false" ht="13.5" hidden="false" customHeight="false" outlineLevel="0" collapsed="false">
      <c r="A25" s="1" t="s">
        <v>3866</v>
      </c>
      <c r="B25" s="1" t="s">
        <v>3883</v>
      </c>
      <c r="C25" s="1" t="s">
        <v>2935</v>
      </c>
      <c r="D25" s="1" t="s">
        <v>3884</v>
      </c>
      <c r="E25" s="1" t="s">
        <v>3884</v>
      </c>
      <c r="F25" s="1" t="s">
        <v>3885</v>
      </c>
    </row>
    <row r="26" customFormat="false" ht="13.5" hidden="false" customHeight="false" outlineLevel="0" collapsed="false">
      <c r="F26" s="1" t="s">
        <v>3886</v>
      </c>
    </row>
    <row r="27" customFormat="false" ht="13.5" hidden="false" customHeight="false" outlineLevel="0" collapsed="false">
      <c r="F27" s="1" t="s">
        <v>3887</v>
      </c>
    </row>
    <row r="29" customFormat="false" ht="13.5" hidden="false" customHeight="false" outlineLevel="0" collapsed="false">
      <c r="A29" s="1" t="s">
        <v>3888</v>
      </c>
      <c r="B29" s="1" t="s">
        <v>3867</v>
      </c>
      <c r="C29" s="1" t="s">
        <v>2693</v>
      </c>
      <c r="D29" s="1" t="s">
        <v>3889</v>
      </c>
      <c r="E29" s="1" t="s">
        <v>3889</v>
      </c>
    </row>
    <row r="30" customFormat="false" ht="13.5" hidden="false" customHeight="false" outlineLevel="0" collapsed="false">
      <c r="D30" s="1" t="s">
        <v>3890</v>
      </c>
      <c r="E30" s="1" t="s">
        <v>3890</v>
      </c>
      <c r="G30" s="1" t="s">
        <v>3891</v>
      </c>
    </row>
    <row r="31" customFormat="false" ht="13.5" hidden="false" customHeight="false" outlineLevel="0" collapsed="false">
      <c r="D31" s="1" t="s">
        <v>3892</v>
      </c>
      <c r="G31" s="1" t="s">
        <v>3893</v>
      </c>
    </row>
    <row r="32" customFormat="false" ht="13.5" hidden="false" customHeight="false" outlineLevel="0" collapsed="false">
      <c r="D32" s="1" t="s">
        <v>3894</v>
      </c>
      <c r="E32" s="1" t="s">
        <v>3894</v>
      </c>
      <c r="G32" s="1" t="s">
        <v>3895</v>
      </c>
    </row>
    <row r="34" customFormat="false" ht="13.5" hidden="false" customHeight="false" outlineLevel="0" collapsed="false">
      <c r="A34" s="1" t="s">
        <v>3896</v>
      </c>
      <c r="B34" s="1" t="s">
        <v>3867</v>
      </c>
      <c r="C34" s="1" t="s">
        <v>3868</v>
      </c>
      <c r="D34" s="1" t="s">
        <v>3897</v>
      </c>
      <c r="F34" s="1" t="s">
        <v>3861</v>
      </c>
      <c r="G34" s="1" t="s">
        <v>3871</v>
      </c>
    </row>
    <row r="36" customFormat="false" ht="13.5" hidden="false" customHeight="false" outlineLevel="0" collapsed="false">
      <c r="A36" s="1" t="s">
        <v>3896</v>
      </c>
      <c r="B36" s="1" t="s">
        <v>3898</v>
      </c>
      <c r="C36" s="1" t="s">
        <v>3877</v>
      </c>
      <c r="D36" s="1" t="s">
        <v>3878</v>
      </c>
      <c r="E36" s="1" t="s">
        <v>3878</v>
      </c>
      <c r="G36" s="1" t="s">
        <v>2218</v>
      </c>
    </row>
    <row r="38" customFormat="false" ht="13.5" hidden="false" customHeight="false" outlineLevel="0" collapsed="false">
      <c r="A38" s="1" t="s">
        <v>3896</v>
      </c>
      <c r="B38" s="1" t="s">
        <v>3880</v>
      </c>
      <c r="C38" s="1" t="s">
        <v>3881</v>
      </c>
      <c r="D38" s="1" t="s">
        <v>3899</v>
      </c>
    </row>
    <row r="40" customFormat="false" ht="13.5" hidden="false" customHeight="false" outlineLevel="0" collapsed="false">
      <c r="A40" s="1" t="s">
        <v>3900</v>
      </c>
      <c r="B40" s="1" t="s">
        <v>3867</v>
      </c>
      <c r="C40" s="1" t="s">
        <v>2693</v>
      </c>
      <c r="D40" s="1" t="s">
        <v>3901</v>
      </c>
      <c r="E40" s="1" t="s">
        <v>3901</v>
      </c>
      <c r="F40" s="1" t="s">
        <v>3902</v>
      </c>
    </row>
    <row r="41" customFormat="false" ht="13.5" hidden="false" customHeight="false" outlineLevel="0" collapsed="false">
      <c r="C41" s="1" t="s">
        <v>2729</v>
      </c>
      <c r="D41" s="1" t="s">
        <v>3903</v>
      </c>
      <c r="E41" s="1" t="s">
        <v>3903</v>
      </c>
      <c r="G41" s="1" t="s">
        <v>3904</v>
      </c>
    </row>
    <row r="43" customFormat="false" ht="35.05" hidden="false" customHeight="false" outlineLevel="0" collapsed="false">
      <c r="A43" s="1" t="s">
        <v>3900</v>
      </c>
      <c r="B43" s="1" t="s">
        <v>3905</v>
      </c>
      <c r="C43" s="1" t="s">
        <v>2693</v>
      </c>
      <c r="D43" s="1" t="s">
        <v>3906</v>
      </c>
      <c r="E43" s="1" t="s">
        <v>3906</v>
      </c>
      <c r="F43" s="166" t="s">
        <v>3907</v>
      </c>
    </row>
    <row r="44" customFormat="false" ht="13.5" hidden="false" customHeight="false" outlineLevel="0" collapsed="false">
      <c r="C44" s="1" t="s">
        <v>2729</v>
      </c>
      <c r="D44" s="1" t="s">
        <v>3903</v>
      </c>
      <c r="E44" s="1" t="s">
        <v>3903</v>
      </c>
      <c r="F44" s="1" t="s">
        <v>3908</v>
      </c>
      <c r="G44" s="1" t="s">
        <v>3904</v>
      </c>
    </row>
    <row r="47" customFormat="false" ht="35.05" hidden="false" customHeight="false" outlineLevel="0" collapsed="false">
      <c r="A47" s="1" t="s">
        <v>3900</v>
      </c>
      <c r="B47" s="1" t="s">
        <v>3909</v>
      </c>
      <c r="C47" s="1" t="s">
        <v>2693</v>
      </c>
      <c r="D47" s="1" t="s">
        <v>3910</v>
      </c>
      <c r="E47" s="1" t="s">
        <v>3910</v>
      </c>
      <c r="F47" s="166" t="s">
        <v>3907</v>
      </c>
    </row>
    <row r="48" customFormat="false" ht="13.5" hidden="false" customHeight="false" outlineLevel="0" collapsed="false">
      <c r="C48" s="1" t="s">
        <v>2693</v>
      </c>
      <c r="D48" s="1" t="s">
        <v>3901</v>
      </c>
      <c r="E48" s="1" t="s">
        <v>3901</v>
      </c>
      <c r="F48" s="1" t="s">
        <v>3902</v>
      </c>
    </row>
    <row r="49" customFormat="false" ht="13.5" hidden="false" customHeight="false" outlineLevel="0" collapsed="false">
      <c r="C49" s="1" t="s">
        <v>2729</v>
      </c>
      <c r="D49" s="1" t="s">
        <v>3903</v>
      </c>
      <c r="E49" s="1" t="s">
        <v>3903</v>
      </c>
      <c r="F49" s="1" t="s">
        <v>3908</v>
      </c>
      <c r="G49" s="1" t="s">
        <v>3904</v>
      </c>
    </row>
    <row r="52" customFormat="false" ht="13.5" hidden="false" customHeight="false" outlineLevel="0" collapsed="false">
      <c r="A52" s="1" t="s">
        <v>3900</v>
      </c>
      <c r="B52" s="1" t="s">
        <v>3911</v>
      </c>
      <c r="C52" s="1" t="s">
        <v>2693</v>
      </c>
      <c r="D52" s="1" t="s">
        <v>3912</v>
      </c>
      <c r="E52" s="1" t="s">
        <v>3912</v>
      </c>
      <c r="F52" s="1" t="s">
        <v>3902</v>
      </c>
    </row>
    <row r="53" customFormat="false" ht="13.5" hidden="false" customHeight="false" outlineLevel="0" collapsed="false">
      <c r="C53" s="1" t="s">
        <v>2729</v>
      </c>
      <c r="D53" s="1" t="s">
        <v>3903</v>
      </c>
      <c r="E53" s="1" t="s">
        <v>3903</v>
      </c>
      <c r="F53" s="1" t="s">
        <v>3908</v>
      </c>
      <c r="G53" s="1" t="s">
        <v>3904</v>
      </c>
    </row>
    <row r="55" customFormat="false" ht="13.5" hidden="false" customHeight="false" outlineLevel="0" collapsed="false">
      <c r="A55" s="1" t="s">
        <v>3900</v>
      </c>
      <c r="B55" s="1" t="s">
        <v>3913</v>
      </c>
      <c r="C55" s="1" t="s">
        <v>2693</v>
      </c>
      <c r="D55" s="1" t="s">
        <v>3914</v>
      </c>
      <c r="E55" s="1" t="s">
        <v>3858</v>
      </c>
      <c r="F55" s="1" t="s">
        <v>3902</v>
      </c>
    </row>
    <row r="56" customFormat="false" ht="13.5" hidden="false" customHeight="false" outlineLevel="0" collapsed="false">
      <c r="C56" s="1" t="s">
        <v>2729</v>
      </c>
      <c r="D56" s="1" t="s">
        <v>3903</v>
      </c>
      <c r="E56" s="1" t="s">
        <v>3901</v>
      </c>
      <c r="F56" s="1" t="s">
        <v>3908</v>
      </c>
      <c r="G56" s="1" t="s">
        <v>3904</v>
      </c>
    </row>
    <row r="57" customFormat="false" ht="13.5" hidden="false" customHeight="false" outlineLevel="0" collapsed="false">
      <c r="E57" s="1" t="s">
        <v>3903</v>
      </c>
    </row>
    <row r="59" customFormat="false" ht="35.05" hidden="false" customHeight="false" outlineLevel="0" collapsed="false">
      <c r="A59" s="1" t="s">
        <v>3900</v>
      </c>
      <c r="B59" s="1" t="s">
        <v>3915</v>
      </c>
      <c r="C59" s="1" t="s">
        <v>2729</v>
      </c>
      <c r="D59" s="1" t="s">
        <v>3916</v>
      </c>
      <c r="E59" s="1" t="s">
        <v>3916</v>
      </c>
      <c r="F59" s="166" t="s">
        <v>3907</v>
      </c>
      <c r="G59" s="1" t="s">
        <v>3917</v>
      </c>
    </row>
    <row r="61" customFormat="false" ht="13.5" hidden="false" customHeight="false" outlineLevel="0" collapsed="false">
      <c r="A61" s="1" t="s">
        <v>3900</v>
      </c>
      <c r="B61" s="1" t="s">
        <v>3918</v>
      </c>
      <c r="G61" s="1" t="s">
        <v>3919</v>
      </c>
    </row>
    <row r="64" customFormat="false" ht="13.5" hidden="false" customHeight="false" outlineLevel="0" collapsed="false">
      <c r="A64" s="1" t="s">
        <v>3920</v>
      </c>
      <c r="B64" s="1" t="s">
        <v>3867</v>
      </c>
      <c r="C64" s="1" t="s">
        <v>2693</v>
      </c>
      <c r="D64" s="1" t="s">
        <v>3921</v>
      </c>
      <c r="E64" s="1" t="s">
        <v>3921</v>
      </c>
      <c r="G64" s="1" t="s">
        <v>3922</v>
      </c>
    </row>
    <row r="65" customFormat="false" ht="13.5" hidden="false" customHeight="false" outlineLevel="0" collapsed="false">
      <c r="D65" s="1" t="s">
        <v>3903</v>
      </c>
      <c r="E65" s="1" t="s">
        <v>3903</v>
      </c>
      <c r="F65" s="1" t="s">
        <v>3902</v>
      </c>
      <c r="G65" s="1" t="s">
        <v>3923</v>
      </c>
    </row>
    <row r="67" customFormat="false" ht="13.5" hidden="false" customHeight="false" outlineLevel="0" collapsed="false">
      <c r="A67" s="1" t="s">
        <v>3920</v>
      </c>
      <c r="B67" s="1" t="s">
        <v>3911</v>
      </c>
      <c r="C67" s="1" t="s">
        <v>2693</v>
      </c>
      <c r="D67" s="1" t="s">
        <v>3924</v>
      </c>
      <c r="E67" s="1" t="s">
        <v>3924</v>
      </c>
    </row>
    <row r="68" customFormat="false" ht="13.5" hidden="false" customHeight="false" outlineLevel="0" collapsed="false">
      <c r="D68" s="1" t="s">
        <v>3925</v>
      </c>
      <c r="E68" s="1" t="s">
        <v>3925</v>
      </c>
    </row>
    <row r="70" customFormat="false" ht="13.5" hidden="false" customHeight="false" outlineLevel="0" collapsed="false">
      <c r="A70" s="1" t="s">
        <v>3920</v>
      </c>
      <c r="B70" s="1" t="s">
        <v>3926</v>
      </c>
      <c r="C70" s="1" t="s">
        <v>2693</v>
      </c>
      <c r="D70" s="1" t="s">
        <v>3921</v>
      </c>
      <c r="E70" s="1" t="s">
        <v>3921</v>
      </c>
      <c r="G70" s="1" t="s">
        <v>3922</v>
      </c>
    </row>
    <row r="71" customFormat="false" ht="13.5" hidden="false" customHeight="false" outlineLevel="0" collapsed="false">
      <c r="D71" s="1" t="s">
        <v>3903</v>
      </c>
      <c r="E71" s="1" t="s">
        <v>3903</v>
      </c>
      <c r="F71" s="1" t="s">
        <v>3902</v>
      </c>
      <c r="G71" s="1" t="s">
        <v>3923</v>
      </c>
    </row>
    <row r="73" customFormat="false" ht="35.05" hidden="false" customHeight="false" outlineLevel="0" collapsed="false">
      <c r="A73" s="1" t="s">
        <v>3927</v>
      </c>
      <c r="B73" s="1" t="s">
        <v>3867</v>
      </c>
      <c r="C73" s="1" t="s">
        <v>2729</v>
      </c>
      <c r="D73" s="1" t="s">
        <v>3928</v>
      </c>
      <c r="F73" s="166" t="s">
        <v>3929</v>
      </c>
    </row>
    <row r="75" customFormat="false" ht="13.5" hidden="false" customHeight="false" outlineLevel="0" collapsed="false">
      <c r="A75" s="1" t="s">
        <v>2228</v>
      </c>
      <c r="B75" s="1" t="s">
        <v>3930</v>
      </c>
      <c r="C75" s="1" t="s">
        <v>3931</v>
      </c>
      <c r="D75" s="1" t="s">
        <v>3932</v>
      </c>
    </row>
    <row r="77" customFormat="false" ht="13.5" hidden="false" customHeight="false" outlineLevel="0" collapsed="false">
      <c r="A77" s="1" t="s">
        <v>2228</v>
      </c>
      <c r="B77" s="1" t="s">
        <v>2218</v>
      </c>
      <c r="C77" s="1" t="s">
        <v>3877</v>
      </c>
      <c r="D77" s="1" t="s">
        <v>3878</v>
      </c>
      <c r="E77" s="1" t="s">
        <v>3878</v>
      </c>
    </row>
    <row r="78" customFormat="false" ht="13.5" hidden="false" customHeight="false" outlineLevel="0" collapsed="false">
      <c r="B78" s="1" t="s">
        <v>2216</v>
      </c>
      <c r="C78" s="1" t="s">
        <v>2216</v>
      </c>
      <c r="E78" s="1" t="s">
        <v>3933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3.5" customHeight="false" zeroHeight="false" outlineLevelRow="0" outlineLevelCol="0"/>
  <cols>
    <col collapsed="false" customWidth="true" hidden="false" outlineLevel="0" max="1" min="1" style="1" width="31.37"/>
    <col collapsed="false" customWidth="true" hidden="false" outlineLevel="0" max="2" min="2" style="1" width="10.62"/>
    <col collapsed="false" customWidth="true" hidden="false" outlineLevel="0" max="3" min="3" style="1" width="37.63"/>
    <col collapsed="false" customWidth="true" hidden="false" outlineLevel="0" max="4" min="4" style="1" width="25.36"/>
    <col collapsed="false" customWidth="true" hidden="false" outlineLevel="0" max="5" min="5" style="1" width="10.88"/>
    <col collapsed="false" customWidth="true" hidden="false" outlineLevel="0" max="6" min="6" style="1" width="25.88"/>
    <col collapsed="false" customWidth="true" hidden="false" outlineLevel="0" max="7" min="7" style="1" width="16.88"/>
  </cols>
  <sheetData>
    <row r="1" customFormat="false" ht="13.5" hidden="false" customHeight="false" outlineLevel="0" collapsed="false">
      <c r="A1" s="1" t="s">
        <v>3934</v>
      </c>
      <c r="C1" s="1" t="s">
        <v>3935</v>
      </c>
    </row>
    <row r="2" customFormat="false" ht="13.5" hidden="false" customHeight="false" outlineLevel="0" collapsed="false">
      <c r="C2" s="1" t="s">
        <v>3936</v>
      </c>
    </row>
    <row r="3" customFormat="false" ht="13.5" hidden="false" customHeight="false" outlineLevel="0" collapsed="false">
      <c r="C3" s="1" t="s">
        <v>3937</v>
      </c>
    </row>
    <row r="4" customFormat="false" ht="13.5" hidden="false" customHeight="false" outlineLevel="0" collapsed="false">
      <c r="C4" s="1" t="s">
        <v>3938</v>
      </c>
    </row>
    <row r="5" customFormat="false" ht="13.5" hidden="false" customHeight="false" outlineLevel="0" collapsed="false">
      <c r="C5" s="1" t="s">
        <v>3939</v>
      </c>
      <c r="D5" s="1" t="s">
        <v>3940</v>
      </c>
    </row>
    <row r="7" customFormat="false" ht="13.5" hidden="false" customHeight="false" outlineLevel="0" collapsed="false">
      <c r="B7" s="1" t="s">
        <v>3941</v>
      </c>
      <c r="C7" s="1" t="s">
        <v>3942</v>
      </c>
      <c r="D7" s="1" t="s">
        <v>2721</v>
      </c>
    </row>
    <row r="8" customFormat="false" ht="13.5" hidden="false" customHeight="false" outlineLevel="0" collapsed="false">
      <c r="A8" s="1" t="s">
        <v>3943</v>
      </c>
      <c r="B8" s="1" t="s">
        <v>40</v>
      </c>
      <c r="C8" s="1" t="s">
        <v>3944</v>
      </c>
      <c r="D8" s="1" t="s">
        <v>3945</v>
      </c>
    </row>
    <row r="10" customFormat="false" ht="13.5" hidden="false" customHeight="false" outlineLevel="0" collapsed="false">
      <c r="A10" s="1" t="s">
        <v>3946</v>
      </c>
      <c r="B10" s="1" t="s">
        <v>40</v>
      </c>
      <c r="C10" s="1" t="s">
        <v>3878</v>
      </c>
      <c r="D10" s="1" t="s">
        <v>3945</v>
      </c>
    </row>
    <row r="12" customFormat="false" ht="13.5" hidden="false" customHeight="false" outlineLevel="0" collapsed="false">
      <c r="A12" s="1" t="s">
        <v>3947</v>
      </c>
      <c r="B12" s="1" t="s">
        <v>40</v>
      </c>
      <c r="C12" s="1" t="s">
        <v>3932</v>
      </c>
      <c r="D12" s="1" t="s">
        <v>3945</v>
      </c>
    </row>
    <row r="14" customFormat="false" ht="13.5" hidden="false" customHeight="false" outlineLevel="0" collapsed="false">
      <c r="A14" s="1" t="s">
        <v>3948</v>
      </c>
      <c r="B14" s="1" t="s">
        <v>99</v>
      </c>
      <c r="C14" s="1" t="s">
        <v>3857</v>
      </c>
    </row>
    <row r="17" customFormat="false" ht="13.5" hidden="false" customHeight="false" outlineLevel="0" collapsed="false">
      <c r="A17" s="1" t="s">
        <v>3949</v>
      </c>
      <c r="B17" s="1" t="s">
        <v>99</v>
      </c>
      <c r="C17" s="1" t="s">
        <v>3889</v>
      </c>
      <c r="D17" s="1" t="s">
        <v>3950</v>
      </c>
    </row>
    <row r="19" customFormat="false" ht="13.5" hidden="false" customHeight="false" outlineLevel="0" collapsed="false">
      <c r="A19" s="1" t="s">
        <v>3951</v>
      </c>
      <c r="B19" s="1" t="s">
        <v>99</v>
      </c>
      <c r="C19" s="1" t="s">
        <v>3952</v>
      </c>
      <c r="D19" s="1" t="s">
        <v>3953</v>
      </c>
      <c r="E19" s="1" t="s">
        <v>3954</v>
      </c>
      <c r="F19" s="1" t="s">
        <v>3955</v>
      </c>
      <c r="G19" s="1" t="s">
        <v>3956</v>
      </c>
    </row>
    <row r="20" customFormat="false" ht="13.5" hidden="false" customHeight="false" outlineLevel="0" collapsed="false">
      <c r="F20" s="1" t="s">
        <v>3957</v>
      </c>
      <c r="G20" s="1" t="s">
        <v>3958</v>
      </c>
    </row>
    <row r="21" customFormat="false" ht="13.5" hidden="false" customHeight="false" outlineLevel="0" collapsed="false">
      <c r="F21" s="1" t="s">
        <v>3959</v>
      </c>
    </row>
    <row r="23" customFormat="false" ht="13.5" hidden="false" customHeight="false" outlineLevel="0" collapsed="false">
      <c r="H23" s="1" t="s">
        <v>3960</v>
      </c>
      <c r="I23" s="1" t="s">
        <v>3961</v>
      </c>
      <c r="J23" s="1" t="s">
        <v>3962</v>
      </c>
      <c r="K23" s="1" t="s">
        <v>3963</v>
      </c>
      <c r="L23" s="1" t="s">
        <v>3964</v>
      </c>
    </row>
    <row r="24" customFormat="false" ht="13.5" hidden="false" customHeight="false" outlineLevel="0" collapsed="false">
      <c r="A24" s="1" t="s">
        <v>3965</v>
      </c>
      <c r="B24" s="1" t="s">
        <v>99</v>
      </c>
      <c r="C24" s="1" t="s">
        <v>3966</v>
      </c>
      <c r="D24" s="1" t="s">
        <v>3967</v>
      </c>
      <c r="E24" s="1" t="s">
        <v>3968</v>
      </c>
      <c r="F24" s="1" t="s">
        <v>3969</v>
      </c>
      <c r="G24" s="1" t="s">
        <v>3970</v>
      </c>
      <c r="H24" s="1" t="s">
        <v>1143</v>
      </c>
      <c r="I24" s="1" t="s">
        <v>3971</v>
      </c>
      <c r="J24" s="1" t="s">
        <v>3972</v>
      </c>
      <c r="K24" s="1" t="s">
        <v>3972</v>
      </c>
    </row>
    <row r="25" customFormat="false" ht="13.5" hidden="false" customHeight="false" outlineLevel="0" collapsed="false">
      <c r="F25" s="1" t="s">
        <v>3973</v>
      </c>
      <c r="G25" s="1" t="s">
        <v>3974</v>
      </c>
      <c r="H25" s="1" t="s">
        <v>1162</v>
      </c>
      <c r="I25" s="1" t="s">
        <v>3975</v>
      </c>
      <c r="J25" s="1" t="s">
        <v>3976</v>
      </c>
      <c r="K25" s="1" t="s">
        <v>3976</v>
      </c>
    </row>
    <row r="26" customFormat="false" ht="13.5" hidden="false" customHeight="false" outlineLevel="0" collapsed="false">
      <c r="F26" s="1" t="s">
        <v>3977</v>
      </c>
      <c r="G26" s="1" t="s">
        <v>3978</v>
      </c>
      <c r="H26" s="1" t="s">
        <v>3979</v>
      </c>
      <c r="I26" s="1" t="s">
        <v>3980</v>
      </c>
      <c r="J26" s="1" t="s">
        <v>3981</v>
      </c>
      <c r="K26" s="1" t="s">
        <v>3981</v>
      </c>
    </row>
    <row r="27" customFormat="false" ht="13.5" hidden="false" customHeight="false" outlineLevel="0" collapsed="false">
      <c r="F27" s="1" t="s">
        <v>3982</v>
      </c>
      <c r="G27" s="1" t="s">
        <v>3983</v>
      </c>
      <c r="H27" s="1" t="s">
        <v>3984</v>
      </c>
      <c r="I27" s="1" t="s">
        <v>3985</v>
      </c>
      <c r="J27" s="1" t="s">
        <v>3986</v>
      </c>
      <c r="K27" s="1" t="s">
        <v>3986</v>
      </c>
    </row>
    <row r="28" customFormat="false" ht="13.5" hidden="false" customHeight="false" outlineLevel="0" collapsed="false">
      <c r="F28" s="1" t="s">
        <v>3987</v>
      </c>
      <c r="G28" s="1" t="s">
        <v>3988</v>
      </c>
      <c r="H28" s="1" t="s">
        <v>3989</v>
      </c>
      <c r="I28" s="1" t="s">
        <v>3990</v>
      </c>
      <c r="J28" s="1" t="s">
        <v>3991</v>
      </c>
      <c r="K28" s="1" t="s">
        <v>3992</v>
      </c>
      <c r="L28" s="1" t="s">
        <v>3993</v>
      </c>
    </row>
    <row r="29" customFormat="false" ht="13.5" hidden="false" customHeight="false" outlineLevel="0" collapsed="false">
      <c r="F29" s="1" t="s">
        <v>3994</v>
      </c>
      <c r="G29" s="1" t="s">
        <v>3995</v>
      </c>
    </row>
    <row r="30" customFormat="false" ht="13.5" hidden="false" customHeight="false" outlineLevel="0" collapsed="false">
      <c r="F30" s="1" t="s">
        <v>3996</v>
      </c>
      <c r="G30" s="1" t="s">
        <v>3997</v>
      </c>
    </row>
    <row r="31" customFormat="false" ht="13.5" hidden="false" customHeight="false" outlineLevel="0" collapsed="false">
      <c r="F31" s="1" t="s">
        <v>3998</v>
      </c>
      <c r="G31" s="1" t="s">
        <v>3999</v>
      </c>
    </row>
    <row r="32" customFormat="false" ht="13.5" hidden="false" customHeight="false" outlineLevel="0" collapsed="false">
      <c r="F32" s="1" t="s">
        <v>4000</v>
      </c>
      <c r="G32" s="1" t="s">
        <v>4001</v>
      </c>
      <c r="I32" s="1" t="s">
        <v>4002</v>
      </c>
      <c r="J32" s="1" t="s">
        <v>4003</v>
      </c>
      <c r="K32" s="1" t="s">
        <v>4004</v>
      </c>
    </row>
    <row r="33" customFormat="false" ht="13.5" hidden="false" customHeight="false" outlineLevel="0" collapsed="false">
      <c r="F33" s="1" t="s">
        <v>4005</v>
      </c>
      <c r="G33" s="1" t="s">
        <v>4006</v>
      </c>
      <c r="I33" s="1" t="s">
        <v>4007</v>
      </c>
      <c r="J33" s="1" t="s">
        <v>4008</v>
      </c>
      <c r="K33" s="1" t="s">
        <v>4009</v>
      </c>
    </row>
    <row r="34" customFormat="false" ht="13.5" hidden="false" customHeight="false" outlineLevel="0" collapsed="false">
      <c r="F34" s="1" t="s">
        <v>4010</v>
      </c>
      <c r="G34" s="1" t="s">
        <v>4011</v>
      </c>
    </row>
    <row r="35" customFormat="false" ht="13.5" hidden="false" customHeight="false" outlineLevel="0" collapsed="false">
      <c r="F35" s="1" t="s">
        <v>4012</v>
      </c>
      <c r="G35" s="1" t="s">
        <v>4013</v>
      </c>
      <c r="I35" s="1" t="s">
        <v>4014</v>
      </c>
      <c r="J35" s="1" t="s">
        <v>4015</v>
      </c>
      <c r="K35" s="1" t="s">
        <v>4015</v>
      </c>
    </row>
    <row r="36" customFormat="false" ht="13.5" hidden="false" customHeight="false" outlineLevel="0" collapsed="false">
      <c r="F36" s="1" t="s">
        <v>4016</v>
      </c>
      <c r="G36" s="1" t="s">
        <v>4017</v>
      </c>
      <c r="H36" s="1" t="s">
        <v>3989</v>
      </c>
      <c r="I36" s="1" t="s">
        <v>3990</v>
      </c>
      <c r="J36" s="1" t="s">
        <v>4018</v>
      </c>
    </row>
    <row r="40" customFormat="false" ht="13.5" hidden="false" customHeight="false" outlineLevel="0" collapsed="false">
      <c r="A40" s="1" t="s">
        <v>4019</v>
      </c>
      <c r="B40" s="1" t="s">
        <v>99</v>
      </c>
      <c r="C40" s="1" t="s">
        <v>3892</v>
      </c>
      <c r="D40" s="1" t="s">
        <v>4020</v>
      </c>
    </row>
    <row r="43" customFormat="false" ht="13.5" hidden="false" customHeight="false" outlineLevel="0" collapsed="false">
      <c r="A43" s="1" t="s">
        <v>4021</v>
      </c>
      <c r="B43" s="1" t="s">
        <v>99</v>
      </c>
      <c r="C43" s="1" t="s">
        <v>4022</v>
      </c>
      <c r="D43" s="1" t="s">
        <v>4023</v>
      </c>
    </row>
    <row r="44" customFormat="false" ht="13.5" hidden="false" customHeight="false" outlineLevel="0" collapsed="false">
      <c r="D44" s="1" t="s">
        <v>4024</v>
      </c>
    </row>
    <row r="46" customFormat="false" ht="13.5" hidden="false" customHeight="false" outlineLevel="0" collapsed="false">
      <c r="A46" s="1" t="s">
        <v>4025</v>
      </c>
      <c r="B46" s="1" t="s">
        <v>99</v>
      </c>
      <c r="C46" s="1" t="s">
        <v>3903</v>
      </c>
      <c r="D46" s="1" t="s">
        <v>4023</v>
      </c>
    </row>
    <row r="47" customFormat="false" ht="13.5" hidden="false" customHeight="false" outlineLevel="0" collapsed="false">
      <c r="D47" s="1" t="s">
        <v>4024</v>
      </c>
      <c r="E47" s="1" t="s">
        <v>4026</v>
      </c>
      <c r="F47" s="1" t="s">
        <v>4027</v>
      </c>
      <c r="G47" s="1" t="s">
        <v>4028</v>
      </c>
    </row>
    <row r="48" customFormat="false" ht="13.5" hidden="false" customHeight="false" outlineLevel="0" collapsed="false">
      <c r="F48" s="1" t="s">
        <v>4029</v>
      </c>
      <c r="G48" s="1" t="s">
        <v>4030</v>
      </c>
    </row>
    <row r="49" customFormat="false" ht="13.5" hidden="false" customHeight="false" outlineLevel="0" collapsed="false">
      <c r="F49" s="1" t="s">
        <v>4031</v>
      </c>
      <c r="G49" s="1" t="s">
        <v>4032</v>
      </c>
    </row>
    <row r="50" customFormat="false" ht="13.5" hidden="false" customHeight="false" outlineLevel="0" collapsed="false">
      <c r="F50" s="1" t="s">
        <v>4033</v>
      </c>
      <c r="G50" s="1" t="s">
        <v>4034</v>
      </c>
    </row>
    <row r="51" customFormat="false" ht="13.5" hidden="false" customHeight="false" outlineLevel="0" collapsed="false">
      <c r="F51" s="1" t="s">
        <v>4035</v>
      </c>
      <c r="G51" s="1" t="s">
        <v>4036</v>
      </c>
    </row>
    <row r="52" customFormat="false" ht="13.5" hidden="false" customHeight="false" outlineLevel="0" collapsed="false">
      <c r="F52" s="1" t="s">
        <v>4037</v>
      </c>
      <c r="G52" s="1" t="s">
        <v>4038</v>
      </c>
    </row>
    <row r="53" customFormat="false" ht="13.5" hidden="false" customHeight="false" outlineLevel="0" collapsed="false">
      <c r="F53" s="1" t="s">
        <v>4039</v>
      </c>
      <c r="G53" s="1" t="s">
        <v>4040</v>
      </c>
    </row>
    <row r="54" customFormat="false" ht="13.5" hidden="false" customHeight="false" outlineLevel="0" collapsed="false">
      <c r="F54" s="1" t="s">
        <v>4041</v>
      </c>
      <c r="G54" s="1" t="s">
        <v>4042</v>
      </c>
    </row>
    <row r="55" customFormat="false" ht="13.5" hidden="false" customHeight="false" outlineLevel="0" collapsed="false">
      <c r="F55" s="1" t="s">
        <v>4043</v>
      </c>
      <c r="G55" s="1" t="s">
        <v>4044</v>
      </c>
    </row>
    <row r="56" customFormat="false" ht="13.5" hidden="false" customHeight="false" outlineLevel="0" collapsed="false">
      <c r="F56" s="1" t="s">
        <v>4045</v>
      </c>
      <c r="G56" s="1" t="s">
        <v>4046</v>
      </c>
    </row>
    <row r="57" customFormat="false" ht="13.5" hidden="false" customHeight="false" outlineLevel="0" collapsed="false">
      <c r="F57" s="1" t="s">
        <v>4047</v>
      </c>
      <c r="G57" s="1" t="s">
        <v>4048</v>
      </c>
    </row>
    <row r="58" customFormat="false" ht="13.5" hidden="false" customHeight="false" outlineLevel="0" collapsed="false">
      <c r="F58" s="1" t="s">
        <v>4049</v>
      </c>
      <c r="G58" s="1" t="s">
        <v>4050</v>
      </c>
    </row>
    <row r="61" customFormat="false" ht="13.5" hidden="false" customHeight="false" outlineLevel="0" collapsed="false">
      <c r="A61" s="1" t="s">
        <v>4051</v>
      </c>
      <c r="B61" s="1" t="s">
        <v>4052</v>
      </c>
      <c r="C61" s="1" t="s">
        <v>4053</v>
      </c>
      <c r="D61" s="1" t="s">
        <v>4054</v>
      </c>
    </row>
    <row r="62" customFormat="false" ht="13.5" hidden="false" customHeight="false" outlineLevel="0" collapsed="false">
      <c r="D62" s="1" t="s">
        <v>4055</v>
      </c>
    </row>
    <row r="65" customFormat="false" ht="13.5" hidden="false" customHeight="false" outlineLevel="0" collapsed="false">
      <c r="A65" s="1" t="s">
        <v>4056</v>
      </c>
      <c r="B65" s="1" t="s">
        <v>4052</v>
      </c>
      <c r="C65" s="1" t="s">
        <v>4057</v>
      </c>
      <c r="D65" s="1" t="s">
        <v>4058</v>
      </c>
    </row>
    <row r="66" customFormat="false" ht="13.5" hidden="false" customHeight="false" outlineLevel="0" collapsed="false">
      <c r="D66" s="1" t="s">
        <v>4059</v>
      </c>
    </row>
    <row r="68" customFormat="false" ht="13.5" hidden="false" customHeight="false" outlineLevel="0" collapsed="false">
      <c r="A68" s="1" t="s">
        <v>4060</v>
      </c>
      <c r="B68" s="1" t="s">
        <v>4052</v>
      </c>
      <c r="C68" s="1" t="s">
        <v>3910</v>
      </c>
      <c r="D68" s="1" t="s">
        <v>4058</v>
      </c>
    </row>
    <row r="69" customFormat="false" ht="13.5" hidden="false" customHeight="false" outlineLevel="0" collapsed="false">
      <c r="D69" s="1" t="s">
        <v>4059</v>
      </c>
    </row>
    <row r="71" customFormat="false" ht="13.5" hidden="false" customHeight="false" outlineLevel="0" collapsed="false">
      <c r="A71" s="1" t="s">
        <v>4061</v>
      </c>
      <c r="B71" s="1" t="s">
        <v>4052</v>
      </c>
      <c r="C71" s="1" t="s">
        <v>4062</v>
      </c>
      <c r="D71" s="1" t="s">
        <v>4058</v>
      </c>
    </row>
    <row r="73" customFormat="false" ht="13.5" hidden="false" customHeight="false" outlineLevel="0" collapsed="false">
      <c r="A73" s="1" t="s">
        <v>4063</v>
      </c>
      <c r="B73" s="1" t="s">
        <v>37</v>
      </c>
      <c r="C73" s="1" t="s">
        <v>3928</v>
      </c>
      <c r="D73" s="1" t="s">
        <v>4059</v>
      </c>
      <c r="F73" s="1" t="s">
        <v>4064</v>
      </c>
      <c r="G73" s="1" t="s">
        <v>4065</v>
      </c>
    </row>
    <row r="74" customFormat="false" ht="13.5" hidden="false" customHeight="false" outlineLevel="0" collapsed="false">
      <c r="F74" s="1" t="s">
        <v>4066</v>
      </c>
      <c r="G74" s="1" t="s">
        <v>4067</v>
      </c>
    </row>
    <row r="75" customFormat="false" ht="13.5" hidden="false" customHeight="false" outlineLevel="0" collapsed="false">
      <c r="F75" s="1" t="s">
        <v>4068</v>
      </c>
      <c r="G75" s="1" t="s">
        <v>4069</v>
      </c>
    </row>
    <row r="76" customFormat="false" ht="13.5" hidden="false" customHeight="false" outlineLevel="0" collapsed="false">
      <c r="F76" s="1" t="s">
        <v>4070</v>
      </c>
      <c r="G76" s="1" t="s">
        <v>4071</v>
      </c>
    </row>
    <row r="77" customFormat="false" ht="13.5" hidden="false" customHeight="false" outlineLevel="0" collapsed="false">
      <c r="F77" s="1" t="s">
        <v>4072</v>
      </c>
      <c r="G77" s="1" t="s">
        <v>4073</v>
      </c>
    </row>
    <row r="78" customFormat="false" ht="13.5" hidden="false" customHeight="false" outlineLevel="0" collapsed="false">
      <c r="F78" s="1" t="s">
        <v>3994</v>
      </c>
      <c r="G78" s="1" t="s">
        <v>4074</v>
      </c>
      <c r="J78" s="1" t="s">
        <v>4075</v>
      </c>
    </row>
    <row r="79" customFormat="false" ht="13.5" hidden="false" customHeight="false" outlineLevel="0" collapsed="false">
      <c r="J79" s="1" t="s">
        <v>4076</v>
      </c>
    </row>
    <row r="80" customFormat="false" ht="13.5" hidden="false" customHeight="false" outlineLevel="0" collapsed="false">
      <c r="A80" s="1" t="s">
        <v>4077</v>
      </c>
      <c r="B80" s="1" t="s">
        <v>37</v>
      </c>
      <c r="C80" s="1" t="s">
        <v>3916</v>
      </c>
      <c r="D80" s="1" t="s">
        <v>4059</v>
      </c>
      <c r="G80" s="1" t="s">
        <v>4078</v>
      </c>
    </row>
    <row r="83" customFormat="false" ht="13.5" hidden="false" customHeight="false" outlineLevel="0" collapsed="false">
      <c r="A83" s="1" t="s">
        <v>4079</v>
      </c>
      <c r="B83" s="1" t="s">
        <v>4052</v>
      </c>
      <c r="C83" s="1" t="s">
        <v>4080</v>
      </c>
      <c r="D83" s="1" t="s">
        <v>4081</v>
      </c>
      <c r="F83" s="1" t="s">
        <v>4082</v>
      </c>
      <c r="G83" s="1" t="s">
        <v>4083</v>
      </c>
    </row>
    <row r="84" customFormat="false" ht="13.5" hidden="false" customHeight="false" outlineLevel="0" collapsed="false">
      <c r="G84" s="1" t="s">
        <v>4084</v>
      </c>
    </row>
    <row r="85" customFormat="false" ht="13.5" hidden="false" customHeight="false" outlineLevel="0" collapsed="false">
      <c r="G85" s="1" t="s">
        <v>4085</v>
      </c>
    </row>
    <row r="87" customFormat="false" ht="13.5" hidden="false" customHeight="false" outlineLevel="0" collapsed="false">
      <c r="A87" s="1" t="s">
        <v>4086</v>
      </c>
      <c r="B87" s="1" t="s">
        <v>4052</v>
      </c>
      <c r="C87" s="1" t="s">
        <v>4087</v>
      </c>
      <c r="D87" s="1" t="s">
        <v>4023</v>
      </c>
      <c r="F87" s="1" t="s">
        <v>4064</v>
      </c>
      <c r="G87" s="1" t="s">
        <v>4088</v>
      </c>
    </row>
    <row r="88" customFormat="false" ht="13.5" hidden="false" customHeight="false" outlineLevel="0" collapsed="false">
      <c r="F88" s="1" t="s">
        <v>4066</v>
      </c>
      <c r="G88" s="1" t="s">
        <v>4089</v>
      </c>
      <c r="I88" s="1" t="s">
        <v>4090</v>
      </c>
    </row>
    <row r="89" customFormat="false" ht="13.5" hidden="false" customHeight="false" outlineLevel="0" collapsed="false">
      <c r="F89" s="1" t="s">
        <v>4068</v>
      </c>
      <c r="G89" s="1" t="s">
        <v>4091</v>
      </c>
    </row>
    <row r="90" customFormat="false" ht="13.5" hidden="false" customHeight="false" outlineLevel="0" collapsed="false">
      <c r="F90" s="1" t="s">
        <v>4070</v>
      </c>
      <c r="G90" s="1" t="s">
        <v>4092</v>
      </c>
    </row>
    <row r="91" customFormat="false" ht="13.5" hidden="false" customHeight="false" outlineLevel="0" collapsed="false">
      <c r="F91" s="1" t="s">
        <v>4072</v>
      </c>
      <c r="G91" s="1" t="s">
        <v>4093</v>
      </c>
    </row>
    <row r="92" customFormat="false" ht="13.5" hidden="false" customHeight="false" outlineLevel="0" collapsed="false">
      <c r="F92" s="1" t="s">
        <v>3994</v>
      </c>
      <c r="G92" s="1" t="s">
        <v>4094</v>
      </c>
    </row>
    <row r="93" customFormat="false" ht="13.5" hidden="false" customHeight="false" outlineLevel="0" collapsed="false">
      <c r="F93" s="1" t="s">
        <v>3996</v>
      </c>
      <c r="G93" s="1" t="s">
        <v>4095</v>
      </c>
    </row>
    <row r="94" customFormat="false" ht="13.5" hidden="false" customHeight="false" outlineLevel="0" collapsed="false">
      <c r="F94" s="1" t="s">
        <v>3998</v>
      </c>
      <c r="G94" s="1" t="s">
        <v>2769</v>
      </c>
    </row>
    <row r="95" customFormat="false" ht="13.5" hidden="false" customHeight="false" outlineLevel="0" collapsed="false">
      <c r="F95" s="1" t="s">
        <v>4096</v>
      </c>
      <c r="G95" s="1" t="s">
        <v>4097</v>
      </c>
    </row>
    <row r="96" customFormat="false" ht="13.5" hidden="false" customHeight="false" outlineLevel="0" collapsed="false">
      <c r="F96" s="1" t="s">
        <v>4098</v>
      </c>
      <c r="G96" s="1" t="s">
        <v>4099</v>
      </c>
    </row>
    <row r="97" customFormat="false" ht="13.5" hidden="false" customHeight="false" outlineLevel="0" collapsed="false">
      <c r="F97" s="1" t="s">
        <v>4010</v>
      </c>
      <c r="G97" s="1" t="s">
        <v>4100</v>
      </c>
    </row>
    <row r="99" customFormat="false" ht="13.5" hidden="false" customHeight="false" outlineLevel="0" collapsed="false">
      <c r="A99" s="1" t="s">
        <v>4101</v>
      </c>
      <c r="B99" s="1" t="s">
        <v>4052</v>
      </c>
      <c r="C99" s="1" t="s">
        <v>4102</v>
      </c>
      <c r="F99" s="1" t="s">
        <v>4103</v>
      </c>
      <c r="G99" s="1" t="s">
        <v>4104</v>
      </c>
    </row>
    <row r="100" customFormat="false" ht="13.5" hidden="false" customHeight="false" outlineLevel="0" collapsed="false">
      <c r="G100" s="1" t="s">
        <v>4105</v>
      </c>
    </row>
    <row r="102" customFormat="false" ht="13.5" hidden="false" customHeight="false" outlineLevel="0" collapsed="false">
      <c r="A102" s="26" t="s">
        <v>4106</v>
      </c>
      <c r="B102" s="26" t="s">
        <v>4052</v>
      </c>
      <c r="C102" s="26" t="s">
        <v>4107</v>
      </c>
      <c r="F102" s="1" t="s">
        <v>4064</v>
      </c>
      <c r="G102" s="1" t="s">
        <v>4108</v>
      </c>
      <c r="H102" s="1" t="s">
        <v>4109</v>
      </c>
    </row>
    <row r="103" customFormat="false" ht="13.5" hidden="false" customHeight="false" outlineLevel="0" collapsed="false">
      <c r="F103" s="1" t="s">
        <v>3973</v>
      </c>
      <c r="G103" s="1" t="s">
        <v>4110</v>
      </c>
      <c r="I103" s="1" t="s">
        <v>4111</v>
      </c>
    </row>
    <row r="104" customFormat="false" ht="13.5" hidden="false" customHeight="false" outlineLevel="0" collapsed="false">
      <c r="F104" s="1" t="s">
        <v>3977</v>
      </c>
      <c r="G104" s="1" t="s">
        <v>4112</v>
      </c>
      <c r="I104" s="1" t="s">
        <v>4111</v>
      </c>
    </row>
    <row r="105" customFormat="false" ht="13.5" hidden="false" customHeight="false" outlineLevel="0" collapsed="false">
      <c r="F105" s="1" t="s">
        <v>3982</v>
      </c>
      <c r="G105" s="1" t="s">
        <v>4113</v>
      </c>
      <c r="I105" s="1" t="s">
        <v>4111</v>
      </c>
    </row>
    <row r="106" customFormat="false" ht="13.5" hidden="false" customHeight="false" outlineLevel="0" collapsed="false">
      <c r="F106" s="1" t="s">
        <v>4072</v>
      </c>
      <c r="G106" s="1" t="s">
        <v>4114</v>
      </c>
    </row>
    <row r="108" customFormat="false" ht="13.5" hidden="false" customHeight="false" outlineLevel="0" collapsed="false">
      <c r="A108" s="26" t="s">
        <v>4115</v>
      </c>
      <c r="B108" s="26" t="s">
        <v>4052</v>
      </c>
      <c r="C108" s="26" t="s">
        <v>4116</v>
      </c>
      <c r="E108" s="1" t="s">
        <v>4117</v>
      </c>
      <c r="F108" s="1" t="s">
        <v>2699</v>
      </c>
    </row>
    <row r="109" customFormat="false" ht="13.5" hidden="false" customHeight="false" outlineLevel="0" collapsed="false">
      <c r="F109" s="1" t="s">
        <v>4118</v>
      </c>
    </row>
    <row r="110" customFormat="false" ht="13.5" hidden="false" customHeight="false" outlineLevel="0" collapsed="false">
      <c r="F110" s="1" t="s">
        <v>4119</v>
      </c>
    </row>
    <row r="111" customFormat="false" ht="13.5" hidden="false" customHeight="false" outlineLevel="0" collapsed="false">
      <c r="F111" s="1" t="s">
        <v>4120</v>
      </c>
      <c r="G111" s="1" t="s">
        <v>4121</v>
      </c>
    </row>
    <row r="112" customFormat="false" ht="13.5" hidden="false" customHeight="false" outlineLevel="0" collapsed="false">
      <c r="F112" s="1" t="s">
        <v>4122</v>
      </c>
      <c r="G112" s="1" t="s">
        <v>4123</v>
      </c>
      <c r="H112" s="1" t="s">
        <v>3788</v>
      </c>
    </row>
    <row r="114" customFormat="false" ht="13.5" hidden="false" customHeight="false" outlineLevel="0" collapsed="false">
      <c r="F114" s="1" t="s">
        <v>4124</v>
      </c>
    </row>
    <row r="115" customFormat="false" ht="13.5" hidden="false" customHeight="false" outlineLevel="0" collapsed="false">
      <c r="F115" s="1" t="s">
        <v>4125</v>
      </c>
      <c r="G115" s="1" t="s">
        <v>4126</v>
      </c>
    </row>
    <row r="117" s="26" customFormat="true" ht="13.5" hidden="false" customHeight="false" outlineLevel="0" collapsed="false">
      <c r="A117" s="26" t="s">
        <v>4127</v>
      </c>
      <c r="B117" s="26" t="s">
        <v>4052</v>
      </c>
      <c r="C117" s="26" t="s">
        <v>4128</v>
      </c>
      <c r="F117" s="26" t="s">
        <v>2699</v>
      </c>
    </row>
    <row r="118" customFormat="false" ht="13.5" hidden="false" customHeight="false" outlineLevel="0" collapsed="false">
      <c r="F118" s="1" t="s">
        <v>4129</v>
      </c>
      <c r="G118" s="1" t="s">
        <v>4130</v>
      </c>
      <c r="J118" s="1" t="s">
        <v>4131</v>
      </c>
    </row>
    <row r="119" customFormat="false" ht="13.5" hidden="false" customHeight="false" outlineLevel="0" collapsed="false">
      <c r="F119" s="1" t="s">
        <v>2870</v>
      </c>
      <c r="G119" s="1" t="s">
        <v>4132</v>
      </c>
      <c r="J119" s="1" t="s">
        <v>4133</v>
      </c>
    </row>
    <row r="120" customFormat="false" ht="13.5" hidden="false" customHeight="false" outlineLevel="0" collapsed="false">
      <c r="F120" s="1" t="s">
        <v>484</v>
      </c>
      <c r="G120" s="1" t="s">
        <v>4134</v>
      </c>
      <c r="J120" s="1" t="s">
        <v>4135</v>
      </c>
    </row>
    <row r="122" customFormat="false" ht="13.5" hidden="false" customHeight="false" outlineLevel="0" collapsed="false">
      <c r="A122" s="1" t="s">
        <v>4136</v>
      </c>
      <c r="C122" s="1" t="s">
        <v>4137</v>
      </c>
      <c r="F122" s="1" t="s">
        <v>2547</v>
      </c>
      <c r="G122" s="1" t="s">
        <v>4138</v>
      </c>
    </row>
    <row r="123" customFormat="false" ht="13.5" hidden="false" customHeight="false" outlineLevel="0" collapsed="false">
      <c r="F123" s="1" t="s">
        <v>4139</v>
      </c>
      <c r="G123" s="1" t="s">
        <v>4140</v>
      </c>
    </row>
    <row r="124" customFormat="false" ht="13.5" hidden="false" customHeight="false" outlineLevel="0" collapsed="false">
      <c r="F124" s="1" t="s">
        <v>485</v>
      </c>
      <c r="G124" s="1" t="s">
        <v>4141</v>
      </c>
    </row>
    <row r="126" customFormat="false" ht="13.5" hidden="false" customHeight="false" outlineLevel="0" collapsed="false">
      <c r="F126" s="1" t="s">
        <v>4142</v>
      </c>
      <c r="G126" s="1" t="s">
        <v>4143</v>
      </c>
    </row>
    <row r="127" customFormat="false" ht="13.5" hidden="false" customHeight="false" outlineLevel="0" collapsed="false">
      <c r="F127" s="1" t="s">
        <v>4144</v>
      </c>
      <c r="G127" s="1" t="s">
        <v>4145</v>
      </c>
    </row>
    <row r="128" customFormat="false" ht="13.5" hidden="false" customHeight="false" outlineLevel="0" collapsed="false">
      <c r="F128" s="1" t="s">
        <v>4146</v>
      </c>
      <c r="G128" s="1" t="s">
        <v>4147</v>
      </c>
    </row>
    <row r="129" customFormat="false" ht="13.5" hidden="false" customHeight="false" outlineLevel="0" collapsed="false">
      <c r="F129" s="1" t="s">
        <v>4148</v>
      </c>
      <c r="G129" s="1" t="s">
        <v>4149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H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3.5" customHeight="false" zeroHeight="false" outlineLevelRow="0" outlineLevelCol="0"/>
  <sheetData>
    <row r="3" customFormat="false" ht="13.5" hidden="false" customHeight="false" outlineLevel="0" collapsed="false">
      <c r="C3" s="1" t="s">
        <v>70</v>
      </c>
      <c r="D3" s="1" t="s">
        <v>836</v>
      </c>
      <c r="E3" s="1" t="s">
        <v>828</v>
      </c>
      <c r="F3" s="1" t="s">
        <v>4150</v>
      </c>
      <c r="G3" s="1" t="s">
        <v>70</v>
      </c>
    </row>
    <row r="4" customFormat="false" ht="13.5" hidden="false" customHeight="false" outlineLevel="0" collapsed="false">
      <c r="H4" s="1" t="s">
        <v>4151</v>
      </c>
    </row>
    <row r="5" customFormat="false" ht="13.5" hidden="false" customHeight="false" outlineLevel="0" collapsed="false">
      <c r="A5" s="1" t="n">
        <v>1</v>
      </c>
      <c r="B5" s="1" t="s">
        <v>4152</v>
      </c>
      <c r="C5" s="1" t="n">
        <f aca="false">A5</f>
        <v>1</v>
      </c>
      <c r="D5" s="1" t="n">
        <f aca="false">A5</f>
        <v>1</v>
      </c>
      <c r="E5" s="1" t="n">
        <f aca="false">A5</f>
        <v>1</v>
      </c>
      <c r="F5" s="1" t="n">
        <f aca="false">A5</f>
        <v>1</v>
      </c>
      <c r="H5" s="1" t="s">
        <v>4153</v>
      </c>
    </row>
    <row r="6" customFormat="false" ht="13.5" hidden="false" customHeight="false" outlineLevel="0" collapsed="false">
      <c r="A6" s="1" t="n">
        <v>2</v>
      </c>
      <c r="B6" s="1" t="s">
        <v>4154</v>
      </c>
      <c r="C6" s="1" t="n">
        <f aca="false">A6</f>
        <v>2</v>
      </c>
      <c r="D6" s="1" t="n">
        <f aca="false">A6</f>
        <v>2</v>
      </c>
      <c r="E6" s="1" t="n">
        <f aca="false">A6</f>
        <v>2</v>
      </c>
      <c r="F6" s="1" t="n">
        <f aca="false">A6</f>
        <v>2</v>
      </c>
      <c r="H6" s="1" t="s">
        <v>4155</v>
      </c>
    </row>
    <row r="7" customFormat="false" ht="13.5" hidden="false" customHeight="false" outlineLevel="0" collapsed="false">
      <c r="A7" s="1" t="n">
        <v>3</v>
      </c>
      <c r="B7" s="1" t="s">
        <v>4156</v>
      </c>
      <c r="C7" s="1" t="n">
        <f aca="false">A7</f>
        <v>3</v>
      </c>
      <c r="D7" s="1" t="n">
        <f aca="false">A7</f>
        <v>3</v>
      </c>
      <c r="E7" s="1" t="n">
        <f aca="false">A7</f>
        <v>3</v>
      </c>
      <c r="F7" s="1" t="n">
        <f aca="false">A7</f>
        <v>3</v>
      </c>
      <c r="H7" s="1" t="s">
        <v>4157</v>
      </c>
    </row>
    <row r="8" customFormat="false" ht="13.5" hidden="false" customHeight="false" outlineLevel="0" collapsed="false">
      <c r="A8" s="1" t="n">
        <v>4</v>
      </c>
      <c r="B8" s="1" t="s">
        <v>4158</v>
      </c>
      <c r="C8" s="1" t="n">
        <f aca="false">A8</f>
        <v>4</v>
      </c>
      <c r="D8" s="1" t="n">
        <f aca="false">A8</f>
        <v>4</v>
      </c>
      <c r="E8" s="1" t="n">
        <f aca="false">A8</f>
        <v>4</v>
      </c>
      <c r="H8" s="1" t="s">
        <v>4159</v>
      </c>
    </row>
    <row r="9" customFormat="false" ht="13.5" hidden="false" customHeight="false" outlineLevel="0" collapsed="false">
      <c r="A9" s="1" t="n">
        <v>5</v>
      </c>
      <c r="B9" s="1" t="s">
        <v>4160</v>
      </c>
      <c r="C9" s="1" t="n">
        <f aca="false">A9</f>
        <v>5</v>
      </c>
      <c r="D9" s="1" t="n">
        <f aca="false">A9</f>
        <v>5</v>
      </c>
      <c r="E9" s="1" t="n">
        <f aca="false">A9</f>
        <v>5</v>
      </c>
      <c r="H9" s="1" t="s">
        <v>4161</v>
      </c>
    </row>
    <row r="10" customFormat="false" ht="13.5" hidden="false" customHeight="false" outlineLevel="0" collapsed="false">
      <c r="A10" s="1" t="n">
        <v>6</v>
      </c>
      <c r="B10" s="1" t="s">
        <v>4162</v>
      </c>
      <c r="C10" s="1" t="n">
        <f aca="false">A10</f>
        <v>6</v>
      </c>
      <c r="D10" s="1" t="n">
        <f aca="false">A10</f>
        <v>6</v>
      </c>
      <c r="E10" s="1" t="n">
        <f aca="false">A10</f>
        <v>6</v>
      </c>
      <c r="H10" s="1" t="s">
        <v>4163</v>
      </c>
    </row>
    <row r="11" customFormat="false" ht="13.5" hidden="false" customHeight="false" outlineLevel="0" collapsed="false">
      <c r="A11" s="1" t="n">
        <v>7</v>
      </c>
      <c r="B11" s="1" t="s">
        <v>4164</v>
      </c>
      <c r="C11" s="1" t="n">
        <f aca="false">A11</f>
        <v>7</v>
      </c>
      <c r="D11" s="1" t="n">
        <f aca="false">A11</f>
        <v>7</v>
      </c>
      <c r="E11" s="1" t="n">
        <f aca="false">A11</f>
        <v>7</v>
      </c>
      <c r="F11" s="1" t="n">
        <f aca="false">A11</f>
        <v>7</v>
      </c>
      <c r="H11" s="1" t="s">
        <v>4165</v>
      </c>
    </row>
    <row r="12" customFormat="false" ht="13.5" hidden="false" customHeight="false" outlineLevel="0" collapsed="false">
      <c r="A12" s="1" t="n">
        <v>8</v>
      </c>
      <c r="B12" s="1" t="s">
        <v>4166</v>
      </c>
      <c r="C12" s="1" t="n">
        <f aca="false">A12</f>
        <v>8</v>
      </c>
      <c r="D12" s="1" t="n">
        <f aca="false">A12</f>
        <v>8</v>
      </c>
      <c r="E12" s="1" t="n">
        <f aca="false">A12</f>
        <v>8</v>
      </c>
      <c r="H12" s="1" t="s">
        <v>4167</v>
      </c>
    </row>
    <row r="13" customFormat="false" ht="13.5" hidden="false" customHeight="false" outlineLevel="0" collapsed="false">
      <c r="A13" s="1" t="n">
        <v>9</v>
      </c>
      <c r="B13" s="1" t="s">
        <v>4168</v>
      </c>
      <c r="C13" s="1" t="n">
        <f aca="false">A13</f>
        <v>9</v>
      </c>
      <c r="D13" s="1" t="n">
        <f aca="false">A13</f>
        <v>9</v>
      </c>
      <c r="E13" s="1" t="n">
        <f aca="false">A13</f>
        <v>9</v>
      </c>
      <c r="F13" s="1" t="n">
        <f aca="false">A13</f>
        <v>9</v>
      </c>
      <c r="H13" s="1" t="s">
        <v>4169</v>
      </c>
    </row>
    <row r="14" customFormat="false" ht="13.5" hidden="false" customHeight="false" outlineLevel="0" collapsed="false">
      <c r="A14" s="1" t="n">
        <v>10</v>
      </c>
      <c r="B14" s="1" t="s">
        <v>239</v>
      </c>
      <c r="D14" s="1" t="n">
        <f aca="false">A14</f>
        <v>10</v>
      </c>
      <c r="G14" s="1" t="s">
        <v>836</v>
      </c>
    </row>
    <row r="15" customFormat="false" ht="13.5" hidden="false" customHeight="false" outlineLevel="0" collapsed="false">
      <c r="A15" s="1" t="n">
        <v>11</v>
      </c>
      <c r="B15" s="1" t="s">
        <v>1741</v>
      </c>
      <c r="D15" s="1" t="n">
        <f aca="false">A15</f>
        <v>11</v>
      </c>
      <c r="F15" s="1" t="n">
        <f aca="false">A15</f>
        <v>11</v>
      </c>
      <c r="H15" s="1" t="s">
        <v>4151</v>
      </c>
    </row>
    <row r="16" customFormat="false" ht="13.5" hidden="false" customHeight="false" outlineLevel="0" collapsed="false">
      <c r="A16" s="1" t="n">
        <v>12</v>
      </c>
      <c r="B16" s="1" t="s">
        <v>4170</v>
      </c>
      <c r="D16" s="1" t="n">
        <f aca="false">A16</f>
        <v>12</v>
      </c>
      <c r="F16" s="1" t="n">
        <f aca="false">A16</f>
        <v>12</v>
      </c>
      <c r="H16" s="1" t="s">
        <v>4153</v>
      </c>
    </row>
    <row r="17" customFormat="false" ht="13.5" hidden="false" customHeight="false" outlineLevel="0" collapsed="false">
      <c r="A17" s="1" t="n">
        <v>13</v>
      </c>
      <c r="B17" s="1" t="s">
        <v>1739</v>
      </c>
      <c r="D17" s="1" t="n">
        <f aca="false">A17</f>
        <v>13</v>
      </c>
      <c r="F17" s="1" t="n">
        <f aca="false">A17</f>
        <v>13</v>
      </c>
      <c r="H17" s="1" t="s">
        <v>4155</v>
      </c>
    </row>
    <row r="18" customFormat="false" ht="13.5" hidden="false" customHeight="false" outlineLevel="0" collapsed="false">
      <c r="A18" s="1" t="n">
        <v>14</v>
      </c>
      <c r="B18" s="1" t="s">
        <v>1740</v>
      </c>
      <c r="F18" s="1" t="n">
        <f aca="false">A18</f>
        <v>14</v>
      </c>
      <c r="H18" s="1" t="s">
        <v>4157</v>
      </c>
    </row>
    <row r="19" customFormat="false" ht="13.5" hidden="false" customHeight="false" outlineLevel="0" collapsed="false">
      <c r="H19" s="1" t="s">
        <v>4159</v>
      </c>
    </row>
    <row r="20" customFormat="false" ht="13.5" hidden="false" customHeight="false" outlineLevel="0" collapsed="false">
      <c r="H20" s="1" t="s">
        <v>4161</v>
      </c>
    </row>
    <row r="21" customFormat="false" ht="13.5" hidden="false" customHeight="false" outlineLevel="0" collapsed="false">
      <c r="H21" s="1" t="s">
        <v>4163</v>
      </c>
    </row>
    <row r="22" customFormat="false" ht="13.5" hidden="false" customHeight="false" outlineLevel="0" collapsed="false">
      <c r="H22" s="1" t="s">
        <v>4165</v>
      </c>
    </row>
    <row r="23" customFormat="false" ht="13.5" hidden="false" customHeight="false" outlineLevel="0" collapsed="false">
      <c r="H23" s="1" t="s">
        <v>4167</v>
      </c>
    </row>
    <row r="24" customFormat="false" ht="13.5" hidden="false" customHeight="false" outlineLevel="0" collapsed="false">
      <c r="H24" s="1" t="s">
        <v>4169</v>
      </c>
    </row>
    <row r="25" customFormat="false" ht="13.5" hidden="false" customHeight="false" outlineLevel="0" collapsed="false">
      <c r="H25" s="1" t="s">
        <v>4171</v>
      </c>
    </row>
    <row r="26" customFormat="false" ht="13.5" hidden="false" customHeight="false" outlineLevel="0" collapsed="false">
      <c r="H26" s="1" t="s">
        <v>4172</v>
      </c>
    </row>
    <row r="27" customFormat="false" ht="13.5" hidden="false" customHeight="false" outlineLevel="0" collapsed="false">
      <c r="H27" s="1" t="s">
        <v>4173</v>
      </c>
    </row>
    <row r="28" customFormat="false" ht="13.5" hidden="false" customHeight="false" outlineLevel="0" collapsed="false">
      <c r="H28" s="1" t="s">
        <v>4174</v>
      </c>
    </row>
    <row r="29" customFormat="false" ht="13.5" hidden="false" customHeight="false" outlineLevel="0" collapsed="false">
      <c r="G29" s="1" t="s">
        <v>4150</v>
      </c>
    </row>
    <row r="30" customFormat="false" ht="13.5" hidden="false" customHeight="false" outlineLevel="0" collapsed="false">
      <c r="H30" s="1" t="s">
        <v>4151</v>
      </c>
    </row>
    <row r="31" customFormat="false" ht="13.5" hidden="false" customHeight="false" outlineLevel="0" collapsed="false">
      <c r="H31" s="1" t="s">
        <v>4172</v>
      </c>
    </row>
    <row r="32" customFormat="false" ht="13.5" hidden="false" customHeight="false" outlineLevel="0" collapsed="false">
      <c r="H32" s="1" t="s">
        <v>4173</v>
      </c>
    </row>
    <row r="33" customFormat="false" ht="13.5" hidden="false" customHeight="false" outlineLevel="0" collapsed="false">
      <c r="H33" s="1" t="s">
        <v>4174</v>
      </c>
    </row>
    <row r="34" customFormat="false" ht="13.5" hidden="false" customHeight="false" outlineLevel="0" collapsed="false">
      <c r="H34" s="1" t="s">
        <v>4175</v>
      </c>
    </row>
    <row r="35" customFormat="false" ht="13.5" hidden="false" customHeight="false" outlineLevel="0" collapsed="false">
      <c r="H35" s="1" t="s">
        <v>4153</v>
      </c>
    </row>
    <row r="36" customFormat="false" ht="13.5" hidden="false" customHeight="false" outlineLevel="0" collapsed="false">
      <c r="H36" s="1" t="s">
        <v>4155</v>
      </c>
    </row>
    <row r="37" customFormat="false" ht="13.5" hidden="false" customHeight="false" outlineLevel="0" collapsed="false">
      <c r="H37" s="1" t="s">
        <v>4157</v>
      </c>
    </row>
    <row r="38" customFormat="false" ht="13.5" hidden="false" customHeight="false" outlineLevel="0" collapsed="false">
      <c r="H38" s="1" t="s">
        <v>4163</v>
      </c>
    </row>
    <row r="39" customFormat="false" ht="13.5" hidden="false" customHeight="false" outlineLevel="0" collapsed="false">
      <c r="H39" s="1" t="s">
        <v>4169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3.5" customHeight="false" zeroHeight="false" outlineLevelRow="0" outlineLevelCol="0"/>
  <cols>
    <col collapsed="false" customWidth="true" hidden="false" outlineLevel="0" max="2" min="2" style="1" width="29.37"/>
    <col collapsed="false" customWidth="true" hidden="false" outlineLevel="0" max="3" min="3" style="1" width="10.75"/>
    <col collapsed="false" customWidth="true" hidden="false" outlineLevel="0" max="4" min="4" style="1" width="30.88"/>
    <col collapsed="false" customWidth="true" hidden="false" outlineLevel="0" max="6" min="6" style="1" width="25.88"/>
  </cols>
  <sheetData>
    <row r="1" customFormat="false" ht="13.8" hidden="false" customHeight="false" outlineLevel="0" collapsed="false">
      <c r="A1" s="1" t="s">
        <v>4176</v>
      </c>
    </row>
    <row r="2" customFormat="false" ht="13.8" hidden="false" customHeight="false" outlineLevel="0" collapsed="false">
      <c r="F2" s="1" t="s">
        <v>4177</v>
      </c>
    </row>
    <row r="3" customFormat="false" ht="13.8" hidden="false" customHeight="false" outlineLevel="0" collapsed="false">
      <c r="B3" s="167" t="s">
        <v>4052</v>
      </c>
      <c r="F3" s="1" t="s">
        <v>4178</v>
      </c>
    </row>
    <row r="4" customFormat="false" ht="13.8" hidden="false" customHeight="false" outlineLevel="0" collapsed="false">
      <c r="B4" s="9" t="s">
        <v>4179</v>
      </c>
    </row>
    <row r="5" customFormat="false" ht="13.8" hidden="false" customHeight="false" outlineLevel="0" collapsed="false">
      <c r="B5" s="9" t="s">
        <v>4180</v>
      </c>
      <c r="D5" s="167" t="s">
        <v>4181</v>
      </c>
      <c r="F5" s="167" t="s">
        <v>4182</v>
      </c>
    </row>
    <row r="6" customFormat="false" ht="13.8" hidden="false" customHeight="false" outlineLevel="0" collapsed="false">
      <c r="B6" s="29" t="s">
        <v>4183</v>
      </c>
      <c r="D6" s="8" t="s">
        <v>4184</v>
      </c>
      <c r="F6" s="8" t="s">
        <v>4185</v>
      </c>
    </row>
    <row r="7" customFormat="false" ht="13.8" hidden="false" customHeight="false" outlineLevel="0" collapsed="false">
      <c r="B7" s="11" t="s">
        <v>4186</v>
      </c>
      <c r="D7" s="8" t="s">
        <v>4187</v>
      </c>
      <c r="F7" s="8"/>
    </row>
    <row r="8" customFormat="false" ht="13.8" hidden="false" customHeight="false" outlineLevel="0" collapsed="false"/>
    <row r="9" customFormat="false" ht="13.8" hidden="false" customHeight="false" outlineLevel="0" collapsed="false"/>
    <row r="10" customFormat="false" ht="13.8" hidden="false" customHeight="false" outlineLevel="0" collapsed="false">
      <c r="B10" s="167" t="s">
        <v>40</v>
      </c>
      <c r="D10" s="167" t="s">
        <v>4188</v>
      </c>
    </row>
    <row r="11" customFormat="false" ht="13.8" hidden="false" customHeight="false" outlineLevel="0" collapsed="false">
      <c r="B11" s="8" t="s">
        <v>4189</v>
      </c>
      <c r="D11" s="8" t="s">
        <v>4190</v>
      </c>
    </row>
    <row r="12" customFormat="false" ht="13.8" hidden="false" customHeight="false" outlineLevel="0" collapsed="false">
      <c r="B12" s="8" t="s">
        <v>4191</v>
      </c>
      <c r="D12" s="8" t="s">
        <v>4192</v>
      </c>
    </row>
    <row r="13" customFormat="false" ht="13.8" hidden="false" customHeight="false" outlineLevel="0" collapsed="false"/>
    <row r="14" customFormat="false" ht="13.8" hidden="false" customHeight="false" outlineLevel="0" collapsed="false"/>
    <row r="15" customFormat="false" ht="13.8" hidden="false" customHeight="false" outlineLevel="0" collapsed="false"/>
    <row r="16" customFormat="false" ht="13.8" hidden="false" customHeight="false" outlineLevel="0" collapsed="false"/>
    <row r="17" customFormat="false" ht="13.8" hidden="false" customHeight="false" outlineLevel="0" collapsed="false">
      <c r="B17" s="167" t="s">
        <v>4193</v>
      </c>
      <c r="D17" s="167" t="s">
        <v>4194</v>
      </c>
    </row>
    <row r="18" customFormat="false" ht="13.8" hidden="false" customHeight="false" outlineLevel="0" collapsed="false">
      <c r="B18" s="9" t="s">
        <v>4195</v>
      </c>
      <c r="D18" s="9" t="s">
        <v>4196</v>
      </c>
    </row>
    <row r="19" customFormat="false" ht="13.8" hidden="false" customHeight="false" outlineLevel="0" collapsed="false">
      <c r="B19" s="9" t="s">
        <v>4197</v>
      </c>
      <c r="D19" s="9" t="s">
        <v>4198</v>
      </c>
    </row>
    <row r="20" customFormat="false" ht="13.8" hidden="false" customHeight="false" outlineLevel="0" collapsed="false">
      <c r="B20" s="11" t="s">
        <v>4199</v>
      </c>
      <c r="D20" s="11" t="s">
        <v>4200</v>
      </c>
    </row>
    <row r="21" customFormat="false" ht="13.8" hidden="false" customHeight="false" outlineLevel="0" collapsed="false"/>
    <row r="22" customFormat="false" ht="13.8" hidden="false" customHeight="false" outlineLevel="0" collapsed="false">
      <c r="B22" s="168" t="s">
        <v>4201</v>
      </c>
      <c r="D22" s="168" t="s">
        <v>4201</v>
      </c>
    </row>
    <row r="23" customFormat="false" ht="13.8" hidden="false" customHeight="false" outlineLevel="0" collapsed="false">
      <c r="B23" s="167" t="s">
        <v>4202</v>
      </c>
      <c r="D23" s="167" t="s">
        <v>37</v>
      </c>
    </row>
    <row r="24" customFormat="false" ht="13.8" hidden="false" customHeight="false" outlineLevel="0" collapsed="false">
      <c r="B24" s="8" t="s">
        <v>4203</v>
      </c>
      <c r="D24" s="9" t="s">
        <v>4204</v>
      </c>
    </row>
    <row r="25" customFormat="false" ht="13.8" hidden="false" customHeight="false" outlineLevel="0" collapsed="false">
      <c r="B25" s="8" t="s">
        <v>4205</v>
      </c>
      <c r="D25" s="9" t="s">
        <v>4206</v>
      </c>
    </row>
    <row r="26" customFormat="false" ht="13.8" hidden="false" customHeight="false" outlineLevel="0" collapsed="false">
      <c r="D26" s="29" t="s">
        <v>4207</v>
      </c>
    </row>
    <row r="27" customFormat="false" ht="13.8" hidden="false" customHeight="false" outlineLevel="0" collapsed="false">
      <c r="D27" s="29" t="s">
        <v>4208</v>
      </c>
    </row>
    <row r="28" customFormat="false" ht="13.8" hidden="false" customHeight="false" outlineLevel="0" collapsed="false">
      <c r="D28" s="11" t="s">
        <v>4209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3.5" customHeight="false" zeroHeight="false" outlineLevelRow="0" outlineLevelCol="0"/>
  <cols>
    <col collapsed="false" customWidth="true" hidden="false" outlineLevel="0" max="1" min="1" style="1" width="1"/>
    <col collapsed="false" customWidth="true" hidden="false" outlineLevel="0" max="2" min="2" style="1" width="56.37"/>
    <col collapsed="false" customWidth="true" hidden="false" outlineLevel="0" max="3" min="3" style="1" width="1.37"/>
    <col collapsed="false" customWidth="true" hidden="false" outlineLevel="0" max="4" min="4" style="1" width="4.88"/>
    <col collapsed="false" customWidth="true" hidden="false" outlineLevel="0" max="6" min="5" style="1" width="14"/>
  </cols>
  <sheetData>
    <row r="1" customFormat="false" ht="13.5" hidden="false" customHeight="false" outlineLevel="0" collapsed="false">
      <c r="B1" s="169" t="s">
        <v>4210</v>
      </c>
      <c r="C1" s="169"/>
      <c r="D1" s="170"/>
      <c r="E1" s="170"/>
      <c r="F1" s="170"/>
    </row>
    <row r="2" customFormat="false" ht="13.5" hidden="false" customHeight="false" outlineLevel="0" collapsed="false">
      <c r="B2" s="169" t="s">
        <v>4211</v>
      </c>
      <c r="C2" s="169"/>
      <c r="D2" s="170"/>
      <c r="E2" s="170"/>
      <c r="F2" s="170"/>
    </row>
    <row r="3" customFormat="false" ht="13.5" hidden="false" customHeight="false" outlineLevel="0" collapsed="false">
      <c r="B3" s="20"/>
      <c r="C3" s="20"/>
      <c r="D3" s="171"/>
      <c r="E3" s="171"/>
      <c r="F3" s="171"/>
    </row>
    <row r="4" customFormat="false" ht="46.25" hidden="false" customHeight="false" outlineLevel="0" collapsed="false">
      <c r="B4" s="20" t="s">
        <v>4212</v>
      </c>
      <c r="C4" s="20"/>
      <c r="D4" s="171"/>
      <c r="E4" s="171"/>
      <c r="F4" s="171"/>
    </row>
    <row r="5" customFormat="false" ht="13.8" hidden="false" customHeight="false" outlineLevel="0" collapsed="false">
      <c r="B5" s="20"/>
      <c r="C5" s="20"/>
      <c r="D5" s="171"/>
      <c r="E5" s="171"/>
      <c r="F5" s="171"/>
    </row>
    <row r="6" customFormat="false" ht="13.8" hidden="false" customHeight="false" outlineLevel="0" collapsed="false">
      <c r="B6" s="169" t="s">
        <v>4213</v>
      </c>
      <c r="C6" s="169"/>
      <c r="D6" s="170"/>
      <c r="E6" s="170" t="s">
        <v>4214</v>
      </c>
      <c r="F6" s="170" t="s">
        <v>4215</v>
      </c>
    </row>
    <row r="7" customFormat="false" ht="13.8" hidden="false" customHeight="false" outlineLevel="0" collapsed="false">
      <c r="B7" s="20"/>
      <c r="C7" s="20"/>
      <c r="D7" s="171"/>
      <c r="E7" s="171"/>
      <c r="F7" s="171"/>
    </row>
    <row r="8" customFormat="false" ht="23.85" hidden="false" customHeight="false" outlineLevel="0" collapsed="false">
      <c r="B8" s="172" t="s">
        <v>4216</v>
      </c>
      <c r="C8" s="173"/>
      <c r="D8" s="174"/>
      <c r="E8" s="174" t="n">
        <v>1</v>
      </c>
      <c r="F8" s="175"/>
    </row>
    <row r="9" customFormat="false" ht="13.8" hidden="false" customHeight="false" outlineLevel="0" collapsed="false">
      <c r="B9" s="176"/>
      <c r="C9" s="177"/>
      <c r="D9" s="178"/>
      <c r="E9" s="179" t="s">
        <v>4217</v>
      </c>
      <c r="F9" s="180" t="s">
        <v>4218</v>
      </c>
    </row>
    <row r="10" customFormat="false" ht="13.8" hidden="false" customHeight="false" outlineLevel="0" collapsed="false">
      <c r="B10" s="20"/>
      <c r="C10" s="20"/>
      <c r="D10" s="171"/>
      <c r="E10" s="171"/>
      <c r="F10" s="171"/>
    </row>
    <row r="11" customFormat="false" ht="13.8" hidden="false" customHeight="false" outlineLevel="0" collapsed="false">
      <c r="B11" s="20"/>
      <c r="C11" s="20"/>
      <c r="D11" s="171"/>
      <c r="E11" s="171"/>
      <c r="F11" s="171"/>
    </row>
    <row r="12" customFormat="false" ht="13.8" hidden="false" customHeight="false" outlineLevel="0" collapsed="false">
      <c r="B12" s="169" t="s">
        <v>4219</v>
      </c>
      <c r="C12" s="169"/>
      <c r="D12" s="170"/>
      <c r="E12" s="170"/>
      <c r="F12" s="170"/>
    </row>
    <row r="13" customFormat="false" ht="13.8" hidden="false" customHeight="false" outlineLevel="0" collapsed="false">
      <c r="B13" s="20"/>
      <c r="C13" s="20"/>
      <c r="D13" s="171"/>
      <c r="E13" s="171"/>
      <c r="F13" s="171"/>
    </row>
    <row r="14" customFormat="false" ht="35.05" hidden="false" customHeight="false" outlineLevel="0" collapsed="false">
      <c r="B14" s="181" t="s">
        <v>4220</v>
      </c>
      <c r="C14" s="182"/>
      <c r="D14" s="183"/>
      <c r="E14" s="183" t="n">
        <v>28</v>
      </c>
      <c r="F14" s="184" t="s">
        <v>4218</v>
      </c>
    </row>
    <row r="15" customFormat="false" ht="13.5" hidden="false" customHeight="false" outlineLevel="0" collapsed="false">
      <c r="B15" s="20"/>
      <c r="C15" s="20"/>
      <c r="D15" s="171"/>
      <c r="E15" s="171"/>
      <c r="F15" s="171"/>
    </row>
  </sheetData>
  <hyperlinks>
    <hyperlink ref="E9" location="'考え方'!B38" display="考え方'!B38"/>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47</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1997-01-08T22:48:59Z</dcterms:created>
  <dc:creator>鈴木靖文</dc:creator>
  <dc:description/>
  <dc:language>ja-JP</dc:language>
  <cp:lastModifiedBy/>
  <cp:lastPrinted>2009-09-15T05:41:05Z</cp:lastPrinted>
  <dcterms:modified xsi:type="dcterms:W3CDTF">2026-08-19T17:18:14Z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